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504a15e0fc443a" /></Relationships>
</file>

<file path=xl/workbook.xml><?xml version="1.0" encoding="utf-8"?>
<x:workbook xmlns:x="http://schemas.openxmlformats.org/spreadsheetml/2006/main">
  <x:sheets>
    <x:sheet xmlns:r="http://schemas.openxmlformats.org/officeDocument/2006/relationships" name="Instructions" sheetId="1" r:id="R0974693952004fb5"/>
    <x:sheet xmlns:r="http://schemas.openxmlformats.org/officeDocument/2006/relationships" name="Reference_Lists" sheetId="2" r:id="Raa32861a022941ce"/>
    <x:sheet xmlns:r="http://schemas.openxmlformats.org/officeDocument/2006/relationships" name="Effort_Model" sheetId="3" r:id="Rb87bed1483324409"/>
    <x:sheet xmlns:r="http://schemas.openxmlformats.org/officeDocument/2006/relationships" name="Wave_Parameters" sheetId="4" r:id="R0b52e0f83a874134"/>
    <x:sheet xmlns:r="http://schemas.openxmlformats.org/officeDocument/2006/relationships" name="Scoring_Rules" sheetId="5" r:id="R6a57cf6e0d05457c"/>
    <x:sheet xmlns:r="http://schemas.openxmlformats.org/officeDocument/2006/relationships" name="Wave_Plan_Input" sheetId="6" r:id="Rdffb58e77a854472"/>
    <x:sheet xmlns:r="http://schemas.openxmlformats.org/officeDocument/2006/relationships" name="Topic_Summary" sheetId="7" r:id="R5062e5106b534a01"/>
  </x:sheets>
</x:workbook>
</file>

<file path=xl/sharedStrings.xml><?xml version="1.0" encoding="utf-8"?>
<x:sst xmlns:x="http://schemas.openxmlformats.org/spreadsheetml/2006/main">
  <x:si>
    <x:t xml:space="preserve">BASF LMP — Harmonization Wave Plan: Data Collection Workbook</x:t>
  </x:si>
  <x:si>
    <x:t xml:space="preserve">Tech Mahindra | Input pack for the AI-driven Wave Plan tool</x:t>
  </x:si>
  <x:si>
    <x:t xml:space="preserve">PURPOSE</x:t>
  </x:si>
  <x:si>
    <x:t xml:space="preserve">What this workbook is</x:t>
  </x:si>
  <x:si>
    <x:t xml:space="preserve">The single data collection instrument for Harmonization Wave Plan creation. It captures the per-application attributes the AI-driven tool needs to generate, sequence and cost a wave plan.</x:t>
  </x:si>
  <x:si>
    <x:t xml:space="preserve">Where the data comes from</x:t>
  </x:si>
  <x:si>
    <x:t xml:space="preserve">Pre-populated from Business_applications_Categorized.xlsx (3,785 applications; 572 categorized across 21 topics). Business Capability is carried over from column P "Capabilities" of that source and must be CONFIRMED in workshop.</x:t>
  </x:si>
  <x:si>
    <x:t xml:space="preserve">What happens next</x:t>
  </x:si>
  <x:si>
    <x:t xml:space="preserve">Completed workbook is validated and loaded to the wave-planning database, then consumed by the AI-driven tool to produce the Generated Wave Plan, which is adjusted with BASF calendar/exception inputs and approved.</x:t>
  </x:si>
  <x:si>
    <x:t xml:space="preserve">HOW TO USE</x:t>
  </x:si>
  <x:si>
    <x:t xml:space="preserve">Step 1</x:t>
  </x:si>
  <x:si>
    <x:t xml:space="preserve">Filter Wave_Plan_Input by Topic. Run one workshop per topic.</x:t>
  </x:si>
  <x:si>
    <x:t xml:space="preserve">Step 2</x:t>
  </x:si>
  <x:si>
    <x:t xml:space="preserve">Confirm the pre-filled Business Capability and record the Business Rationale.</x:t>
  </x:si>
  <x:si>
    <x:t xml:space="preserve">Step 3</x:t>
  </x:si>
  <x:si>
    <x:t xml:space="preserve">Complete every yellow column. Use the dropdowns — free text will fail load validation.</x:t>
  </x:si>
  <x:si>
    <x:t xml:space="preserve">Step 4</x:t>
  </x:si>
  <x:si>
    <x:t xml:space="preserve">Assessment effort calculates automatically once Size and Complexity are set.</x:t>
  </x:si>
  <x:si>
    <x:t xml:space="preserve">Step 5</x:t>
  </x:si>
  <x:si>
    <x:t xml:space="preserve">Set wave calendar and capacity on Wave_Parameters; set sequencing weights on Scoring_Rules.</x:t>
  </x:si>
  <x:si>
    <x:t xml:space="preserve">Step 6</x:t>
  </x:si>
  <x:si>
    <x:t xml:space="preserve">Check Topic_Summary for completeness before submitting.</x:t>
  </x:si>
  <x:si>
    <x:t xml:space="preserve">LEGEND</x:t>
  </x:si>
  <x:si>
    <x:t xml:space="preserve">Yellow cells</x:t>
  </x:si>
  <x:si>
    <x:t xml:space="preserve">You fill these in. Every yellow column is mandatory unless marked optional.</x:t>
  </x:si>
  <x:si>
    <x:t xml:space="preserve">Grey cells</x:t>
  </x:si>
  <x:si>
    <x:t xml:space="preserve">Pre-populated from source data or reference tables — do not edit.</x:t>
  </x:si>
  <x:si>
    <x:t xml:space="preserve">White cells with formulas</x:t>
  </x:si>
  <x:si>
    <x:t xml:space="preserve">Calculated. Do not overwrite.</x:t>
  </x:si>
  <x:si>
    <x:t xml:space="preserve">Row 2 of Wave_Plan_Input</x:t>
  </x:si>
  <x:si>
    <x:t xml:space="preserve">EXAMPLE ROW showing expected format. Delete before submission.</x:t>
  </x:si>
  <x:si>
    <x:t xml:space="preserve">SHEETS</x:t>
  </x:si>
  <x:si>
    <x:t xml:space="preserve">Wave_Plan_Input</x:t>
  </x:si>
  <x:si>
    <x:t xml:space="preserve">One row per application. The primary data collection sheet.</x:t>
  </x:si>
  <x:si>
    <x:t xml:space="preserve">Reference_Lists</x:t>
  </x:si>
  <x:si>
    <x:t xml:space="preserve">Permitted values and their definitions. Source for all dropdowns.</x:t>
  </x:si>
  <x:si>
    <x:t xml:space="preserve">Effort_Model</x:t>
  </x:si>
  <x:si>
    <x:t xml:space="preserve">Assessment effort by T-shirt size x complexity, from LMP_Estimation_Sheet.</x:t>
  </x:si>
  <x:si>
    <x:t xml:space="preserve">Wave_Parameters</x:t>
  </x:si>
  <x:si>
    <x:t xml:space="preserve">Wave calendar, sprint cadence, capacity and blackout windows.</x:t>
  </x:si>
  <x:si>
    <x:t xml:space="preserve">Scoring_Rules</x:t>
  </x:si>
  <x:si>
    <x:t xml:space="preserve">Weights and thresholds the AI tool uses to sequence applications into waves.</x:t>
  </x:si>
  <x:si>
    <x:t xml:space="preserve">Topic_Summary</x:t>
  </x:si>
  <x:si>
    <x:t xml:space="preserve">Per-topic counts, effort roll-up and completeness tracking.</x:t>
  </x:si>
  <x:si>
    <x:t xml:space="preserve">ASSUMPTIONS</x:t>
  </x:si>
  <x:si>
    <x:t xml:space="preserve">Assessment effort</x:t>
  </x:si>
  <x:si>
    <x:t xml:space="preserve">Source: LMP_Estimation_Sheet.xlsx, sheet "Effort-Technical Assessment". Effort = Common effort + (Application mapping + Process assessment + Categorisation + Target-architecture alignment). Reconciles to the "Assessment" column of sheet "Effort -Harmonisation Services" (e.g. Simple/XXS = 10.4 + 4x2 = 18.4 hrs).</x:t>
  </x:si>
  <x:si>
    <x:t xml:space="preserve">Migration effort</x:t>
  </x:si>
  <x:si>
    <x:t xml:space="preserve">NOT included as a formula. The Mapping / ETL / Transformation / Testing / Decommissioning columns were blank in the source estimation sheet, so Migration Effort is a manual entry column pending that model being finalised.</x:t>
  </x:si>
  <x:si>
    <x:t xml:space="preserve">Wave cadence</x:t>
  </x:si>
  <x:si>
    <x:t xml:space="preserve">3-week sprints with cutover every 3 months, per the Harmonization approach slide. Programme window 3-24 months. Set actual dates on Wave_Parameters.</x:t>
  </x:si>
  <x:si>
    <x:t xml:space="preserve">Topic scope</x:t>
  </x:si>
  <x:si>
    <x:t xml:space="preserve">572 applications carry a Categorization value in the source file and are loaded here. The remaining 3,213 rows are uncategorized and out of scope for wave planning until categorized.</x:t>
  </x:si>
  <x:si>
    <x:t xml:space="preserve">Reference Lists — permitted values</x:t>
  </x:si>
  <x:si>
    <x:t xml:space="preserve">T-Shirt Size</x:t>
  </x:si>
  <x:si>
    <x:t xml:space="preserve">Definition</x:t>
  </x:si>
  <x:si>
    <x:t xml:space="preserve">XXS</x:t>
  </x:si>
  <x:si>
    <x:t xml:space="preserve">Basic utility with minimal data; ~10 tables, ~100K records</x:t>
  </x:si>
  <x:si>
    <x:t xml:space="preserve">XS</x:t>
  </x:si>
  <x:si>
    <x:t xml:space="preserve">Simple application with limited scope; 10-30 tables, ~1M records</x:t>
  </x:si>
  <x:si>
    <x:t xml:space="preserve">S</x:t>
  </x:si>
  <x:si>
    <x:t xml:space="preserve">Standard departmental application; 30-50 tables, ~5M records</x:t>
  </x:si>
  <x:si>
    <x:t xml:space="preserve">M</x:t>
  </x:si>
  <x:si>
    <x:t xml:space="preserve">Multi-functional business application; 50-75 tables, ~100M records</x:t>
  </x:si>
  <x:si>
    <x:t xml:space="preserve">L</x:t>
  </x:si>
  <x:si>
    <x:t xml:space="preserve">Enterprise-grade system; 75-150 tables, ~1K million records</x:t>
  </x:si>
  <x:si>
    <x:t xml:space="preserve">XL</x:t>
  </x:si>
  <x:si>
    <x:t xml:space="preserve">Comprehensive enterprise platform; 150-200 tables, ~10K million records</x:t>
  </x:si>
  <x:si>
    <x:t xml:space="preserve">XXL</x:t>
  </x:si>
  <x:si>
    <x:t xml:space="preserve">Strategic global-scale platform; 300+ tables, very high volume</x:t>
  </x:si>
  <x:si>
    <x:t xml:space="preserve">Complexity</x:t>
  </x:si>
  <x:si>
    <x:t xml:space="preserve">Simple</x:t>
  </x:si>
  <x:si>
    <x:t xml:space="preserve">Clean, well-structured data; standard formats; minimal transformation</x:t>
  </x:si>
  <x:si>
    <x:t xml:space="preserve">Medium</x:t>
  </x:si>
  <x:si>
    <x:t xml:space="preserve">Moderate data quality issues; some custom transformation required</x:t>
  </x:si>
  <x:si>
    <x:t xml:space="preserve">Complex</x:t>
  </x:si>
  <x:si>
    <x:t xml:space="preserve">Significant data cleansing required; non-standard structures</x:t>
  </x:si>
  <x:si>
    <x:t xml:space="preserve">Very Complex</x:t>
  </x:si>
  <x:si>
    <x:t xml:space="preserve">Legacy or unstructured data; heavy remediation and transformation</x:t>
  </x:si>
  <x:si>
    <x:t xml:space="preserve">Migration Type</x:t>
  </x:si>
  <x:si>
    <x:t xml:space="preserve">Data Migration Only</x:t>
  </x:si>
  <x:si>
    <x:t xml:space="preserve">Data moved to the target platform; no functional rebuild</x:t>
  </x:si>
  <x:si>
    <x:t xml:space="preserve">Functional Migration</x:t>
  </x:si>
  <x:si>
    <x:t xml:space="preserve">Functionality re-implemented on the BASF standard platform</x:t>
  </x:si>
  <x:si>
    <x:t xml:space="preserve">Modernization</x:t>
  </x:si>
  <x:si>
    <x:t xml:space="preserve">Application re-architected or replatformed</x:t>
  </x:si>
  <x:si>
    <x:t xml:space="preserve">Disposition</x:t>
  </x:si>
  <x:si>
    <x:t xml:space="preserve">Harmonize</x:t>
  </x:si>
  <x:si>
    <x:t xml:space="preserve">Consolidate onto the BASF standard platform for the topic</x:t>
  </x:si>
  <x:si>
    <x:t xml:space="preserve">Modernize</x:t>
  </x:si>
  <x:si>
    <x:t xml:space="preserve">Re-architect / replatform</x:t>
  </x:si>
  <x:si>
    <x:t xml:space="preserve">AMS</x:t>
  </x:si>
  <x:si>
    <x:t xml:space="preserve">Operational responsibility transfers to the supplier</x:t>
  </x:si>
  <x:si>
    <x:t xml:space="preserve">Retain</x:t>
  </x:si>
  <x:si>
    <x:t xml:space="preserve">Remain as-is for this programme</x:t>
  </x:si>
  <x:si>
    <x:t xml:space="preserve">Retire</x:t>
  </x:si>
  <x:si>
    <x:t xml:space="preserve">Decommission without replacement</x:t>
  </x:si>
  <x:si>
    <x:t xml:space="preserve">Change Impact</x:t>
  </x:si>
  <x:si>
    <x:t xml:space="preserve">Low</x:t>
  </x:si>
  <x:si>
    <x:t xml:space="preserve">Few users, single site, minimal process change</x:t>
  </x:si>
  <x:si>
    <x:t xml:space="preserve">Single business unit or region; moderate process change</x:t>
  </x:si>
  <x:si>
    <x:t xml:space="preserve">High</x:t>
  </x:si>
  <x:si>
    <x:t xml:space="preserve">Multi-region; significant process and role change</x:t>
  </x:si>
  <x:si>
    <x:t xml:space="preserve">Very High</x:t>
  </x:si>
  <x:si>
    <x:t xml:space="preserve">Global; major process redesign and org change</x:t>
  </x:si>
  <x:si>
    <x:t xml:space="preserve">Risk</x:t>
  </x:si>
  <x:si>
    <x:t xml:space="preserve">Well understood, low coupling, no regulatory exposure</x:t>
  </x:si>
  <x:si>
    <x:t xml:space="preserve">Some unknowns or moderate integration coupling</x:t>
  </x:si>
  <x:si>
    <x:t xml:space="preserve">Significant unknowns, high coupling, or plant-critical</x:t>
  </x:si>
  <x:si>
    <x:t xml:space="preserve">Critical</x:t>
  </x:si>
  <x:si>
    <x:t xml:space="preserve">Safety, regulatory or production-stopping exposure</x:t>
  </x:si>
  <x:si>
    <x:t xml:space="preserve">Business Criticality</x:t>
  </x:si>
  <x:si>
    <x:t xml:space="preserve">Outage tolerable for days</x:t>
  </x:si>
  <x:si>
    <x:t xml:space="preserve">Outage tolerable for hours</x:t>
  </x:si>
  <x:si>
    <x:t xml:space="preserve">Outage tolerable for minutes; significant business impact</x:t>
  </x:si>
  <x:si>
    <x:t xml:space="preserve">Mission Critical</x:t>
  </x:si>
  <x:si>
    <x:t xml:space="preserve">No tolerable outage; plant or safety impact</x:t>
  </x:si>
  <x:si>
    <x:t xml:space="preserve">Quick Win</x:t>
  </x:si>
  <x:si>
    <x:t xml:space="preserve">Yes</x:t>
  </x:si>
  <x:si>
    <x:t xml:space="preserve">Low effort, low risk, early demonstrable value — candidate for Wave 1</x:t>
  </x:si>
  <x:si>
    <x:t xml:space="preserve">No</x:t>
  </x:si>
  <x:si>
    <x:t xml:space="preserve">Not a quick win</x:t>
  </x:si>
  <x:si>
    <x:t xml:space="preserve">Yes/No</x:t>
  </x:si>
  <x:si>
    <x:t xml:space="preserve">Sign-off Status</x:t>
  </x:si>
  <x:si>
    <x:t xml:space="preserve">Not Started</x:t>
  </x:si>
  <x:si>
    <x:t xml:space="preserve">In Workshop</x:t>
  </x:si>
  <x:si>
    <x:t xml:space="preserve">Pending BASF Review</x:t>
  </x:si>
  <x:si>
    <x:t xml:space="preserve">Approved</x:t>
  </x:si>
  <x:si>
    <x:t xml:space="preserve">Disputed</x:t>
  </x:si>
  <x:si>
    <x:t xml:space="preserve">Technical Assessment Effort Model (hours per application)</x:t>
  </x:si>
  <x:si>
    <x:t xml:space="preserve">Source: LMP_Estimation_Sheet.xlsx &gt; "Effort-Technical Assessment". Total = Common effort + (Mapping + Process assessment + Categorisation + Target-architecture alignment).</x:t>
  </x:si>
  <x:si>
    <x:t xml:space="preserve">Key</x:t>
  </x:si>
  <x:si>
    <x:t xml:space="preserve">Common Effort (hrs)</x:t>
  </x:si>
  <x:si>
    <x:t xml:space="preserve">Application Mapping (hrs)</x:t>
  </x:si>
  <x:si>
    <x:t xml:space="preserve">Process Assessment (hrs)</x:t>
  </x:si>
  <x:si>
    <x:t xml:space="preserve">Categorisation (hrs)</x:t>
  </x:si>
  <x:si>
    <x:t xml:space="preserve">Target Arch Alignment (hrs)</x:t>
  </x:si>
  <x:si>
    <x:t xml:space="preserve">Total Assessment (hrs)</x:t>
  </x:si>
  <x:si>
    <x:t xml:space="preserve">XXS|Simple</x:t>
  </x:si>
  <x:si>
    <x:t xml:space="preserve">XS|Simple</x:t>
  </x:si>
  <x:si>
    <x:t xml:space="preserve">S|Simple</x:t>
  </x:si>
  <x:si>
    <x:t xml:space="preserve">M|Simple</x:t>
  </x:si>
  <x:si>
    <x:t xml:space="preserve">L|Simple</x:t>
  </x:si>
  <x:si>
    <x:t xml:space="preserve">XL|Simple</x:t>
  </x:si>
  <x:si>
    <x:t xml:space="preserve">XXL|Simple</x:t>
  </x:si>
  <x:si>
    <x:t xml:space="preserve">XXS|Medium</x:t>
  </x:si>
  <x:si>
    <x:t xml:space="preserve">XS|Medium</x:t>
  </x:si>
  <x:si>
    <x:t xml:space="preserve">S|Medium</x:t>
  </x:si>
  <x:si>
    <x:t xml:space="preserve">M|Medium</x:t>
  </x:si>
  <x:si>
    <x:t xml:space="preserve">L|Medium</x:t>
  </x:si>
  <x:si>
    <x:t xml:space="preserve">XL|Medium</x:t>
  </x:si>
  <x:si>
    <x:t xml:space="preserve">XXL|Medium</x:t>
  </x:si>
  <x:si>
    <x:t xml:space="preserve">XXS|Complex</x:t>
  </x:si>
  <x:si>
    <x:t xml:space="preserve">XS|Complex</x:t>
  </x:si>
  <x:si>
    <x:t xml:space="preserve">S|Complex</x:t>
  </x:si>
  <x:si>
    <x:t xml:space="preserve">M|Complex</x:t>
  </x:si>
  <x:si>
    <x:t xml:space="preserve">L|Complex</x:t>
  </x:si>
  <x:si>
    <x:t xml:space="preserve">XL|Complex</x:t>
  </x:si>
  <x:si>
    <x:t xml:space="preserve">XXL|Complex</x:t>
  </x:si>
  <x:si>
    <x:t xml:space="preserve">XXS|Very Complex</x:t>
  </x:si>
  <x:si>
    <x:t xml:space="preserve">XS|Very Complex</x:t>
  </x:si>
  <x:si>
    <x:t xml:space="preserve">S|Very Complex</x:t>
  </x:si>
  <x:si>
    <x:t xml:space="preserve">M|Very Complex</x:t>
  </x:si>
  <x:si>
    <x:t xml:space="preserve">L|Very Complex</x:t>
  </x:si>
  <x:si>
    <x:t xml:space="preserve">XL|Very Complex</x:t>
  </x:si>
  <x:si>
    <x:t xml:space="preserve">XXL|Very Complex</x:t>
  </x:si>
  <x:si>
    <x:t xml:space="preserve">Programme-level assessment activities (per topic, not per application)</x:t>
  </x:si>
  <x:si>
    <x:t xml:space="preserve">Workshop</x:t>
  </x:si>
  <x:si>
    <x:t xml:space="preserve">Data Review</x:t>
  </x:si>
  <x:si>
    <x:t xml:space="preserve">Target Architecture for Topic</x:t>
  </x:si>
  <x:si>
    <x:t xml:space="preserve">Wave plan creation</x:t>
  </x:si>
  <x:si>
    <x:t xml:space="preserve">Business Case creation</x:t>
  </x:si>
  <x:si>
    <x:t xml:space="preserve">Gate Review</x:t>
  </x:si>
  <x:si>
    <x:t xml:space="preserve">Wave Parameters — calendar, cadence and capacity</x:t>
  </x:si>
  <x:si>
    <x:t xml:space="preserve">Yellow cells are inputs to the AI-driven wave planning tool.</x:t>
  </x:si>
  <x:si>
    <x:t xml:space="preserve">Parameter</x:t>
  </x:si>
  <x:si>
    <x:t xml:space="preserve">Value</x:t>
  </x:si>
  <x:si>
    <x:t xml:space="preserve">Notes</x:t>
  </x:si>
  <x:si>
    <x:t xml:space="preserve">Programme start date</x:t>
  </x:si>
  <x:si>
    <x:t xml:space="preserve">2026-10-01</x:t>
  </x:si>
  <x:si>
    <x:t xml:space="preserve">First day of Wave 1 initiation</x:t>
  </x:si>
  <x:si>
    <x:t xml:space="preserve">Programme end date</x:t>
  </x:si>
  <x:si>
    <x:t xml:space="preserve">2028-12-31</x:t>
  </x:si>
  <x:si>
    <x:t xml:space="preserve">Programme window is 3 to 24 months per topic</x:t>
  </x:si>
  <x:si>
    <x:t xml:space="preserve">Sprint length (weeks)</x:t>
  </x:si>
  <x:si>
    <x:t xml:space="preserve">Delivery organised in 3-week sprints</x:t>
  </x:si>
  <x:si>
    <x:t xml:space="preserve">Cutover cadence (months)</x:t>
  </x:si>
  <x:si>
    <x:t xml:space="preserve">Cutover every 3 months = one wave</x:t>
  </x:si>
  <x:si>
    <x:t xml:space="preserve">Number of waves</x:t>
  </x:si>
  <x:si>
    <x:t xml:space="preserve">Derived from programme window / cutover cadence</x:t>
  </x:si>
  <x:si>
    <x:t xml:space="preserve">Max applications per wave</x:t>
  </x:si>
  <x:si>
    <x:t xml:space="preserve">Hard ceiling regardless of effort capacity</x:t>
  </x:si>
  <x:si>
    <x:t xml:space="preserve">Available capacity per wave (hrs)</x:t>
  </x:si>
  <x:si>
    <x:t xml:space="preserve">Total delivery hours available per wave</x:t>
  </x:si>
  <x:si>
    <x:t xml:space="preserve">Max Very High change-impact apps per wave</x:t>
  </x:si>
  <x:si>
    <x:t xml:space="preserve">Change saturation guard</x:t>
  </x:si>
  <x:si>
    <x:t xml:space="preserve">Max Critical-risk apps per wave</x:t>
  </x:si>
  <x:si>
    <x:t xml:space="preserve">Risk concentration guard</x:t>
  </x:si>
  <x:si>
    <x:t xml:space="preserve">Max Mission Critical apps per wave</x:t>
  </x:si>
  <x:si>
    <x:t xml:space="preserve">Business continuity guard</x:t>
  </x:si>
  <x:si>
    <x:t xml:space="preserve">Quick wins target in Wave 1 (%)</x:t>
  </x:si>
  <x:si>
    <x:t xml:space="preserve">Share of Wave 1 reserved for quick wins</x:t>
  </x:si>
  <x:si>
    <x:t xml:space="preserve">Blackout window 1 (start)</x:t>
  </x:si>
  <x:si>
    <x:t xml:space="preserve">2026-12-15</x:t>
  </x:si>
  <x:si>
    <x:t xml:space="preserve">Year-end freeze — no cutovers</x:t>
  </x:si>
  <x:si>
    <x:t xml:space="preserve">Blackout window 1 (end)</x:t>
  </x:si>
  <x:si>
    <x:t xml:space="preserve">2027-01-05</x:t>
  </x:si>
  <x:si>
    <x:t xml:space="preserve">Blackout window 2 (start)</x:t>
  </x:si>
  <x:si>
    <x:t xml:space="preserve">Add plant turnaround windows as advised by BASF</x:t>
  </x:si>
  <x:si>
    <x:t xml:space="preserve">Blackout window 2 (end)</x:t>
  </x:si>
  <x:si>
    <x:t xml:space="preserve">Site turnaround constraint applies</x:t>
  </x:si>
  <x:si>
    <x:t xml:space="preserve">If Yes, apps flagged plant-critical avoid turnaround windows</x:t>
  </x:si>
  <x:si>
    <x:t xml:space="preserve">Wave Sequencing Rules — weights and scores</x:t>
  </x:si>
  <x:si>
    <x:t xml:space="preserve">The AI-driven tool computes a Wave Eligibility Score per application. Higher score = earlier wave. Adjust weights to re-shape the plan.</x:t>
  </x:si>
  <x:si>
    <x:t xml:space="preserve">Factor Weights (must total 100%)</x:t>
  </x:si>
  <x:si>
    <x:t xml:space="preserve">Weight</x:t>
  </x:si>
  <x:si>
    <x:t xml:space="preserve">Interpretation</x:t>
  </x:si>
  <x:si>
    <x:t xml:space="preserve">Quick win</x:t>
  </x:si>
  <x:si>
    <x:t xml:space="preserve">Front-loads early demonstrable value</x:t>
  </x:si>
  <x:si>
    <x:t xml:space="preserve">Effort (lower is earlier)</x:t>
  </x:si>
  <x:si>
    <x:t xml:space="preserve">Smaller applications sequence earlier</x:t>
  </x:si>
  <x:si>
    <x:t xml:space="preserve">Risk (lower is earlier)</x:t>
  </x:si>
  <x:si>
    <x:t xml:space="preserve">Defers high-risk applications to later waves</x:t>
  </x:si>
  <x:si>
    <x:t xml:space="preserve">Change impact (lower is earlier)</x:t>
  </x:si>
  <x:si>
    <x:t xml:space="preserve">Protects the organisation from change saturation</x:t>
  </x:si>
  <x:si>
    <x:t xml:space="preserve">Dependency readiness</x:t>
  </x:si>
  <x:si>
    <x:t xml:space="preserve">Applications whose predecessors are done sequence earlier</x:t>
  </x:si>
  <x:si>
    <x:t xml:space="preserve">Business criticality (lower is earlier)</x:t>
  </x:si>
  <x:si>
    <x:t xml:space="preserve">Defers mission-critical systems</x:t>
  </x:si>
  <x:si>
    <x:t xml:space="preserve">Total</x:t>
  </x:si>
  <x:si>
    <x:t xml:space="preserve">Must equal 100%</x:t>
  </x:si>
  <x:si>
    <x:t xml:space="preserve">Risk score (lower risk scores higher)</x:t>
  </x:si>
  <x:si>
    <x:t xml:space="preserve">Score</x:t>
  </x:si>
  <x:si>
    <x:t xml:space="preserve">Change impact score</x:t>
  </x:si>
  <x:si>
    <x:t xml:space="preserve">Business criticality score</x:t>
  </x:si>
  <x:si>
    <x:t xml:space="preserve">Effort score by T-shirt size</x:t>
  </x:si>
  <x:si>
    <x:t xml:space="preserve">Quick win score</x:t>
  </x:si>
  <x:si>
    <x:t xml:space="preserve">Dependency readiness score</x:t>
  </x:si>
  <x:si>
    <x:t xml:space="preserve">No dependencies</x:t>
  </x:si>
  <x:si>
    <x:t xml:space="preserve">Dependencies in earlier wave</x:t>
  </x:si>
  <x:si>
    <x:t xml:space="preserve">Dependencies in same wave</x:t>
  </x:si>
  <x:si>
    <x:t xml:space="preserve">Dependencies unresolved</x:t>
  </x:si>
  <x:si>
    <x:t xml:space="preserve">App ID</x:t>
  </x:si>
  <x:si>
    <x:t xml:space="preserve">Application Name</x:t>
  </x:si>
  <x:si>
    <x:t xml:space="preserve">Topic (Categorization)</x:t>
  </x:si>
  <x:si>
    <x:t xml:space="preserve">Business Capability (from source col P)</x:t>
  </x:si>
  <x:si>
    <x:t xml:space="preserve">Capability Confirmed?</x:t>
  </x:si>
  <x:si>
    <x:t xml:space="preserve">Business Rationale</x:t>
  </x:si>
  <x:si>
    <x:t xml:space="preserve">Target Platform</x:t>
  </x:si>
  <x:si>
    <x:t xml:space="preserve"># Tables</x:t>
  </x:si>
  <x:si>
    <x:t xml:space="preserve">Data Volume (records)</x:t>
  </x:si>
  <x:si>
    <x:t xml:space="preserve">Department</x:t>
  </x:si>
  <x:si>
    <x:t xml:space="preserve">Business Owner</x:t>
  </x:si>
  <x:si>
    <x:t xml:space="preserve">Install Type</x:t>
  </x:si>
  <x:si>
    <x:t xml:space="preserve">Site / Region</x:t>
  </x:si>
  <x:si>
    <x:t xml:space="preserve">Dependencies (App IDs)</x:t>
  </x:si>
  <x:si>
    <x:t xml:space="preserve">Dependency Readiness</x:t>
  </x:si>
  <x:si>
    <x:t xml:space="preserve">Earliest Start</x:t>
  </x:si>
  <x:si>
    <x:t xml:space="preserve">Latest Finish</x:t>
  </x:si>
  <x:si>
    <x:t xml:space="preserve">Regulatory Hold?</x:t>
  </x:si>
  <x:si>
    <x:t xml:space="preserve">Assessment Effort (hrs)</x:t>
  </x:si>
  <x:si>
    <x:t xml:space="preserve">Migration Effort (hrs)</x:t>
  </x:si>
  <x:si>
    <x:t xml:space="preserve">Total Effort (hrs)</x:t>
  </x:si>
  <x:si>
    <x:t xml:space="preserve">Wave Eligibility Score</x:t>
  </x:si>
  <x:si>
    <x:t xml:space="preserve">Proposed Wave</x:t>
  </x:si>
  <x:si>
    <x:t xml:space="preserve">SME / Owner</x:t>
  </x:si>
  <x:si>
    <x:t xml:space="preserve">Workshop Date</x:t>
  </x:si>
  <x:si>
    <x:t xml:space="preserve">Comments</x:t>
  </x:si>
  <x:si>
    <x:t xml:space="preserve">APM0000000</x:t>
  </x:si>
  <x:si>
    <x:t xml:space="preserve">EXAMPLE ROW — delete before submission</x:t>
  </x:si>
  <x:si>
    <x:t xml:space="preserve">Harmonize MES-Solutions</x:t>
  </x:si>
  <x:si>
    <x:t xml:space="preserve">Production Execution (Provides)</x:t>
  </x:si>
  <x:si>
    <x:t xml:space="preserve">Site MES duplicates standard platform capability; consolidate to reduce licence and support cost.</x:t>
  </x:si>
  <x:si>
    <x:t xml:space="preserve">BASF Standard MES</x:t>
  </x:si>
  <x:si>
    <x:t xml:space="preserve">GBW/PPX</x:t>
  </x:si>
  <x:si>
    <x:t xml:space="preserve">J. Example</x:t>
  </x:si>
  <x:si>
    <x:t xml:space="preserve">On Premise</x:t>
  </x:si>
  <x:si>
    <x:t xml:space="preserve">Ludwigshafen</x:t>
  </x:si>
  <x:si>
    <x:t xml:space="preserve">APM0001111; APM0002222</x:t>
  </x:si>
  <x:si>
    <x:t xml:space="preserve">A. Musterfrau</x:t>
  </x:si>
  <x:si>
    <x:t xml:space="preserve">Turnaround window at site must be avoided.</x:t>
  </x:si>
  <x:si>
    <x:t xml:space="preserve">APM0003414</x:t>
  </x:si>
  <x:si>
    <x:t xml:space="preserve">A30_PERSONAL</x:t>
  </x:si>
  <x:si>
    <x:t xml:space="preserve">AMS for Oracle APEX</x:t>
  </x:si>
  <x:si>
    <x:t xml:space="preserve">Provide Facility Services (Provides)</x:t>
  </x:si>
  <x:si>
    <x:t xml:space="preserve">Low change frequency and well-documented support model; move to AMS to release internal capacity.</x:t>
  </x:si>
  <x:si>
    <x:t xml:space="preserve">Oracle APEX Managed Service</x:t>
  </x:si>
  <x:si>
    <x:t xml:space="preserve">ESO/BL</x:t>
  </x:si>
  <x:si>
    <x:t xml:space="preserve">Tanja Kerner</x:t>
  </x:si>
  <x:si>
    <x:t xml:space="preserve">Freeport</x:t>
  </x:si>
  <x:si>
    <x:t xml:space="preserve">Oracle SME 1</x:t>
  </x:si>
  <x:si>
    <x:t xml:space="preserve">APM0003413</x:t>
  </x:si>
  <x:si>
    <x:t xml:space="preserve">AGBALANCE LIVESTOCK OPTI</x:t>
  </x:si>
  <x:si>
    <x:t xml:space="preserve">Product, Production Process and System Innovation Management (Provides)</x:t>
  </x:si>
  <x:si>
    <x:t xml:space="preserve">Stable application with no functional change planned; operational responsibility transfers to the supplier under AMS.</x:t>
  </x:si>
  <x:si>
    <x:t xml:space="preserve">BVC</x:t>
  </x:si>
  <x:si>
    <x:t xml:space="preserve">Michaela Kemper</x:t>
  </x:si>
  <x:si>
    <x:t xml:space="preserve">Oracle SME 2</x:t>
  </x:si>
  <x:si>
    <x:t xml:space="preserve">APM0003415</x:t>
  </x:si>
  <x:si>
    <x:t xml:space="preserve">AGRO-DB</x:t>
  </x:si>
  <x:si>
    <x:t xml:space="preserve">Manage Product Information (Provides), Collect and Manage Competitor Information (Provides)</x:t>
  </x:si>
  <x:si>
    <x:t xml:space="preserve">E-CIE/DD</x:t>
  </x:si>
  <x:si>
    <x:t xml:space="preserve">Ruediger Reingruber</x:t>
  </x:si>
  <x:si>
    <x:t xml:space="preserve">Antwerp</x:t>
  </x:si>
  <x:si>
    <x:t xml:space="preserve">Oracle SME 3</x:t>
  </x:si>
  <x:si>
    <x:t xml:space="preserve">APM0010573</x:t>
  </x:si>
  <x:si>
    <x:t xml:space="preserve">APEX - Fernando (BASF Antwerp)</x:t>
  </x:si>
  <x:si>
    <x:t xml:space="preserve">Check-In (Provides)</x:t>
  </x:si>
  <x:si>
    <x:t xml:space="preserve">ESA/LP</x:t>
  </x:si>
  <x:si>
    <x:t xml:space="preserve">Maarten Misschaert</x:t>
  </x:si>
  <x:si>
    <x:t xml:space="preserve">APM0003414; APM0003415</x:t>
  </x:si>
  <x:si>
    <x:t xml:space="preserve">Oracle SME 4</x:t>
  </x:si>
  <x:si>
    <x:t xml:space="preserve">Vendor licence expires mid-programme; align cutover accordingly.</x:t>
  </x:si>
  <x:si>
    <x:t xml:space="preserve">APM0003452</x:t>
  </x:si>
  <x:si>
    <x:t xml:space="preserve">APLAERM</x:t>
  </x:si>
  <x:si>
    <x:t xml:space="preserve">Occupational Health (Provides)</x:t>
  </x:si>
  <x:si>
    <x:t xml:space="preserve">ESE/ML</x:t>
  </x:si>
  <x:si>
    <x:t xml:space="preserve">Markus Hammermann</x:t>
  </x:si>
  <x:si>
    <x:t xml:space="preserve">APM0004323</x:t>
  </x:si>
  <x:si>
    <x:t xml:space="preserve">ARCAD</x:t>
  </x:si>
  <x:si>
    <x:t xml:space="preserve">Provide Plant Maintenance (Provides)</x:t>
  </x:si>
  <x:si>
    <x:t xml:space="preserve">ESI/ES</x:t>
  </x:si>
  <x:si>
    <x:t xml:space="preserve">Manfred Penner</x:t>
  </x:si>
  <x:si>
    <x:t xml:space="preserve">Schwarzheide</x:t>
  </x:si>
  <x:si>
    <x:t xml:space="preserve">APM0003416</x:t>
  </x:si>
  <x:si>
    <x:t xml:space="preserve">AVISOR APEX ADMIN TOOL</x:t>
  </x:si>
  <x:si>
    <x:t xml:space="preserve">Provide Other Technical Services (Provides), Manage Purchase Order (Provides), Accept Goods/Services (Provides)</x:t>
  </x:si>
  <x:si>
    <x:t xml:space="preserve">GDD/DA</x:t>
  </x:si>
  <x:si>
    <x:t xml:space="preserve">Jan Horst Markus Grieser</x:t>
  </x:si>
  <x:si>
    <x:t xml:space="preserve">Tarragona</x:t>
  </x:si>
  <x:si>
    <x:t xml:space="preserve">APM0003452; APM0004323</x:t>
  </x:si>
  <x:si>
    <x:t xml:space="preserve">APM0012205</x:t>
  </x:si>
  <x:si>
    <x:t xml:space="preserve">Abwasser DEKA</x:t>
  </x:si>
  <x:si>
    <x:t xml:space="preserve">Manage Water Protection (Provides)</x:t>
  </x:si>
  <x:si>
    <x:t xml:space="preserve">CIP/AD</x:t>
  </x:si>
  <x:si>
    <x:t xml:space="preserve">Frauke Thrun</x:t>
  </x:si>
  <x:si>
    <x:t xml:space="preserve">Turnaround window at site must be avoided during cutover.</x:t>
  </x:si>
  <x:si>
    <x:t xml:space="preserve">APM0010765</x:t>
  </x:si>
  <x:si>
    <x:t xml:space="preserve">Abwasser Kammerbetriebe</x:t>
  </x:si>
  <x:si>
    <x:t xml:space="preserve">Manage Water Supply + Network (Provides)</x:t>
  </x:si>
  <x:si>
    <x:t xml:space="preserve">CI/CD</x:t>
  </x:si>
  <x:si>
    <x:t xml:space="preserve">Andreas Giel</x:t>
  </x:si>
  <x:si>
    <x:t xml:space="preserve">Shadow IT usage suspected; confirm true user base in workshop.</x:t>
  </x:si>
  <x:si>
    <x:t xml:space="preserve">APM0010764</x:t>
  </x:si>
  <x:si>
    <x:t xml:space="preserve">Abwasser Spezial-Amin</x:t>
  </x:si>
  <x:si>
    <x:t xml:space="preserve">CIP/AS</x:t>
  </x:si>
  <x:si>
    <x:t xml:space="preserve">Nina Gertrud Bandur</x:t>
  </x:si>
  <x:si>
    <x:t xml:space="preserve">Singapore</x:t>
  </x:si>
  <x:si>
    <x:t xml:space="preserve">APM0003469</x:t>
  </x:si>
  <x:si>
    <x:t xml:space="preserve">Atemschutzweb</x:t>
  </x:si>
  <x:si>
    <x:t xml:space="preserve">Provide Site Fire Brigade (Provides)</x:t>
  </x:si>
  <x:si>
    <x:t xml:space="preserve">ESE/EC</x:t>
  </x:si>
  <x:si>
    <x:t xml:space="preserve">Gerhard Woelk</x:t>
  </x:si>
  <x:si>
    <x:t xml:space="preserve">APM0012205; APM0010765; APM0003413</x:t>
  </x:si>
  <x:si>
    <x:t xml:space="preserve">Awaiting confirmation of site-local process variations.</x:t>
  </x:si>
  <x:si>
    <x:t xml:space="preserve">APM0012334</x:t>
  </x:si>
  <x:si>
    <x:t xml:space="preserve">BASANT DIVA</x:t>
  </x:si>
  <x:si>
    <x:t xml:space="preserve">Calculate utility optimized production scenarios (Provides)</x:t>
  </x:si>
  <x:si>
    <x:t xml:space="preserve">ESP/IT</x:t>
  </x:si>
  <x:si>
    <x:t xml:space="preserve">Felix Guo</x:t>
  </x:si>
  <x:si>
    <x:t xml:space="preserve">APM0002201</x:t>
  </x:si>
  <x:si>
    <x:t xml:space="preserve">BASANT MIDAS ANTWERP</x:t>
  </x:si>
  <x:si>
    <x:t xml:space="preserve">Manage Emissions (Provides)</x:t>
  </x:si>
  <x:si>
    <x:t xml:space="preserve">ESA/VIS</x:t>
  </x:si>
  <x:si>
    <x:t xml:space="preserve">Tom Hugens</x:t>
  </x:si>
  <x:si>
    <x:t xml:space="preserve">Global</x:t>
  </x:si>
  <x:si>
    <x:t xml:space="preserve">APM0010473</x:t>
  </x:si>
  <x:si>
    <x:t xml:space="preserve">BASANT PANDA ASSET</x:t>
  </x:si>
  <x:si>
    <x:t xml:space="preserve">Manage specification limits for products (Provides), Determine plant capacities and limits (Provides), Detail manufacturing order data (Provides)</x:t>
  </x:si>
  <x:si>
    <x:t xml:space="preserve">ESA/VID</x:t>
  </x:si>
  <x:si>
    <x:t xml:space="preserve">Pieter Nuyens</x:t>
  </x:si>
  <x:si>
    <x:t xml:space="preserve">APM0012302</x:t>
  </x:si>
  <x:si>
    <x:t xml:space="preserve">BASANT PANDA CLARIFY</x:t>
  </x:si>
  <x:si>
    <x:t xml:space="preserve">Evaluate production progress, quality and efficacy (Provides)</x:t>
  </x:si>
  <x:si>
    <x:t xml:space="preserve">APM0010775</x:t>
  </x:si>
  <x:si>
    <x:t xml:space="preserve">BASANT PANDA DOMS</x:t>
  </x:si>
  <x:si>
    <x:t xml:space="preserve">Define recipes for production procedures (Provides)</x:t>
  </x:si>
  <x:si>
    <x:t xml:space="preserve">ESP/TIS</x:t>
  </x:si>
  <x:si>
    <x:t xml:space="preserve">Veerle Hertling</x:t>
  </x:si>
  <x:si>
    <x:t xml:space="preserve">Nanjing</x:t>
  </x:si>
  <x:si>
    <x:t xml:space="preserve">APM0002252</x:t>
  </x:si>
  <x:si>
    <x:t xml:space="preserve">BASANT PANDA OAPEX PLATFORM</x:t>
  </x:si>
  <x:si>
    <x:t xml:space="preserve">Compliantly record and store manufacturing data (Provides)</x:t>
  </x:si>
  <x:si>
    <x:t xml:space="preserve">Historical data volume to be re-measured prior to sizing sign-off.</x:t>
  </x:si>
  <x:si>
    <x:t xml:space="preserve">APM0010570</x:t>
  </x:si>
  <x:si>
    <x:t xml:space="preserve">BASANT PANDA SAPSCAN</x:t>
  </x:si>
  <x:si>
    <x:t xml:space="preserve">Manage assignment of materials to process operations (Provides)</x:t>
  </x:si>
  <x:si>
    <x:t xml:space="preserve">ESP/CL</x:t>
  </x:si>
  <x:si>
    <x:t xml:space="preserve">Pum Van De Ven</x:t>
  </x:si>
  <x:si>
    <x:t xml:space="preserve">APM0003484</x:t>
  </x:si>
  <x:si>
    <x:t xml:space="preserve">BASPACK - Packaging</x:t>
  </x:si>
  <x:si>
    <x:t xml:space="preserve">Material Master Data Management (Provides)</x:t>
  </x:si>
  <x:si>
    <x:t xml:space="preserve">GPI/PP</x:t>
  </x:si>
  <x:si>
    <x:t xml:space="preserve">Alexander Rothmund</x:t>
  </x:si>
  <x:si>
    <x:t xml:space="preserve">APM0012302; APM0012334</x:t>
  </x:si>
  <x:si>
    <x:t xml:space="preserve">Data retention requirement to be validated before decommissioning.</x:t>
  </x:si>
  <x:si>
    <x:t xml:space="preserve">APM0003418</x:t>
  </x:si>
  <x:si>
    <x:t xml:space="preserve">CALLCENTER</x:t>
  </x:si>
  <x:si>
    <x:t xml:space="preserve">Telephony Management (Provides), Knowledge Management (Provides)</x:t>
  </x:si>
  <x:si>
    <x:t xml:space="preserve">GDA/GH</x:t>
  </x:si>
  <x:si>
    <x:t xml:space="preserve">Mareike Theissinger</x:t>
  </x:si>
  <x:si>
    <x:t xml:space="preserve">APM0003439</x:t>
  </x:si>
  <x:si>
    <x:t xml:space="preserve">CARE CHEMICALS MASS-BALANCE-TOOL</x:t>
  </x:si>
  <x:si>
    <x:t xml:space="preserve">Manage Mass Balance (Provides)</x:t>
  </x:si>
  <x:si>
    <x:t xml:space="preserve">G-EM/OE</x:t>
  </x:si>
  <x:si>
    <x:t xml:space="preserve">Laila Glehn</x:t>
  </x:si>
  <x:si>
    <x:t xml:space="preserve">APM0003446</x:t>
  </x:si>
  <x:si>
    <x:t xml:space="preserve">CP JService</x:t>
  </x:si>
  <x:si>
    <x:t xml:space="preserve">Data Integration (Provides)</x:t>
  </x:si>
  <x:si>
    <x:t xml:space="preserve">CPM/LI</x:t>
  </x:si>
  <x:si>
    <x:t xml:space="preserve">Christine Schaedel</x:t>
  </x:si>
  <x:si>
    <x:t xml:space="preserve">APM0003443</x:t>
  </x:si>
  <x:si>
    <x:t xml:space="preserve">CP Monitoring</x:t>
  </x:si>
  <x:si>
    <x:t xml:space="preserve">APM0003444</x:t>
  </x:si>
  <x:si>
    <x:t xml:space="preserve">CP SAP Connector</x:t>
  </x:si>
  <x:si>
    <x:t xml:space="preserve">APM0003445</x:t>
  </x:si>
  <x:si>
    <x:t xml:space="preserve">CP SPC Planning Reports</x:t>
  </x:si>
  <x:si>
    <x:t xml:space="preserve">SC S&amp;OP and Supply Planning (Provides), BI, Reporting &amp; Analytics (Provides)</x:t>
  </x:si>
  <x:si>
    <x:t xml:space="preserve">APM0003420</x:t>
  </x:si>
  <x:si>
    <x:t xml:space="preserve">ELIAS-EU-SITE-LOG</x:t>
  </x:si>
  <x:si>
    <x:t xml:space="preserve">ESL/WM</x:t>
  </x:si>
  <x:si>
    <x:t xml:space="preserve">Michael Sahler</x:t>
  </x:si>
  <x:si>
    <x:t xml:space="preserve">APM0002719</x:t>
  </x:si>
  <x:si>
    <x:t xml:space="preserve">EMD PRODUKTSPEZIFIKATIONEN</x:t>
  </x:si>
  <x:si>
    <x:t xml:space="preserve">Product, Production Process and System Innovation Management (Provides), Manage Product Compliance Master Data (Provides)</x:t>
  </x:si>
  <x:si>
    <x:t xml:space="preserve">EMX/QA</x:t>
  </x:si>
  <x:si>
    <x:t xml:space="preserve">Lukas Nattmann</x:t>
  </x:si>
  <x:si>
    <x:t xml:space="preserve">APM0002165</x:t>
  </x:si>
  <x:si>
    <x:t xml:space="preserve">EV PRODUCT SPECIFICATIONS</x:t>
  </x:si>
  <x:si>
    <x:t xml:space="preserve">G-EVP/QM</x:t>
  </x:si>
  <x:si>
    <x:t xml:space="preserve">Alexander-Klaus Adleff</x:t>
  </x:si>
  <x:si>
    <x:t xml:space="preserve">APM0003810</x:t>
  </x:si>
  <x:si>
    <x:t xml:space="preserve">EV QM ANWENDUNGEN</x:t>
  </x:si>
  <x:si>
    <x:t xml:space="preserve">Manage BASF QM Process Documentation (Provides)</x:t>
  </x:si>
  <x:si>
    <x:t xml:space="preserve">EVM/ET</x:t>
  </x:si>
  <x:si>
    <x:t xml:space="preserve">Eric Jandura</x:t>
  </x:si>
  <x:si>
    <x:t xml:space="preserve">APM0003488</x:t>
  </x:si>
  <x:si>
    <x:t xml:space="preserve">GELAG AND MINIPLANT</x:t>
  </x:si>
  <x:si>
    <x:t xml:space="preserve">Laboratory Infrastructure (Provides)</x:t>
  </x:si>
  <x:si>
    <x:t xml:space="preserve">Silvio Montini</x:t>
  </x:si>
  <x:si>
    <x:t xml:space="preserve">APM0003453</x:t>
  </x:si>
  <x:si>
    <x:t xml:space="preserve">GUDWH</x:t>
  </x:si>
  <x:si>
    <x:t xml:space="preserve">ESE/MW</x:t>
  </x:si>
  <x:si>
    <x:t xml:space="preserve">Thomas Hoffelder</x:t>
  </x:si>
  <x:si>
    <x:t xml:space="preserve">Geismar</x:t>
  </x:si>
  <x:si>
    <x:t xml:space="preserve">Interface inventory to be confirmed with integration team.</x:t>
  </x:si>
  <x:si>
    <x:t xml:space="preserve">APM0003450</x:t>
  </x:si>
  <x:si>
    <x:t xml:space="preserve">NOTFALLSYSTEM PASSAGE LIEFERSCHEINE</x:t>
  </x:si>
  <x:si>
    <x:t xml:space="preserve">Manage Site Security (Provides), Check-Out (Provides)</x:t>
  </x:si>
  <x:si>
    <x:t xml:space="preserve">ESM/OD</x:t>
  </x:si>
  <x:si>
    <x:t xml:space="preserve">Gerald Ebisch</x:t>
  </x:si>
  <x:si>
    <x:t xml:space="preserve">Sao Paulo</x:t>
  </x:si>
  <x:si>
    <x:t xml:space="preserve">APM0009146</x:t>
  </x:si>
  <x:si>
    <x:t xml:space="preserve">ORACLE_APEX_SHARED</x:t>
  </x:si>
  <x:si>
    <x:t xml:space="preserve">Low-Code Application Development (Provides)</x:t>
  </x:si>
  <x:si>
    <x:t xml:space="preserve">GDD/DD</x:t>
  </x:si>
  <x:si>
    <x:t xml:space="preserve">Anke Erdenberger</x:t>
  </x:si>
  <x:si>
    <x:t xml:space="preserve">APM0003401</x:t>
  </x:si>
  <x:si>
    <x:t xml:space="preserve">PARTIEKARTENSYSTEM PKS</x:t>
  </x:si>
  <x:si>
    <x:t xml:space="preserve">Laboratory Data specific Systems (Provides)</x:t>
  </x:si>
  <x:si>
    <x:t xml:space="preserve">E-EDE/OD</x:t>
  </x:si>
  <x:si>
    <x:t xml:space="preserve">Juergen Zimpelmann</x:t>
  </x:si>
  <x:si>
    <x:t xml:space="preserve">APM0003418; APM0003444</x:t>
  </x:si>
  <x:si>
    <x:t xml:space="preserve">APM0003423</x:t>
  </x:si>
  <x:si>
    <x:t xml:space="preserve">PARTIKELMESSTECHN</x:t>
  </x:si>
  <x:si>
    <x:t xml:space="preserve">RGS/BM</x:t>
  </x:si>
  <x:si>
    <x:t xml:space="preserve">Kai Bergner</x:t>
  </x:si>
  <x:si>
    <x:t xml:space="preserve">APM0004317</x:t>
  </x:si>
  <x:si>
    <x:t xml:space="preserve">SPEZIALGASE-LAGERVERWALTUNG (SPEZGASL)</x:t>
  </x:si>
  <x:si>
    <x:t xml:space="preserve">Analysis (Warehouse Operations) (Provides)</x:t>
  </x:si>
  <x:si>
    <x:t xml:space="preserve">Eva Saffert</x:t>
  </x:si>
  <x:si>
    <x:t xml:space="preserve">Hybrid</x:t>
  </x:si>
  <x:si>
    <x:t xml:space="preserve">APM0011143</x:t>
  </x:si>
  <x:si>
    <x:t xml:space="preserve">Sample tracking Basant</x:t>
  </x:si>
  <x:si>
    <x:t xml:space="preserve">Manage product quality specifications (Provides)</x:t>
  </x:si>
  <x:si>
    <x:t xml:space="preserve">ESP/IA</x:t>
  </x:si>
  <x:si>
    <x:t xml:space="preserve">Senne Van Alphen</x:t>
  </x:si>
  <x:si>
    <x:t xml:space="preserve">Mobile App</x:t>
  </x:si>
  <x:si>
    <x:t xml:space="preserve">APM0012205; APM0004317; APM0002719</x:t>
  </x:si>
  <x:si>
    <x:t xml:space="preserve">APM0003456</x:t>
  </x:si>
  <x:si>
    <x:t xml:space="preserve">WISS</x:t>
  </x:si>
  <x:si>
    <x:t xml:space="preserve">Marcus Wilke</x:t>
  </x:si>
  <x:si>
    <x:t xml:space="preserve">APM0001011</x:t>
  </x:si>
  <x:si>
    <x:t xml:space="preserve">BASANT MICROSTATION</x:t>
  </x:si>
  <x:si>
    <x:t xml:space="preserve">Harmonize 2D Plant Design Tooling</x:t>
  </x:si>
  <x:si>
    <x:t xml:space="preserve">Provide Construction (Provides)</x:t>
  </x:si>
  <x:si>
    <x:t xml:space="preserve">Application delivers a subset of AutoCAD Standard Tooling capability with no differentiating function; retire after migration to the standard platform.</x:t>
  </x:si>
  <x:si>
    <x:t xml:space="preserve">AutoCAD Standard Tooling</x:t>
  </x:si>
  <x:si>
    <x:t xml:space="preserve">ESA/VIO</x:t>
  </x:si>
  <x:si>
    <x:t xml:space="preserve">Peter Verhoeven</x:t>
  </x:si>
  <x:si>
    <x:t xml:space="preserve">2D SME 1</x:t>
  </x:si>
  <x:si>
    <x:t xml:space="preserve">APM0006394</x:t>
  </x:si>
  <x:si>
    <x:t xml:space="preserve">BPC Smart P&amp;ID</x:t>
  </x:si>
  <x:si>
    <x:t xml:space="preserve">Provide Process Engineering (Provides)</x:t>
  </x:si>
  <x:si>
    <x:t xml:space="preserve">Fragmented 2d plant design tooling landscape drives inconsistent data and duplicated interfaces; consolidation onto AutoCAD Standard Tooling is the agreed target state.</x:t>
  </x:si>
  <x:si>
    <x:t xml:space="preserve">CPK/ST</x:t>
  </x:si>
  <x:si>
    <x:t xml:space="preserve">Muhamad Taufik Muhamad Mudzaffar</x:t>
  </x:si>
  <x:si>
    <x:t xml:space="preserve">2D SME 2</x:t>
  </x:si>
  <x:si>
    <x:t xml:space="preserve">APM0003602</x:t>
  </x:si>
  <x:si>
    <x:t xml:space="preserve">BYC SMARTPLANT PID</x:t>
  </x:si>
  <x:si>
    <x:t xml:space="preserve">Site-local 2d plant design tooling duplicates capability already provided by AutoCAD Standard Tooling; consolidate to reduce licence, hosting and support cost.</x:t>
  </x:si>
  <x:si>
    <x:t xml:space="preserve">ACN CTE/DD</x:t>
  </x:si>
  <x:si>
    <x:t xml:space="preserve">Wei HU</x:t>
  </x:si>
  <x:si>
    <x:t xml:space="preserve">2D SME 3</x:t>
  </x:si>
  <x:si>
    <x:t xml:space="preserve">APM0008860</x:t>
  </x:si>
  <x:si>
    <x:t xml:space="preserve">Bluebeam Revu</x:t>
  </x:si>
  <x:si>
    <x:t xml:space="preserve">Provide Piping Engineering (Provides), Provide Construction (Provides), Provide Civil Engineering (Provides)</x:t>
  </x:si>
  <x:si>
    <x:t xml:space="preserve">GEM/EC</x:t>
  </x:si>
  <x:si>
    <x:t xml:space="preserve">Thomas Drommer</x:t>
  </x:si>
  <x:si>
    <x:t xml:space="preserve">APM0006394; APM0001011</x:t>
  </x:si>
  <x:si>
    <x:t xml:space="preserve">2D SME 4</x:t>
  </x:si>
  <x:si>
    <x:t xml:space="preserve">APM0010488</x:t>
  </x:si>
  <x:si>
    <x:t xml:space="preserve">DELME GPM Autocad P&amp;ID</x:t>
  </x:si>
  <x:si>
    <x:t xml:space="preserve">Provide Process Engineering (Provides), Provide Process Engineering (Provides)</x:t>
  </x:si>
  <x:si>
    <x:t xml:space="preserve">GEC/GPM</x:t>
  </x:si>
  <x:si>
    <x:t xml:space="preserve">Konstantin Kroeger</x:t>
  </x:si>
  <x:si>
    <x:t xml:space="preserve">APM0013442</x:t>
  </x:si>
  <x:si>
    <x:t xml:space="preserve">Digital Plant Topology</x:t>
  </x:si>
  <x:si>
    <x:t xml:space="preserve">Manage Machine Learning (Provides)</x:t>
  </x:si>
  <x:si>
    <x:t xml:space="preserve">Overlapping 2d plant design tooling functionality across sites; harmonising onto AutoCAD Standard Tooling removes redundant support effort and standardises process.</x:t>
  </x:si>
  <x:si>
    <x:t xml:space="preserve">GDD/EA</x:t>
  </x:si>
  <x:si>
    <x:t xml:space="preserve">Julen Barriga</x:t>
  </x:si>
  <x:si>
    <x:t xml:space="preserve">Cloud</x:t>
  </x:si>
  <x:si>
    <x:t xml:space="preserve">APM0003851</x:t>
  </x:si>
  <x:si>
    <x:t xml:space="preserve">SMARTPLANT P&amp;ID</x:t>
  </x:si>
  <x:si>
    <x:t xml:space="preserve">Provide Piping Engineering (Provides)</x:t>
  </x:si>
  <x:si>
    <x:t xml:space="preserve">GE/DI</x:t>
  </x:si>
  <x:si>
    <x:t xml:space="preserve">Noopur Chaturvedi</x:t>
  </x:si>
  <x:si>
    <x:t xml:space="preserve">APM0011404</x:t>
  </x:si>
  <x:si>
    <x:t xml:space="preserve">SPID - ZVS</x:t>
  </x:si>
  <x:si>
    <x:t xml:space="preserve">GEA/TE</x:t>
  </x:si>
  <x:si>
    <x:t xml:space="preserve">Amit Roy</x:t>
  </x:si>
  <x:si>
    <x:t xml:space="preserve">APM0002064</x:t>
  </x:si>
  <x:si>
    <x:t xml:space="preserve">SPPID - Asia Pacific</x:t>
  </x:si>
  <x:si>
    <x:t xml:space="preserve">Provide Process Analytical Technology (Provides), Provide Engineering Material Master Data (Provides)</x:t>
  </x:si>
  <x:si>
    <x:t xml:space="preserve">GEA/OC</x:t>
  </x:si>
  <x:si>
    <x:t xml:space="preserve">Ming Wu XIA</x:t>
  </x:si>
  <x:si>
    <x:t xml:space="preserve">APM0004010</x:t>
  </x:si>
  <x:si>
    <x:t xml:space="preserve">AUTODESK INVENTOR</x:t>
  </x:si>
  <x:si>
    <x:t xml:space="preserve">Harmonize 3D Plant Design &amp; Site Scanning</x:t>
  </x:si>
  <x:si>
    <x:t xml:space="preserve">Provide Mechanical Design (Provides)</x:t>
  </x:si>
  <x:si>
    <x:t xml:space="preserve">Fragmented 3d plant design &amp; site scanning landscape drives inconsistent data and duplicated interfaces; consolidation onto AVEVA E3D / Site Scanning is the agreed target state.</x:t>
  </x:si>
  <x:si>
    <x:t xml:space="preserve">AVEVA E3D / Site Scanning</x:t>
  </x:si>
  <x:si>
    <x:t xml:space="preserve">ESO/MP</x:t>
  </x:si>
  <x:si>
    <x:t xml:space="preserve">Falk Gehrhardt</x:t>
  </x:si>
  <x:si>
    <x:t xml:space="preserve">3D SME 1</x:t>
  </x:si>
  <x:si>
    <x:t xml:space="preserve">APM0004013</x:t>
  </x:si>
  <x:si>
    <x:t xml:space="preserve">AVEVA E3D</x:t>
  </x:si>
  <x:si>
    <x:t xml:space="preserve">Provide Piping Engineering (Provides), Provide E&amp;I Engineering (Provides), Provide Construction (Provides), Provide Civil Engineering (Provides)</x:t>
  </x:si>
  <x:si>
    <x:t xml:space="preserve">No active users identified during discovery; retire and archive the M dataset.</x:t>
  </x:si>
  <x:si>
    <x:t xml:space="preserve">Torsten Bierz</x:t>
  </x:si>
  <x:si>
    <x:t xml:space="preserve">3D SME 2</x:t>
  </x:si>
  <x:si>
    <x:t xml:space="preserve">APM0003747</x:t>
  </x:si>
  <x:si>
    <x:t xml:space="preserve">Aveva Everything 3D - PORTH ARTHUR</x:t>
  </x:si>
  <x:si>
    <x:t xml:space="preserve">ProvideTechnical Inspection (Provides), Provide Process Engineering (Provides), Provide Plant Maintenance (Provides), Provide Piping Engineering (Provides), Provide E&amp;I Engineering (Provides), Provide Construction (Provides), Provide Civil Engineering (Provides)</x:t>
  </x:si>
  <x:si>
    <x:t xml:space="preserve">Application delivers a subset of AVEVA E3D / Site Scanning capability with no differentiating function; retire after migration to the standard platform.</x:t>
  </x:si>
  <x:si>
    <x:t xml:space="preserve">N-CPN/PTE</x:t>
  </x:si>
  <x:si>
    <x:t xml:space="preserve">Darrell Evans</x:t>
  </x:si>
  <x:si>
    <x:t xml:space="preserve">3D SME 3</x:t>
  </x:si>
  <x:si>
    <x:t xml:space="preserve">APM0008391</x:t>
  </x:si>
  <x:si>
    <x:t xml:space="preserve">Aveva Point Cloud Manager and 3DVS-Viewer</x:t>
  </x:si>
  <x:si>
    <x:t xml:space="preserve">Contractual obligation prevents change within the programme window; retain and revisit post-programme.</x:t>
  </x:si>
  <x:si>
    <x:t xml:space="preserve">ESO/ES</x:t>
  </x:si>
  <x:si>
    <x:t xml:space="preserve">Axel Franke</x:t>
  </x:si>
  <x:si>
    <x:t xml:space="preserve">3D SME 4</x:t>
  </x:si>
  <x:si>
    <x:t xml:space="preserve">APM0005009</x:t>
  </x:si>
  <x:si>
    <x:t xml:space="preserve">BASANT LUCIAD</x:t>
  </x:si>
  <x:si>
    <x:t xml:space="preserve">Provide Civil Engineering (Provides)</x:t>
  </x:si>
  <x:si>
    <x:t xml:space="preserve">APM0005033</x:t>
  </x:si>
  <x:si>
    <x:t xml:space="preserve">BPC Smart 3D</x:t>
  </x:si>
  <x:si>
    <x:t xml:space="preserve">APM0009339</x:t>
  </x:si>
  <x:si>
    <x:t xml:space="preserve">BYC Smart 3D</x:t>
  </x:si>
  <x:si>
    <x:t xml:space="preserve">Site-local 3d plant design &amp; site scanning duplicates capability already provided by AVEVA E3D / Site Scanning; consolidate to reduce licence, hosting and support cost.</x:t>
  </x:si>
  <x:si>
    <x:t xml:space="preserve">APM0009955</x:t>
  </x:si>
  <x:si>
    <x:t xml:space="preserve">Bentley PlantSight</x:t>
  </x:si>
  <x:si>
    <x:t xml:space="preserve">Establishment/Maintenance of Guidelines, Standards, Methods &amp; Tools (Provides)</x:t>
  </x:si>
  <x:si>
    <x:t xml:space="preserve">Overlapping 3d plant design &amp; site scanning functionality across sites; harmonising onto AVEVA E3D / Site Scanning removes redundant support effort and standardises process.</x:t>
  </x:si>
  <x:si>
    <x:t xml:space="preserve">GEC/GEX</x:t>
  </x:si>
  <x:si>
    <x:t xml:space="preserve">Benjamin Simon</x:t>
  </x:si>
  <x:si>
    <x:t xml:space="preserve">APM0007184</x:t>
  </x:si>
  <x:si>
    <x:t xml:space="preserve">DP_GlobalIT Hub</x:t>
  </x:si>
  <x:si>
    <x:t xml:space="preserve">GEA/OSI</x:t>
  </x:si>
  <x:si>
    <x:t xml:space="preserve">Kunalkumar Sheth</x:t>
  </x:si>
  <x:si>
    <x:t xml:space="preserve">APM0013543</x:t>
  </x:si>
  <x:si>
    <x:t xml:space="preserve">NavVis 3D model system with e-DMS in Yeosu site, Korea.</x:t>
  </x:si>
  <x:si>
    <x:t xml:space="preserve">Support Cooperation between all E&amp;M Units in the Technical Community (Provides)</x:t>
  </x:si>
  <x:si>
    <x:t xml:space="preserve">GEA/OST</x:t>
  </x:si>
  <x:si>
    <x:t xml:space="preserve">Yon Uk Kang</x:t>
  </x:si>
  <x:si>
    <x:t xml:space="preserve">APM0010133</x:t>
  </x:si>
  <x:si>
    <x:t xml:space="preserve">NavVis Ivion CM Antwerp</x:t>
  </x:si>
  <x:si>
    <x:t xml:space="preserve">Manage and control production assets and their status (Provides)</x:t>
  </x:si>
  <x:si>
    <x:t xml:space="preserve">Isabel Teschke</x:t>
  </x:si>
  <x:si>
    <x:t xml:space="preserve">APM0008679</x:t>
  </x:si>
  <x:si>
    <x:t xml:space="preserve">PID/S3D</x:t>
  </x:si>
  <x:si>
    <x:t xml:space="preserve">A-CMA/CM</x:t>
  </x:si>
  <x:si>
    <x:t xml:space="preserve">Yan YANG</x:t>
  </x:si>
  <x:si>
    <x:t xml:space="preserve">APM0001692</x:t>
  </x:si>
  <x:si>
    <x:t xml:space="preserve">SMART 3D CN</x:t>
  </x:si>
  <x:si>
    <x:t xml:space="preserve">Provide Process Engineering (Provides), Provide Piping Engineering (Provides)</x:t>
  </x:si>
  <x:si>
    <x:t xml:space="preserve">Bo LU</x:t>
  </x:si>
  <x:si>
    <x:t xml:space="preserve">APM0001386</x:t>
  </x:si>
  <x:si>
    <x:t xml:space="preserve">SMART 3D DE</x:t>
  </x:si>
  <x:si>
    <x:t xml:space="preserve">APM0008973</x:t>
  </x:si>
  <x:si>
    <x:t xml:space="preserve">SMART 3D US</x:t>
  </x:si>
  <x:si>
    <x:t xml:space="preserve">GEC/OD</x:t>
  </x:si>
  <x:si>
    <x:t xml:space="preserve">Jonathan McKeough</x:t>
  </x:si>
  <x:si>
    <x:t xml:space="preserve">APM0004034</x:t>
  </x:si>
  <x:si>
    <x:t xml:space="preserve">SMARTPLANT SYSTEM - GOLDEN ISLAND p1</x:t>
  </x:si>
  <x:si>
    <x:t xml:space="preserve">APM0013587</x:t>
  </x:si>
  <x:si>
    <x:t xml:space="preserve">Smart 3D Automation Toolkit</x:t>
  </x:si>
  <x:si>
    <x:t xml:space="preserve">Mohammed Zaffir Junid</x:t>
  </x:si>
  <x:si>
    <x:t xml:space="preserve">APM0008973; APM0001386</x:t>
  </x:si>
  <x:si>
    <x:t xml:space="preserve">APM0004513</x:t>
  </x:si>
  <x:si>
    <x:t xml:space="preserve">ALARM DATABASE STEAMCRACKER ANTWERP</x:t>
  </x:si>
  <x:si>
    <x:t xml:space="preserve">Harmonize Alarm Management Solutions</x:t>
  </x:si>
  <x:si>
    <x:t xml:space="preserve">Evaluate alarm event and message lists (Provides)</x:t>
  </x:si>
  <x:si>
    <x:t xml:space="preserve">Site-local alarm management solutions duplicates capability already provided by Standard Alarm Management Suite; consolidate to reduce licence, hosting and support cost.</x:t>
  </x:si>
  <x:si>
    <x:t xml:space="preserve">Standard Alarm Management Suite</x:t>
  </x:si>
  <x:si>
    <x:t xml:space="preserve">Petra Roefs</x:t>
  </x:si>
  <x:si>
    <x:t xml:space="preserve">Alarm SME 1</x:t>
  </x:si>
  <x:si>
    <x:t xml:space="preserve">APM0008351</x:t>
  </x:si>
  <x:si>
    <x:t xml:space="preserve">AMDUS</x:t>
  </x:si>
  <x:si>
    <x:t xml:space="preserve">Fragmented alarm management solutions landscape drives inconsistent data and duplicated interfaces; consolidation onto Standard Alarm Management Suite is the agreed target state.</x:t>
  </x:si>
  <x:si>
    <x:t xml:space="preserve">EMX/HS</x:t>
  </x:si>
  <x:si>
    <x:t xml:space="preserve">Sabine Piana-Diefenbach</x:t>
  </x:si>
  <x:si>
    <x:t xml:space="preserve">Alarm SME 2</x:t>
  </x:si>
  <x:si>
    <x:t xml:space="preserve">APM0001975</x:t>
  </x:si>
  <x:si>
    <x:t xml:space="preserve">BASANT EMERSON AMS</x:t>
  </x:si>
  <x:si>
    <x:t xml:space="preserve">Maintenance Operations Management (ISA 95) (Provides)</x:t>
  </x:si>
  <x:si>
    <x:t xml:space="preserve">Functionality superseded and user base migrated to an existing platform; decommission with data archived per retention policy.</x:t>
  </x:si>
  <x:si>
    <x:t xml:space="preserve">ESP/TWO</x:t>
  </x:si>
  <x:si>
    <x:t xml:space="preserve">Jan Heyselbergs</x:t>
  </x:si>
  <x:si>
    <x:t xml:space="preserve">Alarm SME 3</x:t>
  </x:si>
  <x:si>
    <x:t xml:space="preserve">APM0004514</x:t>
  </x:si>
  <x:si>
    <x:t xml:space="preserve">BASANT MES ALARM MNGMT ANTWERP</x:t>
  </x:si>
  <x:si>
    <x:t xml:space="preserve">Application delivers a subset of Standard Alarm Management Suite capability with no differentiating function; retire after migration to the standard platform.</x:t>
  </x:si>
  <x:si>
    <x:t xml:space="preserve">Alarm SME 4</x:t>
  </x:si>
  <x:si>
    <x:t xml:space="preserve">APM0001728</x:t>
  </x:si>
  <x:si>
    <x:t xml:space="preserve">BASANT OPERATIONAL INTELLIGENCE</x:t>
  </x:si>
  <x:si>
    <x:t xml:space="preserve">Evaluate alarm event and message lists (Provides), Compare batches based on historic data (Provides)</x:t>
  </x:si>
  <x:si>
    <x:t xml:space="preserve">APM0002275</x:t>
  </x:si>
  <x:si>
    <x:t xml:space="preserve">BYC ALARM PSS SYSTEM</x:t>
  </x:si>
  <x:si>
    <x:t xml:space="preserve">Archive plant data long-term (Provides)</x:t>
  </x:si>
  <x:si>
    <x:t xml:space="preserve">Overlapping alarm management solutions functionality across sites; harmonising onto Standard Alarm Management Suite removes redundant support effort and standardises process.</x:t>
  </x:si>
  <x:si>
    <x:t xml:space="preserve">ACN CTA/SA</x:t>
  </x:si>
  <x:si>
    <x:t xml:space="preserve">Yuan ZHANG</x:t>
  </x:si>
  <x:si>
    <x:t xml:space="preserve">APM0009228</x:t>
  </x:si>
  <x:si>
    <x:t xml:space="preserve">BYC AM CPM</x:t>
  </x:si>
  <x:si>
    <x:t xml:space="preserve">APM0013496</x:t>
  </x:si>
  <x:si>
    <x:t xml:space="preserve">Monaca Dynamo Alarm Monitoring</x:t>
  </x:si>
  <x:si>
    <x:t xml:space="preserve">N-EDN/OM</x:t>
  </x:si>
  <x:si>
    <x:t xml:space="preserve">Robert Hull</x:t>
  </x:si>
  <x:si>
    <x:t xml:space="preserve">APM0001816</x:t>
  </x:si>
  <x:si>
    <x:t xml:space="preserve">PLANT STATE SUITE - GEISMAR</x:t>
  </x:si>
  <x:si>
    <x:t xml:space="preserve">NAG/M</x:t>
  </x:si>
  <x:si>
    <x:t xml:space="preserve">Timothy Smith</x:t>
  </x:si>
  <x:si>
    <x:t xml:space="preserve">APM0001819</x:t>
  </x:si>
  <x:si>
    <x:t xml:space="preserve">PLANT STATE SUITE - WYANDOTTE</x:t>
  </x:si>
  <x:si>
    <x:t xml:space="preserve">N-EDN/O</x:t>
  </x:si>
  <x:si>
    <x:t xml:space="preserve">Kenneth Moll</x:t>
  </x:si>
  <x:si>
    <x:t xml:space="preserve">APM0001815</x:t>
  </x:si>
  <x:si>
    <x:t xml:space="preserve">PLANTSTATE SUITE</x:t>
  </x:si>
  <x:si>
    <x:t xml:space="preserve">GEC/DE</x:t>
  </x:si>
  <x:si>
    <x:t xml:space="preserve">Clarence Smith</x:t>
  </x:si>
  <x:si>
    <x:t xml:space="preserve">APM0003268</x:t>
  </x:si>
  <x:si>
    <x:t xml:space="preserve">PLANTSTATE SUITE AND INTEGRITY</x:t>
  </x:si>
  <x:si>
    <x:t xml:space="preserve">APM0003671</x:t>
  </x:si>
  <x:si>
    <x:t xml:space="preserve">PROCESS CTRL MCQ</x:t>
  </x:si>
  <x:si>
    <x:t xml:space="preserve">G-EV/RMA</x:t>
  </x:si>
  <x:si>
    <x:t xml:space="preserve">Abdel Chouai</x:t>
  </x:si>
  <x:si>
    <x:t xml:space="preserve">APM0008854</x:t>
  </x:si>
  <x:si>
    <x:t xml:space="preserve">PSS SPA</x:t>
  </x:si>
  <x:si>
    <x:t xml:space="preserve">EMX/WS</x:t>
  </x:si>
  <x:si>
    <x:t xml:space="preserve">Grant Hummel</x:t>
  </x:si>
  <x:si>
    <x:t xml:space="preserve">APM0001566</x:t>
  </x:si>
  <x:si>
    <x:t xml:space="preserve">SYSTEM 1 - PLANT STATE SUITE - PORT ARTHUR</x:t>
  </x:si>
  <x:si>
    <x:t xml:space="preserve">ProvideTechnical Inspection (Provides), Evaluate alarm event and message lists (Provides)</x:t>
  </x:si>
  <x:si>
    <x:t xml:space="preserve">N-CPN/PS</x:t>
  </x:si>
  <x:si>
    <x:t xml:space="preserve">Joshua Bourque</x:t>
  </x:si>
  <x:si>
    <x:t xml:space="preserve">APM0012255</x:t>
  </x:si>
  <x:si>
    <x:t xml:space="preserve">ZVS Site Alarm Management AlarmInsight</x:t>
  </x:si>
  <x:si>
    <x:t xml:space="preserve">Monitor and analyse production (Provides)</x:t>
  </x:si>
  <x:si>
    <x:t xml:space="preserve">GEA/TI</x:t>
  </x:si>
  <x:si>
    <x:t xml:space="preserve">Jian Lie LI</x:t>
  </x:si>
  <x:si>
    <x:t xml:space="preserve">APM0002902</x:t>
  </x:si>
  <x:si>
    <x:t xml:space="preserve">ARCHIV DMSEE</x:t>
  </x:si>
  <x:si>
    <x:t xml:space="preserve">Harmonize Archiving Solutions</x:t>
  </x:si>
  <x:si>
    <x:t xml:space="preserve">Provide Piping Engineering (Provides), Archiving and Records Management (Provides)</x:t>
  </x:si>
  <x:si>
    <x:t xml:space="preserve">Application delivers a subset of BASF Archiving Platform capability with no differentiating function; retire after migration to the standard platform.</x:t>
  </x:si>
  <x:si>
    <x:t xml:space="preserve">BASF Archiving Platform</x:t>
  </x:si>
  <x:si>
    <x:t xml:space="preserve">GDB/ZH</x:t>
  </x:si>
  <x:si>
    <x:t xml:space="preserve">Martin Keller</x:t>
  </x:si>
  <x:si>
    <x:t xml:space="preserve">Archiving SME 1</x:t>
  </x:si>
  <x:si>
    <x:t xml:space="preserve">APM0004289</x:t>
  </x:si>
  <x:si>
    <x:t xml:space="preserve">ARCHIVING</x:t>
  </x:si>
  <x:si>
    <x:t xml:space="preserve">Archiving and Records Management (Provides)</x:t>
  </x:si>
  <x:si>
    <x:t xml:space="preserve">Overlapping archiving solutions functionality across sites; harmonising onto BASF Archiving Platform removes redundant support effort and standardises process.</x:t>
  </x:si>
  <x:si>
    <x:t xml:space="preserve">Andreas Grosche</x:t>
  </x:si>
  <x:si>
    <x:t xml:space="preserve">Archiving SME 2</x:t>
  </x:si>
  <x:si>
    <x:t xml:space="preserve">APM0010785</x:t>
  </x:si>
  <x:si>
    <x:t xml:space="preserve">DCTM2SAP</x:t>
  </x:si>
  <x:si>
    <x:t xml:space="preserve">Manage Shipment Visibility (Provides), Document Management (Provides)</x:t>
  </x:si>
  <x:si>
    <x:t xml:space="preserve">GDE/FB</x:t>
  </x:si>
  <x:si>
    <x:t xml:space="preserve">Andreas Cron</x:t>
  </x:si>
  <x:si>
    <x:t xml:space="preserve">Archiving SME 3</x:t>
  </x:si>
  <x:si>
    <x:t xml:space="preserve">APM0002813</x:t>
  </x:si>
  <x:si>
    <x:t xml:space="preserve">DMSEE</x:t>
  </x:si>
  <x:si>
    <x:t xml:space="preserve">Site-local archiving solutions duplicates capability already provided by BASF Archiving Platform; consolidate to reduce licence, hosting and support cost.</x:t>
  </x:si>
  <x:si>
    <x:t xml:space="preserve">Archiving SME 4</x:t>
  </x:si>
  <x:si>
    <x:t xml:space="preserve">APM0004892</x:t>
  </x:si>
  <x:si>
    <x:t xml:space="preserve">ADAM</x:t>
  </x:si>
  <x:si>
    <x:t xml:space="preserve">Harmonize E+I Tool Landscape</x:t>
  </x:si>
  <x:si>
    <x:t xml:space="preserve">Analyze manufacturing plan versus actual (Provides)</x:t>
  </x:si>
  <x:si>
    <x:t xml:space="preserve">Site-local e+i tool landscape duplicates capability already provided by E+I Standard Toolset; consolidate to reduce licence, hosting and support cost.</x:t>
  </x:si>
  <x:si>
    <x:t xml:space="preserve">E+I Standard Toolset</x:t>
  </x:si>
  <x:si>
    <x:t xml:space="preserve">ESI/EK</x:t>
  </x:si>
  <x:si>
    <x:t xml:space="preserve">Franz Kreissl</x:t>
  </x:si>
  <x:si>
    <x:t xml:space="preserve">E+I SME 1</x:t>
  </x:si>
  <x:si>
    <x:t xml:space="preserve">APM0009314</x:t>
  </x:si>
  <x:si>
    <x:t xml:space="preserve">BASANT CCT</x:t>
  </x:si>
  <x:si>
    <x:t xml:space="preserve">Application delivers a subset of E+I Standard Toolset capability with no differentiating function; retire after migration to the standard platform.</x:t>
  </x:si>
  <x:si>
    <x:t xml:space="preserve">ESP/TE13</x:t>
  </x:si>
  <x:si>
    <x:t xml:space="preserve">Wouter Smets</x:t>
  </x:si>
  <x:si>
    <x:t xml:space="preserve">E+I SME 2</x:t>
  </x:si>
  <x:si>
    <x:t xml:space="preserve">APM0009132</x:t>
  </x:si>
  <x:si>
    <x:t xml:space="preserve">BPC Smart Instrumentation</x:t>
  </x:si>
  <x:si>
    <x:t xml:space="preserve">Provide E&amp;I Engineering (Provides)</x:t>
  </x:si>
  <x:si>
    <x:t xml:space="preserve">Fragmented e+i tool landscape landscape drives inconsistent data and duplicated interfaces; consolidation onto E+I Standard Toolset is the agreed target state.</x:t>
  </x:si>
  <x:si>
    <x:t xml:space="preserve">E+I SME 3</x:t>
  </x:si>
  <x:si>
    <x:t xml:space="preserve">APM0009003</x:t>
  </x:si>
  <x:si>
    <x:t xml:space="preserve">BYC SMARTPLANT INSTRUMENTATION</x:t>
  </x:si>
  <x:si>
    <x:t xml:space="preserve">E+I SME 4</x:t>
  </x:si>
  <x:si>
    <x:t xml:space="preserve">APM0001181</x:t>
  </x:si>
  <x:si>
    <x:t xml:space="preserve">CAD_CAE_APPL</x:t>
  </x:si>
  <x:si>
    <x:t xml:space="preserve">Johannes Thiessen</x:t>
  </x:si>
  <x:si>
    <x:t xml:space="preserve">APM0008372</x:t>
  </x:si>
  <x:si>
    <x:t xml:space="preserve">CET_CADBAS</x:t>
  </x:si>
  <x:si>
    <x:t xml:space="preserve">Provide Online Self-Service Experiences (Provides)</x:t>
  </x:si>
  <x:si>
    <x:t xml:space="preserve">G-PM/AMV</x:t>
  </x:si>
  <x:si>
    <x:t xml:space="preserve">Carsten Schulte</x:t>
  </x:si>
  <x:si>
    <x:t xml:space="preserve">APM0004824</x:t>
  </x:si>
  <x:si>
    <x:t xml:space="preserve">COMOS LUDWIGSHAFEN</x:t>
  </x:si>
  <x:si>
    <x:t xml:space="preserve">Provide Construction (Provides), Manage Equipments (Provides)</x:t>
  </x:si>
  <x:si>
    <x:t xml:space="preserve">Simon Josef Blitzner</x:t>
  </x:si>
  <x:si>
    <x:t xml:space="preserve">APM0001494</x:t>
  </x:si>
  <x:si>
    <x:t xml:space="preserve">COMOS SA</x:t>
  </x:si>
  <x:si>
    <x:t xml:space="preserve">Manage Equipments (Provides)</x:t>
  </x:si>
  <x:si>
    <x:t xml:space="preserve">GE/OSTE</x:t>
  </x:si>
  <x:si>
    <x:t xml:space="preserve">Alexander Tomiyama</x:t>
  </x:si>
  <x:si>
    <x:t xml:space="preserve">APM0007397</x:t>
  </x:si>
  <x:si>
    <x:t xml:space="preserve">ENGINEERING &amp; MAINTENANCE PUBLIC SOFTWARE UTILITIES</x:t>
  </x:si>
  <x:si>
    <x:t xml:space="preserve">Frowin Bier</x:t>
  </x:si>
  <x:si>
    <x:t xml:space="preserve">APM0004167</x:t>
  </x:si>
  <x:si>
    <x:t xml:space="preserve">ENORM</x:t>
  </x:si>
  <x:si>
    <x:t xml:space="preserve">Provide Technical Documentation + Standards (Provides)</x:t>
  </x:si>
  <x:si>
    <x:t xml:space="preserve">GE/DG</x:t>
  </x:si>
  <x:si>
    <x:t xml:space="preserve">Isabell Keck-Steinmann</x:t>
  </x:si>
  <x:si>
    <x:t xml:space="preserve">APM0008372; APM0001494</x:t>
  </x:si>
  <x:si>
    <x:t xml:space="preserve">APM0011086</x:t>
  </x:si>
  <x:si>
    <x:t xml:space="preserve">EPLAN Cloud</x:t>
  </x:si>
  <x:si>
    <x:t xml:space="preserve">ProvideTechnical Inspection (Provides)</x:t>
  </x:si>
  <x:si>
    <x:t xml:space="preserve">Sebastian Rohlfs</x:t>
  </x:si>
  <x:si>
    <x:t xml:space="preserve">APM0010413</x:t>
  </x:si>
  <x:si>
    <x:t xml:space="preserve">GEA SI</x:t>
  </x:si>
  <x:si>
    <x:t xml:space="preserve">GEA/D</x:t>
  </x:si>
  <x:si>
    <x:t xml:space="preserve">Zheng LI</x:t>
  </x:si>
  <x:si>
    <x:t xml:space="preserve">APM0003901</x:t>
  </x:si>
  <x:si>
    <x:t xml:space="preserve">NIN Online Enterprise</x:t>
  </x:si>
  <x:si>
    <x:t xml:space="preserve">No active users identified during discovery; retire and archive the XS dataset.</x:t>
  </x:si>
  <x:si>
    <x:t xml:space="preserve">EVM/EKU</x:t>
  </x:si>
  <x:si>
    <x:t xml:space="preserve">Gerold Schmid</x:t>
  </x:si>
  <x:si>
    <x:t xml:space="preserve">APM0009630</x:t>
  </x:si>
  <x:si>
    <x:t xml:space="preserve">NIN Toolbox</x:t>
  </x:si>
  <x:si>
    <x:t xml:space="preserve">APM0011402</x:t>
  </x:si>
  <x:si>
    <x:t xml:space="preserve">SI - ZVS</x:t>
  </x:si>
  <x:si>
    <x:t xml:space="preserve">APM0001181; APM0008372</x:t>
  </x:si>
  <x:si>
    <x:t xml:space="preserve">APM0001061</x:t>
  </x:si>
  <x:si>
    <x:t xml:space="preserve">SIGRAPH.CAE</x:t>
  </x:si>
  <x:si>
    <x:t xml:space="preserve">Markus Queva</x:t>
  </x:si>
  <x:si>
    <x:t xml:space="preserve">APM0007742</x:t>
  </x:si>
  <x:si>
    <x:t xml:space="preserve">SIVENT</x:t>
  </x:si>
  <x:si>
    <x:t xml:space="preserve">Provide Valves and Fittings (Provides), Process Safety (Provides)</x:t>
  </x:si>
  <x:si>
    <x:t xml:space="preserve">RGR/BE</x:t>
  </x:si>
  <x:si>
    <x:t xml:space="preserve">Oliver Flieger</x:t>
  </x:si>
  <x:si>
    <x:t xml:space="preserve">APM0009088</x:t>
  </x:si>
  <x:si>
    <x:t xml:space="preserve">SIVENT FC GI</x:t>
  </x:si>
  <x:si>
    <x:t xml:space="preserve">Provide Engineering Material Master Data (Provides)</x:t>
  </x:si>
  <x:si>
    <x:t xml:space="preserve">Overlapping e+i tool landscape functionality across sites; harmonising onto E+I Standard Toolset removes redundant support effort and standardises process.</x:t>
  </x:si>
  <x:si>
    <x:t xml:space="preserve">Mao Jun HE</x:t>
  </x:si>
  <x:si>
    <x:t xml:space="preserve">APM0008947</x:t>
  </x:si>
  <x:si>
    <x:t xml:space="preserve">Smart Instrumentation - GI</x:t>
  </x:si>
  <x:si>
    <x:t xml:space="preserve">APM0008390</x:t>
  </x:si>
  <x:si>
    <x:t xml:space="preserve">Smart Instrumentation AP Test</x:t>
  </x:si>
  <x:si>
    <x:t xml:space="preserve">Chao LIANG</x:t>
  </x:si>
  <x:si>
    <x:t xml:space="preserve">APM0004962</x:t>
  </x:si>
  <x:si>
    <x:t xml:space="preserve">Smart Instrumentation_NA</x:t>
  </x:si>
  <x:si>
    <x:t xml:space="preserve">Wayne Sterling</x:t>
  </x:si>
  <x:si>
    <x:t xml:space="preserve">APM0009112</x:t>
  </x:si>
  <x:si>
    <x:t xml:space="preserve">TMDS system</x:t>
  </x:si>
  <x:si>
    <x:t xml:space="preserve">Provide Maintenance Master Data (Provides)</x:t>
  </x:si>
  <x:si>
    <x:t xml:space="preserve">GEA/TM</x:t>
  </x:si>
  <x:si>
    <x:t xml:space="preserve">Fan Fan PENG</x:t>
  </x:si>
  <x:si>
    <x:t xml:space="preserve">APM0001549</x:t>
  </x:si>
  <x:si>
    <x:t xml:space="preserve">TS FOR FT TEAM BR</x:t>
  </x:si>
  <x:si>
    <x:t xml:space="preserve">Provide Engineering Material Master Data (Provides), Establishment/Maintenance of Guidelines, Standards, Methods &amp; Tools (Provides)</x:t>
  </x:si>
  <x:si>
    <x:t xml:space="preserve">APM0009540</x:t>
  </x:si>
  <x:si>
    <x:t xml:space="preserve">basf vdi2770 editor</x:t>
  </x:si>
  <x:si>
    <x:t xml:space="preserve">GDD/DE</x:t>
  </x:si>
  <x:si>
    <x:t xml:space="preserve">Christoph Attila Kun</x:t>
  </x:si>
  <x:si>
    <x:t xml:space="preserve">APM0012791</x:t>
  </x:si>
  <x:si>
    <x:t xml:space="preserve">engineering-tools</x:t>
  </x:si>
  <x:si>
    <x:t xml:space="preserve">APM0012952</x:t>
  </x:si>
  <x:si>
    <x:t xml:space="preserve">pmdataservice</x:t>
  </x:si>
  <x:si>
    <x:t xml:space="preserve">Zhen Hua SHEN</x:t>
  </x:si>
  <x:si>
    <x:t xml:space="preserve">APM0009112; APM0009314</x:t>
  </x:si>
  <x:si>
    <x:t xml:space="preserve">APM0004003</x:t>
  </x:si>
  <x:si>
    <x:t xml:space="preserve">AUTODESK VAULT</x:t>
  </x:si>
  <x:si>
    <x:t xml:space="preserve">Harmonize E+M Data Integration &amp; Viewing Tools</x:t>
  </x:si>
  <x:si>
    <x:t xml:space="preserve">Site-local e+m data integration &amp; viewing tools duplicates capability already provided by E+M Data Integration Platform; consolidate to reduce licence, hosting and support cost.</x:t>
  </x:si>
  <x:si>
    <x:t xml:space="preserve">E+M Data Integration Platform</x:t>
  </x:si>
  <x:si>
    <x:t xml:space="preserve">Michael Riemer</x:t>
  </x:si>
  <x:si>
    <x:t xml:space="preserve">E+M SME 1</x:t>
  </x:si>
  <x:si>
    <x:t xml:space="preserve">APM0010685</x:t>
  </x:si>
  <x:si>
    <x:t xml:space="preserve">AddIns for 3D Viewer</x:t>
  </x:si>
  <x:si>
    <x:t xml:space="preserve">Provide Other Technical Services (Provides)</x:t>
  </x:si>
  <x:si>
    <x:t xml:space="preserve">Overlapping e+m data integration &amp; viewing tools functionality across sites; harmonising onto E+M Data Integration Platform removes redundant support effort and standardises process.</x:t>
  </x:si>
  <x:si>
    <x:t xml:space="preserve">GDD/DK</x:t>
  </x:si>
  <x:si>
    <x:t xml:space="preserve">Fannie Tesiana</x:t>
  </x:si>
  <x:si>
    <x:t xml:space="preserve">E+M SME 2</x:t>
  </x:si>
  <x:si>
    <x:t xml:space="preserve">APM0001955</x:t>
  </x:si>
  <x:si>
    <x:t xml:space="preserve">BASANT GEODATA &amp; 3D PLATFORM ANTWERP</x:t>
  </x:si>
  <x:si>
    <x:t xml:space="preserve">E+M SME 3</x:t>
  </x:si>
  <x:si>
    <x:t xml:space="preserve">APM0010108</x:t>
  </x:si>
  <x:si>
    <x:t xml:space="preserve">BIG RCM platform</x:t>
  </x:si>
  <x:si>
    <x:t xml:space="preserve">Application delivers a subset of E+M Data Integration Platform capability with no differentiating function; retire after migration to the standard platform.</x:t>
  </x:si>
  <x:si>
    <x:t xml:space="preserve">GEA/TC</x:t>
  </x:si>
  <x:si>
    <x:t xml:space="preserve">Qi Yong CHEN</x:t>
  </x:si>
  <x:si>
    <x:t xml:space="preserve">E+M SME 4</x:t>
  </x:si>
  <x:si>
    <x:t xml:space="preserve">APM0011100</x:t>
  </x:si>
  <x:si>
    <x:t xml:space="preserve">BMS (BUILDING MANAGEMENT SYSTEM)</x:t>
  </x:si>
  <x:si>
    <x:t xml:space="preserve">GEA/TS</x:t>
  </x:si>
  <x:si>
    <x:t xml:space="preserve">Juan WANG</x:t>
  </x:si>
  <x:si>
    <x:t xml:space="preserve">APM0009004</x:t>
  </x:si>
  <x:si>
    <x:t xml:space="preserve">BYC SMARTPLANT REFERENCE DATA</x:t>
  </x:si>
  <x:si>
    <x:t xml:space="preserve">APM0008624</x:t>
  </x:si>
  <x:si>
    <x:t xml:space="preserve">BYC SmartPlant Foundation</x:t>
  </x:si>
  <x:si>
    <x:t xml:space="preserve">APM0004828</x:t>
  </x:si>
  <x:si>
    <x:t xml:space="preserve">CAE-ADAPTER</x:t>
  </x:si>
  <x:si>
    <x:t xml:space="preserve">Provide Other Technical Services (Provides), Provide Construction (Provides)</x:t>
  </x:si>
  <x:si>
    <x:t xml:space="preserve">APM0001955; APM0011100; APM0010108</x:t>
  </x:si>
  <x:si>
    <x:t xml:space="preserve">APM0012644</x:t>
  </x:si>
  <x:si>
    <x:t xml:space="preserve">COMOS Engineering</x:t>
  </x:si>
  <x:si>
    <x:t xml:space="preserve">Fragmented e+m data integration &amp; viewing tools landscape drives inconsistent data and duplicated interfaces; consolidation onto E+M Data Integration Platform is the agreed target state.</x:t>
  </x:si>
  <x:si>
    <x:t xml:space="preserve">GDD/DC</x:t>
  </x:si>
  <x:si>
    <x:t xml:space="preserve">Bin Zhou</x:t>
  </x:si>
  <x:si>
    <x:t xml:space="preserve">APM0013006</x:t>
  </x:si>
  <x:si>
    <x:t xml:space="preserve">Dokumentenverschlagwortung für MyPlant</x:t>
  </x:si>
  <x:si>
    <x:t xml:space="preserve">Andrea Kaluza</x:t>
  </x:si>
  <x:si>
    <x:t xml:space="preserve">APM0013063</x:t>
  </x:si>
  <x:si>
    <x:t xml:space="preserve">EDM Spider</x:t>
  </x:si>
  <x:si>
    <x:t xml:space="preserve">Marko Friedrich</x:t>
  </x:si>
  <x:si>
    <x:t xml:space="preserve">APM0008624; APM0009004; APM0013006</x:t>
  </x:si>
  <x:si>
    <x:t xml:space="preserve">APM0008521</x:t>
  </x:si>
  <x:si>
    <x:t xml:space="preserve">Information Exchange Platform</x:t>
  </x:si>
  <x:si>
    <x:t xml:space="preserve">No active users identified during discovery; retire and archive the S dataset.</x:t>
  </x:si>
  <x:si>
    <x:t xml:space="preserve">Carl-Philipp Ding</x:t>
  </x:si>
  <x:si>
    <x:t xml:space="preserve">APM0001796</x:t>
  </x:si>
  <x:si>
    <x:t xml:space="preserve">LIVEDOK</x:t>
  </x:si>
  <x:si>
    <x:t xml:space="preserve">Provide Plant Maintenance (Provides), Provide E&amp;I Engineering (Provides)</x:t>
  </x:si>
  <x:si>
    <x:t xml:space="preserve">APM0004669</x:t>
  </x:si>
  <x:si>
    <x:t xml:space="preserve">MERIDIAN</x:t>
  </x:si>
  <x:si>
    <x:t xml:space="preserve">G-EDJ/OH</x:t>
  </x:si>
  <x:si>
    <x:t xml:space="preserve">Rene Baron</x:t>
  </x:si>
  <x:si>
    <x:t xml:space="preserve">APM0002612</x:t>
  </x:si>
  <x:si>
    <x:t xml:space="preserve">MYPLANT AIP</x:t>
  </x:si>
  <x:si>
    <x:t xml:space="preserve">APM0013593</x:t>
  </x:si>
  <x:si>
    <x:t xml:space="preserve">MyPlant_Document-Transfer-Tool</x:t>
  </x:si>
  <x:si>
    <x:t xml:space="preserve">APM0004778</x:t>
  </x:si>
  <x:si>
    <x:t xml:space="preserve">PLANTSUITE</x:t>
  </x:si>
  <x:si>
    <x:t xml:space="preserve">E-CMP/OA</x:t>
  </x:si>
  <x:si>
    <x:t xml:space="preserve">David Schoettel</x:t>
  </x:si>
  <x:si>
    <x:t xml:space="preserve">APM0010640</x:t>
  </x:si>
  <x:si>
    <x:t xml:space="preserve">PSV Digital HUB</x:t>
  </x:si>
  <x:si>
    <x:t xml:space="preserve">CPK/SR</x:t>
  </x:si>
  <x:si>
    <x:t xml:space="preserve">Azmawi Mohamad</x:t>
  </x:si>
  <x:si>
    <x:t xml:space="preserve">APM0004006</x:t>
  </x:si>
  <x:si>
    <x:t xml:space="preserve">SMARTPLANT FOUNDATION</x:t>
  </x:si>
  <x:si>
    <x:t xml:space="preserve">Marc Van Gool</x:t>
  </x:si>
  <x:si>
    <x:t xml:space="preserve">APM0001753</x:t>
  </x:si>
  <x:si>
    <x:t xml:space="preserve">Smart Reference Data (MARIAN)</x:t>
  </x:si>
  <x:si>
    <x:t xml:space="preserve">Provide Piping Engineering (Provides), Provide Engineering Material Master Data (Provides)</x:t>
  </x:si>
  <x:si>
    <x:t xml:space="preserve">Basem Hassani</x:t>
  </x:si>
  <x:si>
    <x:t xml:space="preserve">APM0001213</x:t>
  </x:si>
  <x:si>
    <x:t xml:space="preserve">TECHNICAL HANDBOOKS LUDWIGSHAFEN</x:t>
  </x:si>
  <x:si>
    <x:t xml:space="preserve">ESO/BG</x:t>
  </x:si>
  <x:si>
    <x:t xml:space="preserve">Simon Schmidt</x:t>
  </x:si>
  <x:si>
    <x:t xml:space="preserve">APM0001914</x:t>
  </x:si>
  <x:si>
    <x:t xml:space="preserve">TMMS</x:t>
  </x:si>
  <x:si>
    <x:t xml:space="preserve">Provide Engineering Material Master Data (Provides), Material Master Data Management (Provides), Manage Procurement Master Data (Provides)</x:t>
  </x:si>
  <x:si>
    <x:t xml:space="preserve">GEM/TI</x:t>
  </x:si>
  <x:si>
    <x:t xml:space="preserve">Oliver Wendel</x:t>
  </x:si>
  <x:si>
    <x:t xml:space="preserve">APM0012197</x:t>
  </x:si>
  <x:si>
    <x:t xml:space="preserve">Trimble SiteVision</x:t>
  </x:si>
  <x:si>
    <x:t xml:space="preserve">Kristoffer Karl Licht</x:t>
  </x:si>
  <x:si>
    <x:t xml:space="preserve">APM0012644; APM0001955</x:t>
  </x:si>
  <x:si>
    <x:t xml:space="preserve">APM0003622</x:t>
  </x:si>
  <x:si>
    <x:t xml:space="preserve">UniversalPlantViewer</x:t>
  </x:si>
  <x:si>
    <x:t xml:space="preserve">APM0004429</x:t>
  </x:si>
  <x:si>
    <x:t xml:space="preserve">Viewport</x:t>
  </x:si>
  <x:si>
    <x:t xml:space="preserve">APM0013226</x:t>
  </x:si>
  <x:si>
    <x:t xml:space="preserve">ddc_app</x:t>
  </x:si>
  <x:si>
    <x:t xml:space="preserve">Peter Geiger</x:t>
  </x:si>
  <x:si>
    <x:t xml:space="preserve">APM0012484</x:t>
  </x:si>
  <x:si>
    <x:t xml:space="preserve">trinamiX Autodesk Vault</x:t>
  </x:si>
  <x:si>
    <x:t xml:space="preserve">Organizational Data Management (Provides)</x:t>
  </x:si>
  <x:si>
    <x:t xml:space="preserve">TRINAMIX</x:t>
  </x:si>
  <x:si>
    <x:t xml:space="preserve">Edgar Matevosyan</x:t>
  </x:si>
  <x:si>
    <x:t xml:space="preserve">APM0010981</x:t>
  </x:si>
  <x:si>
    <x:t xml:space="preserve">FEP   Product Database CP</x:t>
  </x:si>
  <x:si>
    <x:t xml:space="preserve">Harmonize Enterprise Portal (Fasihi)</x:t>
  </x:si>
  <x:si>
    <x:t xml:space="preserve">Manage Product Information (Provides)</x:t>
  </x:si>
  <x:si>
    <x:t xml:space="preserve">Site-local enterprise portal (fasihi) duplicates capability already provided by Fasihi Enterprise Portal; consolidate to reduce licence, hosting and support cost.</x:t>
  </x:si>
  <x:si>
    <x:t xml:space="preserve">Fasihi Enterprise Portal</x:t>
  </x:si>
  <x:si>
    <x:t xml:space="preserve">Frank Gottfried</x:t>
  </x:si>
  <x:si>
    <x:t xml:space="preserve">Enterprise SME 1</x:t>
  </x:si>
  <x:si>
    <x:t xml:space="preserve">APM0007759</x:t>
  </x:si>
  <x:si>
    <x:t xml:space="preserve">FEP ANV-Portal der BASF Digital Solutions GmbH</x:t>
  </x:si>
  <x:si>
    <x:t xml:space="preserve">Communicate Internally (Provides)</x:t>
  </x:si>
  <x:si>
    <x:t xml:space="preserve">Application delivers a subset of Fasihi Enterprise Portal capability with no differentiating function; retire after migration to the standard platform.</x:t>
  </x:si>
  <x:si>
    <x:t xml:space="preserve">GD/HA</x:t>
  </x:si>
  <x:si>
    <x:t xml:space="preserve">Dirk Austen</x:t>
  </x:si>
  <x:si>
    <x:t xml:space="preserve">Enterprise SME 2</x:t>
  </x:si>
  <x:si>
    <x:t xml:space="preserve">APM0007760</x:t>
  </x:si>
  <x:si>
    <x:t xml:space="preserve">FEP Advanced Materials &amp; Systems Research Portal</x:t>
  </x:si>
  <x:si>
    <x:t xml:space="preserve">R&amp;D Portfolio and Competencies Management (Provides)</x:t>
  </x:si>
  <x:si>
    <x:t xml:space="preserve">COM/EE</x:t>
  </x:si>
  <x:si>
    <x:t xml:space="preserve">Timo Gehrlein</x:t>
  </x:si>
  <x:si>
    <x:t xml:space="preserve">Enterprise SME 3</x:t>
  </x:si>
  <x:si>
    <x:t xml:space="preserve">APM0007761</x:t>
  </x:si>
  <x:si>
    <x:t xml:space="preserve">FEP Alsachimie Portal</x:t>
  </x:si>
  <x:si>
    <x:t xml:space="preserve">Virginie Schaeffer</x:t>
  </x:si>
  <x:si>
    <x:t xml:space="preserve">Enterprise SME 4</x:t>
  </x:si>
  <x:si>
    <x:t xml:space="preserve">APM0007638</x:t>
  </x:si>
  <x:si>
    <x:t xml:space="preserve">FEP Antwerpen Portal</x:t>
  </x:si>
  <x:si>
    <x:t xml:space="preserve">Communicate Externally (Provides)</x:t>
  </x:si>
  <x:si>
    <x:t xml:space="preserve">Overlapping enterprise portal (fasihi) functionality across sites; harmonising onto Fasihi Enterprise Portal removes redundant support effort and standardises process.</x:t>
  </x:si>
  <x:si>
    <x:t xml:space="preserve">ESA/OM</x:t>
  </x:si>
  <x:si>
    <x:t xml:space="preserve">Anja Verschueren</x:t>
  </x:si>
  <x:si>
    <x:t xml:space="preserve">APM0007786</x:t>
  </x:si>
  <x:si>
    <x:t xml:space="preserve">FEP App Portal</x:t>
  </x:si>
  <x:si>
    <x:t xml:space="preserve">Business-differentiating capability not covered by Fasihi Enterprise Portal; retain as-is for this programme and reassess at the next portfolio review.</x:t>
  </x:si>
  <x:si>
    <x:t xml:space="preserve">GDB/DF</x:t>
  </x:si>
  <x:si>
    <x:t xml:space="preserve">Peter Scott Olech</x:t>
  </x:si>
  <x:si>
    <x:t xml:space="preserve">APM0007762</x:t>
  </x:si>
  <x:si>
    <x:t xml:space="preserve">FEP Arbeitsschutz Portal</x:t>
  </x:si>
  <x:si>
    <x:t xml:space="preserve">APM0007818</x:t>
  </x:si>
  <x:si>
    <x:t xml:space="preserve">FEP BASF Intranet - Home</x:t>
  </x:si>
  <x:si>
    <x:t xml:space="preserve">Juergen Schwerdtfeger</x:t>
  </x:si>
  <x:si>
    <x:t xml:space="preserve">APM0007764</x:t>
  </x:si>
  <x:si>
    <x:t xml:space="preserve">FEP BASF PETRONAS Intranet Portal</x:t>
  </x:si>
  <x:si>
    <x:t xml:space="preserve">Web content Management (Provides), Communicate Internally (Provides)</x:t>
  </x:si>
  <x:si>
    <x:t xml:space="preserve">CPK/FI</x:t>
  </x:si>
  <x:si>
    <x:t xml:space="preserve">Tengku Zaihar Tengku Hamzah</x:t>
  </x:si>
  <x:si>
    <x:t xml:space="preserve">APM0007765</x:t>
  </x:si>
  <x:si>
    <x:t xml:space="preserve">FEP BASF Strategie Portal</x:t>
  </x:si>
  <x:si>
    <x:t xml:space="preserve">APM0007766</x:t>
  </x:si>
  <x:si>
    <x:t xml:space="preserve">FEP BASF-YPC Company Limited Portal</x:t>
  </x:si>
  <x:si>
    <x:t xml:space="preserve">Communicate Internally (Provides), Business Processes (Provides)</x:t>
  </x:si>
  <x:si>
    <x:t xml:space="preserve">ACN CGA/I</x:t>
  </x:si>
  <x:si>
    <x:t xml:space="preserve">Mingxing CHEN</x:t>
  </x:si>
  <x:si>
    <x:t xml:space="preserve">APM0010981; APM0007761</x:t>
  </x:si>
  <x:si>
    <x:t xml:space="preserve">APM0007767</x:t>
  </x:si>
  <x:si>
    <x:t xml:space="preserve">FEP Bioscience Research Portal</x:t>
  </x:si>
  <x:si>
    <x:t xml:space="preserve">Fragmented enterprise portal (fasihi) landscape drives inconsistent data and duplicated interfaces; consolidation onto Fasihi Enterprise Portal is the agreed target state.</x:t>
  </x:si>
  <x:si>
    <x:t xml:space="preserve">GBW/PK</x:t>
  </x:si>
  <x:si>
    <x:t xml:space="preserve">Joshua Dunn</x:t>
  </x:si>
  <x:si>
    <x:t xml:space="preserve">APM0007780</x:t>
  </x:si>
  <x:si>
    <x:t xml:space="preserve">FEP CL Portal</x:t>
  </x:si>
  <x:si>
    <x:t xml:space="preserve">CDE/OI</x:t>
  </x:si>
  <x:si>
    <x:t xml:space="preserve">Isabel Ibanez Klein</x:t>
  </x:si>
  <x:si>
    <x:t xml:space="preserve">APM0007768</x:t>
  </x:si>
  <x:si>
    <x:t xml:space="preserve">FEP CM Intranet Portal</x:t>
  </x:si>
  <x:si>
    <x:t xml:space="preserve">Compliantly record and store manufacturing data (Provides), Compliantly (cGMP) create, release and control documents (Provides)</x:t>
  </x:si>
  <x:si>
    <x:t xml:space="preserve">CM/CS</x:t>
  </x:si>
  <x:si>
    <x:t xml:space="preserve">Christian Kaspar</x:t>
  </x:si>
  <x:si>
    <x:t xml:space="preserve">APM0007642</x:t>
  </x:si>
  <x:si>
    <x:t xml:space="preserve">FEP COM Extranet Portal</x:t>
  </x:si>
  <x:si>
    <x:t xml:space="preserve">Manuel Agrikola</x:t>
  </x:si>
  <x:si>
    <x:t xml:space="preserve">APM0007769</x:t>
  </x:si>
  <x:si>
    <x:t xml:space="preserve">FEP COM Portal</x:t>
  </x:si>
  <x:si>
    <x:t xml:space="preserve">Define Communication Needs (Provides)</x:t>
  </x:si>
  <x:si>
    <x:t xml:space="preserve">APM0007771</x:t>
  </x:si>
  <x:si>
    <x:t xml:space="preserve">FEP Care Chemicals Portal</x:t>
  </x:si>
  <x:si>
    <x:t xml:space="preserve">Manage assignment of process units to operations (Provides)</x:t>
  </x:si>
  <x:si>
    <x:t xml:space="preserve">EM/CB</x:t>
  </x:si>
  <x:si>
    <x:t xml:space="preserve">Eric Tobschall</x:t>
  </x:si>
  <x:si>
    <x:t xml:space="preserve">APM0007772</x:t>
  </x:si>
  <x:si>
    <x:t xml:space="preserve">FEP Catalysts Portal</x:t>
  </x:si>
  <x:si>
    <x:t xml:space="preserve">Track employee training and match it to operational requirements (Provides), Support Travel Planning (Provides), Manage Risk Assessment/Processes (Provides)</x:t>
  </x:si>
  <x:si>
    <x:t xml:space="preserve">G-EVC/OD</x:t>
  </x:si>
  <x:si>
    <x:t xml:space="preserve">Marina Leitz</x:t>
  </x:si>
  <x:si>
    <x:t xml:space="preserve">APM0007776</x:t>
  </x:si>
  <x:si>
    <x:t xml:space="preserve">FEP Corporate Center Portal</x:t>
  </x:si>
  <x:si>
    <x:t xml:space="preserve">APM0007777</x:t>
  </x:si>
  <x:si>
    <x:t xml:space="preserve">FEP Corporate Development Portal</x:t>
  </x:si>
  <x:si>
    <x:t xml:space="preserve">Martin Baer</x:t>
  </x:si>
  <x:si>
    <x:t xml:space="preserve">APM0007778</x:t>
  </x:si>
  <x:si>
    <x:t xml:space="preserve">FEP Corporate Finance Portal</x:t>
  </x:si>
  <x:si>
    <x:t xml:space="preserve">Pius Kiefel</x:t>
  </x:si>
  <x:si>
    <x:t xml:space="preserve">APM0007779</x:t>
  </x:si>
  <x:si>
    <x:t xml:space="preserve">FEP Corporate Quality Portal</x:t>
  </x:si>
  <x:si>
    <x:t xml:space="preserve">COR/RQ</x:t>
  </x:si>
  <x:si>
    <x:t xml:space="preserve">Thorsten Guenzel</x:t>
  </x:si>
  <x:si>
    <x:t xml:space="preserve">APM0007781</x:t>
  </x:si>
  <x:si>
    <x:t xml:space="preserve">FEP Dispersions &amp; Resins Portal</x:t>
  </x:si>
  <x:si>
    <x:t xml:space="preserve">Manage Operational Quality System aligned with EHS (Provides), Document Management (Provides), Communicate Internally (Provides)</x:t>
  </x:si>
  <x:si>
    <x:t xml:space="preserve">EDG/LB</x:t>
  </x:si>
  <x:si>
    <x:t xml:space="preserve">Tobias Mueller-Goetz</x:t>
  </x:si>
  <x:si>
    <x:t xml:space="preserve">APM0007782</x:t>
  </x:si>
  <x:si>
    <x:t xml:space="preserve">FEP EMEA PORTAL</x:t>
  </x:si>
  <x:si>
    <x:t xml:space="preserve">GBE/OK-K</x:t>
  </x:si>
  <x:si>
    <x:t xml:space="preserve">Lydia Wartewig</x:t>
  </x:si>
  <x:si>
    <x:t xml:space="preserve">APM0007783</x:t>
  </x:si>
  <x:si>
    <x:t xml:space="preserve">FEP EN Intranet Portal</x:t>
  </x:si>
  <x:si>
    <x:t xml:space="preserve">Manage Risk Assessment/Processes (Provides)</x:t>
  </x:si>
  <x:si>
    <x:t xml:space="preserve">EN/CD</x:t>
  </x:si>
  <x:si>
    <x:t xml:space="preserve">Sibylle Gruner</x:t>
  </x:si>
  <x:si>
    <x:t xml:space="preserve">APM0007784</x:t>
  </x:si>
  <x:si>
    <x:t xml:space="preserve">FEP EVO Portal</x:t>
  </x:si>
  <x:si>
    <x:t xml:space="preserve">Track employee training and match it to operational requirements (Provides), Manage Site Landscape (Provides), Manage Risk Assessment/Processes (Provides), Distribute Newsletters (Provides), Business Processes (Provides)</x:t>
  </x:si>
  <x:si>
    <x:t xml:space="preserve">EV/CED</x:t>
  </x:si>
  <x:si>
    <x:t xml:space="preserve">Heike Lorenz</x:t>
  </x:si>
  <x:si>
    <x:t xml:space="preserve">APM0007820</x:t>
  </x:si>
  <x:si>
    <x:t xml:space="preserve">FEP Environmental Protection Health and Safety Portal</x:t>
  </x:si>
  <x:si>
    <x:t xml:space="preserve">COR</x:t>
  </x:si>
  <x:si>
    <x:t xml:space="preserve">Lena Arnold</x:t>
  </x:si>
  <x:si>
    <x:t xml:space="preserve">APM0007785</x:t>
  </x:si>
  <x:si>
    <x:t xml:space="preserve">FEP European Site &amp; Verbund Management Portal</x:t>
  </x:si>
  <x:si>
    <x:t xml:space="preserve">Marion Grauer</x:t>
  </x:si>
  <x:si>
    <x:t xml:space="preserve">APM0007789</x:t>
  </x:si>
  <x:si>
    <x:t xml:space="preserve">FEP Global Engineering &amp; Maintenance Portal</x:t>
  </x:si>
  <x:si>
    <x:t xml:space="preserve">Daniel Scheidel</x:t>
  </x:si>
  <x:si>
    <x:t xml:space="preserve">APM0007641</x:t>
  </x:si>
  <x:si>
    <x:t xml:space="preserve">FEP Global Technical Community Extranet Portal / FT Extranet Portal</x:t>
  </x:si>
  <x:si>
    <x:t xml:space="preserve">Sebastian Wolf</x:t>
  </x:si>
  <x:si>
    <x:t xml:space="preserve">APM0007790</x:t>
  </x:si>
  <x:si>
    <x:t xml:space="preserve">FEP Human Resources  Portal</x:t>
  </x:si>
  <x:si>
    <x:t xml:space="preserve">HR Service Management (Provides)</x:t>
  </x:si>
  <x:si>
    <x:t xml:space="preserve">GBT/OT-G</x:t>
  </x:si>
  <x:si>
    <x:t xml:space="preserve">Stefan Battschinger</x:t>
  </x:si>
  <x:si>
    <x:t xml:space="preserve">APM0007784; APM0007777</x:t>
  </x:si>
  <x:si>
    <x:t xml:space="preserve">APM0008010</x:t>
  </x:si>
  <x:si>
    <x:t xml:space="preserve">FEP Human Resources Portal -  Impact Tool</x:t>
  </x:si>
  <x:si>
    <x:t xml:space="preserve">ESM/KS</x:t>
  </x:si>
  <x:si>
    <x:t xml:space="preserve">Desiree Esswein</x:t>
  </x:si>
  <x:si>
    <x:t xml:space="preserve">APM0008009</x:t>
  </x:si>
  <x:si>
    <x:t xml:space="preserve">FEP Human Resources Portal - Octopus Application</x:t>
  </x:si>
  <x:si>
    <x:t xml:space="preserve">GBT/PP-R</x:t>
  </x:si>
  <x:si>
    <x:t xml:space="preserve">Evelin Stein</x:t>
  </x:si>
  <x:si>
    <x:t xml:space="preserve">APM0007791</x:t>
  </x:si>
  <x:si>
    <x:t xml:space="preserve">FEP Iberia Portal</x:t>
  </x:si>
  <x:si>
    <x:t xml:space="preserve">Manage Risk Assessment/Processes (Provides), Manage BASF QM Process Documentation (Provides)</x:t>
  </x:si>
  <x:si>
    <x:t xml:space="preserve">GDA/DG</x:t>
  </x:si>
  <x:si>
    <x:t xml:space="preserve">PEDRO SANCHEZ</x:t>
  </x:si>
  <x:si>
    <x:t xml:space="preserve">APM0007663</x:t>
  </x:si>
  <x:si>
    <x:t xml:space="preserve">FEP Intermediates Portal  / CI Portal</x:t>
  </x:si>
  <x:si>
    <x:t xml:space="preserve">Compliantly record and store manufacturing data (Provides), Archiving and Records Management (Provides)</x:t>
  </x:si>
  <x:si>
    <x:t xml:space="preserve">APM0007665</x:t>
  </x:si>
  <x:si>
    <x:t xml:space="preserve">FEP Intranet CP Portal Petrochemicals Portal</x:t>
  </x:si>
  <x:si>
    <x:t xml:space="preserve">Document Management (Provides)</x:t>
  </x:si>
  <x:si>
    <x:t xml:space="preserve">APM0008383</x:t>
  </x:si>
  <x:si>
    <x:t xml:space="preserve">FEP Intranet Elements</x:t>
  </x:si>
  <x:si>
    <x:t xml:space="preserve">Manage Senior Executive Service (Provides)</x:t>
  </x:si>
  <x:si>
    <x:t xml:space="preserve">COH/SD</x:t>
  </x:si>
  <x:si>
    <x:t xml:space="preserve">Gerhard Josef Mueller</x:t>
  </x:si>
  <x:si>
    <x:t xml:space="preserve">APM0007792</x:t>
  </x:si>
  <x:si>
    <x:t xml:space="preserve">FEP Intranet Global Business Portal</x:t>
  </x:si>
  <x:si>
    <x:t xml:space="preserve">APM0007664</x:t>
  </x:si>
  <x:si>
    <x:t xml:space="preserve">FEP Intranet Paper and Water Chemicals Portal / EV Portal</x:t>
  </x:si>
  <x:si>
    <x:t xml:space="preserve">Track employee training and match it to operational requirements (Provides)</x:t>
  </x:si>
  <x:si>
    <x:t xml:space="preserve">APM0007822</x:t>
  </x:si>
  <x:si>
    <x:t xml:space="preserve">FEP Intranet Technical Community Portal</x:t>
  </x:si>
  <x:si>
    <x:t xml:space="preserve">APM0007793</x:t>
  </x:si>
  <x:si>
    <x:t xml:space="preserve">FEP Italia Portal</x:t>
  </x:si>
  <x:si>
    <x:t xml:space="preserve">Manage BASF QM Process Documentation (Provides), Communicate Internally (Provides)</x:t>
  </x:si>
  <x:si>
    <x:t xml:space="preserve">GDA/DE</x:t>
  </x:si>
  <x:si>
    <x:t xml:space="preserve">Massimiliano Ronchi</x:t>
  </x:si>
  <x:si>
    <x:t xml:space="preserve">APM0007794</x:t>
  </x:si>
  <x:si>
    <x:t xml:space="preserve">FEP LEAN Portal</x:t>
  </x:si>
  <x:si>
    <x:t xml:space="preserve">GBM/OL</x:t>
  </x:si>
  <x:si>
    <x:t xml:space="preserve">Simon Prokschi</x:t>
  </x:si>
  <x:si>
    <x:t xml:space="preserve">APM0010981; APM0007791</x:t>
  </x:si>
  <x:si>
    <x:t xml:space="preserve">APM0007795</x:t>
  </x:si>
  <x:si>
    <x:t xml:space="preserve">FEP Lemfoerde Portal</x:t>
  </x:si>
  <x:si>
    <x:t xml:space="preserve">PM/CI</x:t>
  </x:si>
  <x:si>
    <x:t xml:space="preserve">Michael Ngo</x:t>
  </x:si>
  <x:si>
    <x:t xml:space="preserve">APM0008010; APM0007766</x:t>
  </x:si>
  <x:si>
    <x:t xml:space="preserve">APM0007796</x:t>
  </x:si>
  <x:si>
    <x:t xml:space="preserve">FEP Monheim Portal</x:t>
  </x:si>
  <x:si>
    <x:t xml:space="preserve">EM/HE</x:t>
  </x:si>
  <x:si>
    <x:t xml:space="preserve">Beatrice Spengler</x:t>
  </x:si>
  <x:si>
    <x:t xml:space="preserve">APM0007645</x:t>
  </x:si>
  <x:si>
    <x:t xml:space="preserve">FEP Neopor Internet Portal</x:t>
  </x:si>
  <x:si>
    <x:t xml:space="preserve">APM0010981; APM0007779</x:t>
  </x:si>
  <x:si>
    <x:t xml:space="preserve">APM0007646</x:t>
  </x:si>
  <x:si>
    <x:t xml:space="preserve">FEP Newsapp Portal / Newsapp</x:t>
  </x:si>
  <x:si>
    <x:t xml:space="preserve">Reinhard Staudacher</x:t>
  </x:si>
  <x:si>
    <x:t xml:space="preserve">APM0007799</x:t>
  </x:si>
  <x:si>
    <x:t xml:space="preserve">FEP Nordic Baltic Portal</x:t>
  </x:si>
  <x:si>
    <x:t xml:space="preserve">GBE/UN</x:t>
  </x:si>
  <x:si>
    <x:t xml:space="preserve">Charlotte Breinholt</x:t>
  </x:si>
  <x:si>
    <x:t xml:space="preserve">APM0007801</x:t>
  </x:si>
  <x:si>
    <x:t xml:space="preserve">FEP PROFIS Portal</x:t>
  </x:si>
  <x:si>
    <x:t xml:space="preserve">BI, Reporting &amp; Analytics (Provides)</x:t>
  </x:si>
  <x:si>
    <x:t xml:space="preserve">APM0007665; APM0007793</x:t>
  </x:si>
  <x:si>
    <x:t xml:space="preserve">APM0007803</x:t>
  </x:si>
  <x:si>
    <x:t xml:space="preserve">FEP Performance Materials Portal</x:t>
  </x:si>
  <x:si>
    <x:t xml:space="preserve">APM0007770</x:t>
  </x:si>
  <x:si>
    <x:t xml:space="preserve">FEP Petrochemicals App Portal</x:t>
  </x:si>
  <x:si>
    <x:t xml:space="preserve">Cash Flow Statement  (Provides)</x:t>
  </x:si>
  <x:si>
    <x:t xml:space="preserve">APM0007648</x:t>
  </x:si>
  <x:si>
    <x:t xml:space="preserve">FEP Petrochemicals Extranet Portal /CP Extranet Portal</x:t>
  </x:si>
  <x:si>
    <x:t xml:space="preserve">Provide Other Technical Services (Provides), Communicate Externally (Provides)</x:t>
  </x:si>
  <x:si>
    <x:t xml:space="preserve">APM0007780; APM0007822</x:t>
  </x:si>
  <x:si>
    <x:t xml:space="preserve">APM0007650</x:t>
  </x:si>
  <x:si>
    <x:t xml:space="preserve">FEP Polystyrol Internet Portal</x:t>
  </x:si>
  <x:si>
    <x:t xml:space="preserve">APM0007816</x:t>
  </x:si>
  <x:si>
    <x:t xml:space="preserve">FEP Portail France</x:t>
  </x:si>
  <x:si>
    <x:t xml:space="preserve">GBE/UF</x:t>
  </x:si>
  <x:si>
    <x:t xml:space="preserve">BRUNO VIGNEAU</x:t>
  </x:si>
  <x:si>
    <x:t xml:space="preserve">APM0007804</x:t>
  </x:si>
  <x:si>
    <x:t xml:space="preserve">FEP Process Research &amp; Chemical Engineering</x:t>
  </x:si>
  <x:si>
    <x:t xml:space="preserve">APM0007805</x:t>
  </x:si>
  <x:si>
    <x:t xml:space="preserve">FEP Production &amp; Technical Academy Portal</x:t>
  </x:si>
  <x:si>
    <x:t xml:space="preserve">Support Learning Experience (Provides)</x:t>
  </x:si>
  <x:si>
    <x:t xml:space="preserve">ESH/VA</x:t>
  </x:si>
  <x:si>
    <x:t xml:space="preserve">Markus Haas</x:t>
  </x:si>
  <x:si>
    <x:t xml:space="preserve">APM0007806</x:t>
  </x:si>
  <x:si>
    <x:t xml:space="preserve">FEP R &amp; D Portal</x:t>
  </x:si>
  <x:si>
    <x:t xml:space="preserve">Ulrike Brandt</x:t>
  </x:si>
  <x:si>
    <x:t xml:space="preserve">APM0007649</x:t>
  </x:si>
  <x:si>
    <x:t xml:space="preserve">FEP REACH 22 SC / REACH</x:t>
  </x:si>
  <x:si>
    <x:t xml:space="preserve">APM0007651</x:t>
  </x:si>
  <x:si>
    <x:t xml:space="preserve">FEP Reec Portal</x:t>
  </x:si>
  <x:si>
    <x:t xml:space="preserve">Track Substance Volumes (Provides), Communicate Externally (Provides)</x:t>
  </x:si>
  <x:si>
    <x:t xml:space="preserve">APM0007807</x:t>
  </x:si>
  <x:si>
    <x:t xml:space="preserve">FEP Responsible Care Bioscience Research Portal</x:t>
  </x:si>
  <x:si>
    <x:t xml:space="preserve">RG/PE</x:t>
  </x:si>
  <x:si>
    <x:t xml:space="preserve">Axel Kleemann</x:t>
  </x:si>
  <x:si>
    <x:t xml:space="preserve">APM0007808</x:t>
  </x:si>
  <x:si>
    <x:t xml:space="preserve">FEP Schwarzheide Intranet Portal</x:t>
  </x:si>
  <x:si>
    <x:t xml:space="preserve">ESS/TTM</x:t>
  </x:si>
  <x:si>
    <x:t xml:space="preserve">Henry Helmut Neufeld</x:t>
  </x:si>
  <x:si>
    <x:t xml:space="preserve">APM0007809</x:t>
  </x:si>
  <x:si>
    <x:t xml:space="preserve">FEP Schweiz Portal</x:t>
  </x:si>
  <x:si>
    <x:t xml:space="preserve">Web content Management (Provides), Provide Technical Services R&amp;D (Provides), Knowledge Management (Provides), File Conversion (Provides), Enterprise Search (Provides), Document Signing (Provides), Document Management (Provides), Communicate Internally (Provides), Archiving and Records Management (Provides)</x:t>
  </x:si>
  <x:si>
    <x:t xml:space="preserve">EVM/EKO</x:t>
  </x:si>
  <x:si>
    <x:t xml:space="preserve">Antonio Ratto</x:t>
  </x:si>
  <x:si>
    <x:t xml:space="preserve">APM0007811</x:t>
  </x:si>
  <x:si>
    <x:t xml:space="preserve">FEP Standortportal Ludwigshafen</x:t>
  </x:si>
  <x:si>
    <x:t xml:space="preserve">ESM/KI</x:t>
  </x:si>
  <x:si>
    <x:t xml:space="preserve">Maren Carle</x:t>
  </x:si>
  <x:si>
    <x:t xml:space="preserve">APM0007653</x:t>
  </x:si>
  <x:si>
    <x:t xml:space="preserve">FEP Styrenics Portal</x:t>
  </x:si>
  <x:si>
    <x:t xml:space="preserve">APM0007652</x:t>
  </x:si>
  <x:si>
    <x:t xml:space="preserve">FEP Styrodur Portal / Styrodur Portal</x:t>
  </x:si>
  <x:si>
    <x:t xml:space="preserve">APM0007792; APM0007663</x:t>
  </x:si>
  <x:si>
    <x:t xml:space="preserve">APM0007654</x:t>
  </x:si>
  <x:si>
    <x:t xml:space="preserve">FEP Styropor Internet Portal</x:t>
  </x:si>
  <x:si>
    <x:t xml:space="preserve">APM0007656</x:t>
  </x:si>
  <x:si>
    <x:t xml:space="preserve">FEP TV Service Portal</x:t>
  </x:si>
  <x:si>
    <x:t xml:space="preserve">Web content Management (Provides)</x:t>
  </x:si>
  <x:si>
    <x:t xml:space="preserve">COM/EM</x:t>
  </x:si>
  <x:si>
    <x:t xml:space="preserve">Jens-Georg Fey</x:t>
  </x:si>
  <x:si>
    <x:t xml:space="preserve">APM0007813</x:t>
  </x:si>
  <x:si>
    <x:t xml:space="preserve">FEP Videoload Portal</x:t>
  </x:si>
  <x:si>
    <x:t xml:space="preserve">GDB/DD</x:t>
  </x:si>
  <x:si>
    <x:t xml:space="preserve">Nico Voelker</x:t>
  </x:si>
  <x:si>
    <x:t xml:space="preserve">APM0007657</x:t>
  </x:si>
  <x:si>
    <x:t xml:space="preserve">FEP online reporter Portal</x:t>
  </x:si>
  <x:si>
    <x:t xml:space="preserve">APM0013556</x:t>
  </x:si>
  <x:si>
    <x:t xml:space="preserve">FEP Üchem Portal</x:t>
  </x:si>
  <x:si>
    <x:t xml:space="preserve">Industrial System Infrastructure (Provides)</x:t>
  </x:si>
  <x:si>
    <x:t xml:space="preserve">GDD/PB</x:t>
  </x:si>
  <x:si>
    <x:t xml:space="preserve">Nico Kreutzer</x:t>
  </x:si>
  <x:si>
    <x:t xml:space="preserve">APM0010981; APM0007813</x:t>
  </x:si>
  <x:si>
    <x:t xml:space="preserve">APM0007483</x:t>
  </x:si>
  <x:si>
    <x:t xml:space="preserve">FEPWEB</x:t>
  </x:si>
  <x:si>
    <x:t xml:space="preserve">GBW/FFB-OF</x:t>
  </x:si>
  <x:si>
    <x:t xml:space="preserve">Agostina Belen Dreiling</x:t>
  </x:si>
  <x:si>
    <x:t xml:space="preserve">APM0007320</x:t>
  </x:si>
  <x:si>
    <x:t xml:space="preserve">BASF DEVELOPER PORTAL</x:t>
  </x:si>
  <x:si>
    <x:t xml:space="preserve">Harmonize Integration platform</x:t>
  </x:si>
  <x:si>
    <x:t xml:space="preserve">API Management (Provides)</x:t>
  </x:si>
  <x:si>
    <x:t xml:space="preserve">Site-local integration platform duplicates capability already provided by BASF Integration Platform; consolidate to reduce licence, hosting and support cost.</x:t>
  </x:si>
  <x:si>
    <x:t xml:space="preserve">BASF Integration Platform</x:t>
  </x:si>
  <x:si>
    <x:t xml:space="preserve">GDB/ZI</x:t>
  </x:si>
  <x:si>
    <x:t xml:space="preserve">Matthias Steinhoff</x:t>
  </x:si>
  <x:si>
    <x:t xml:space="preserve">Integration SME 1</x:t>
  </x:si>
  <x:si>
    <x:t xml:space="preserve">APM0005257</x:t>
  </x:si>
  <x:si>
    <x:t xml:space="preserve">BASF Integration Hub (BIH)</x:t>
  </x:si>
  <x:si>
    <x:t xml:space="preserve">Overlapping integration platform functionality across sites; harmonising onto BASF Integration Platform removes redundant support effort and standardises process.</x:t>
  </x:si>
  <x:si>
    <x:t xml:space="preserve">Integration SME 2</x:t>
  </x:si>
  <x:si>
    <x:t xml:space="preserve">APM0003548</x:t>
  </x:si>
  <x:si>
    <x:t xml:space="preserve">KAFKA AWS</x:t>
  </x:si>
  <x:si>
    <x:t xml:space="preserve">Harmonize Kafka Hosting</x:t>
  </x:si>
  <x:si>
    <x:t xml:space="preserve">Data Streaming (Provides)</x:t>
  </x:si>
  <x:si>
    <x:t xml:space="preserve">Site-local kafka hosting duplicates capability already provided by Managed Kafka Service; consolidate to reduce licence, hosting and support cost.</x:t>
  </x:si>
  <x:si>
    <x:t xml:space="preserve">Managed Kafka Service</x:t>
  </x:si>
  <x:si>
    <x:t xml:space="preserve">Hartmut Zimmermann</x:t>
  </x:si>
  <x:si>
    <x:t xml:space="preserve">Kafka SME 1</x:t>
  </x:si>
  <x:si>
    <x:t xml:space="preserve">APM0012516</x:t>
  </x:si>
  <x:si>
    <x:t xml:space="preserve">KAFKA CONFLUENT CLOUD</x:t>
  </x:si>
  <x:si>
    <x:t xml:space="preserve">Patrick Beck</x:t>
  </x:si>
  <x:si>
    <x:t xml:space="preserve">Kafka SME 2</x:t>
  </x:si>
  <x:si>
    <x:t xml:space="preserve">APM0001519</x:t>
  </x:si>
  <x:si>
    <x:t xml:space="preserve">ALMS</x:t>
  </x:si>
  <x:si>
    <x:t xml:space="preserve">Product, Production Process and System Innovation Management (Provides), Manage SAP QM Integration (Instruments, MES, PIMS, LIMS, WM) (Provides)</x:t>
  </x:si>
  <x:si>
    <x:t xml:space="preserve">Fragmented mes-solutions landscape drives inconsistent data and duplicated interfaces; consolidation onto BASF Standard MES Platform is the agreed target state.</x:t>
  </x:si>
  <x:si>
    <x:t xml:space="preserve">BASF Standard MES Platform</x:t>
  </x:si>
  <x:si>
    <x:t xml:space="preserve">RGS/BE</x:t>
  </x:si>
  <x:si>
    <x:t xml:space="preserve">Martin Wende</x:t>
  </x:si>
  <x:si>
    <x:t xml:space="preserve">MES-Solution SME 1</x:t>
  </x:si>
  <x:si>
    <x:t xml:space="preserve">APM0007453</x:t>
  </x:si>
  <x:si>
    <x:t xml:space="preserve">BASF POLYURETHANE PUR-MES</x:t>
  </x:si>
  <x:si>
    <x:t xml:space="preserve">Overlapping mes-solutions functionality across sites; harmonising onto BASF Standard MES Platform removes redundant support effort and standardises process.</x:t>
  </x:si>
  <x:si>
    <x:t xml:space="preserve">E-PME/OI</x:t>
  </x:si>
  <x:si>
    <x:t xml:space="preserve">Eleonora Gilli</x:t>
  </x:si>
  <x:si>
    <x:t xml:space="preserve">MES-Solution SME 2</x:t>
  </x:si>
  <x:si>
    <x:t xml:space="preserve">APM0013227</x:t>
  </x:si>
  <x:si>
    <x:t xml:space="preserve">Bangpoo Thailand MES</x:t>
  </x:si>
  <x:si>
    <x:t xml:space="preserve">A-PMA/OM</x:t>
  </x:si>
  <x:si>
    <x:t xml:space="preserve">Krit Phetkhlai</x:t>
  </x:si>
  <x:si>
    <x:t xml:space="preserve">MES-Solution SME 3</x:t>
  </x:si>
  <x:si>
    <x:t xml:space="preserve">APM0004175</x:t>
  </x:si>
  <x:si>
    <x:t xml:space="preserve">CELLASTO MES - WYANDOTTE</x:t>
  </x:si>
  <x:si>
    <x:t xml:space="preserve">Site-local mes-solutions duplicates capability already provided by BASF Standard MES Platform; consolidate to reduce licence, hosting and support cost.</x:t>
  </x:si>
  <x:si>
    <x:t xml:space="preserve">G-PM/AOW</x:t>
  </x:si>
  <x:si>
    <x:t xml:space="preserve">Helbert Ozilio</x:t>
  </x:si>
  <x:si>
    <x:t xml:space="preserve">MES-Solution SME 4</x:t>
  </x:si>
  <x:si>
    <x:t xml:space="preserve">APM0003985</x:t>
  </x:si>
  <x:si>
    <x:t xml:space="preserve">CHROMELEON - WYANDOTTE</x:t>
  </x:si>
  <x:si>
    <x:t xml:space="preserve">Manage SAP QM Integration (Instruments, MES, PIMS, LIMS, WM) (Provides)</x:t>
  </x:si>
  <x:si>
    <x:t xml:space="preserve">G-EDJ/OW</x:t>
  </x:si>
  <x:si>
    <x:t xml:space="preserve">Jada Stewart</x:t>
  </x:si>
  <x:si>
    <x:t xml:space="preserve">APM0007979</x:t>
  </x:si>
  <x:si>
    <x:t xml:space="preserve">CNZNG COM TPU MES DB</x:t>
  </x:si>
  <x:si>
    <x:t xml:space="preserve">Monitor and analyze batch processes (Provides)</x:t>
  </x:si>
  <x:si>
    <x:t xml:space="preserve">A-PMA/OT</x:t>
  </x:si>
  <x:si>
    <x:t xml:space="preserve">Tao ZHANG</x:t>
  </x:si>
  <x:si>
    <x:t xml:space="preserve">APM0007980</x:t>
  </x:si>
  <x:si>
    <x:t xml:space="preserve">CNZNG TPU PIMS PI</x:t>
  </x:si>
  <x:si>
    <x:t xml:space="preserve">Compare batches based on historic data (Provides)</x:t>
  </x:si>
  <x:si>
    <x:t xml:space="preserve">APM0001610</x:t>
  </x:si>
  <x:si>
    <x:t xml:space="preserve">COMPASS LAB SYSTEM MCINTOSH</x:t>
  </x:si>
  <x:si>
    <x:t xml:space="preserve">Application delivers a subset of BASF Standard MES Platform capability with no differentiating function; retire after migration to the standard platform.</x:t>
  </x:si>
  <x:si>
    <x:t xml:space="preserve">EVM/NM</x:t>
  </x:si>
  <x:si>
    <x:t xml:space="preserve">Dawn Johnson</x:t>
  </x:si>
  <x:si>
    <x:t xml:space="preserve">APM0001869</x:t>
  </x:si>
  <x:si>
    <x:t xml:space="preserve">EMCE C625 - MES</x:t>
  </x:si>
  <x:si>
    <x:t xml:space="preserve">G-EDM/OE</x:t>
  </x:si>
  <x:si>
    <x:t xml:space="preserve">Christian Gress</x:t>
  </x:si>
  <x:si>
    <x:t xml:space="preserve">APM0009511</x:t>
  </x:si>
  <x:si>
    <x:t xml:space="preserve">Empower-2-FR-3_DEDUS</x:t>
  </x:si>
  <x:si>
    <x:t xml:space="preserve">Manage SAP QM Integration (Instruments, MES, PIMS, LIMS, WM) (Provides), Manage BASF QM Process Documentation (Provides)</x:t>
  </x:si>
  <x:si>
    <x:t xml:space="preserve">EMX/QC</x:t>
  </x:si>
  <x:si>
    <x:t xml:space="preserve">Carolin Warnath</x:t>
  </x:si>
  <x:si>
    <x:t xml:space="preserve">APM0003899</x:t>
  </x:si>
  <x:si>
    <x:t xml:space="preserve">LABWARE_DUS_ANALYTICS</x:t>
  </x:si>
  <x:si>
    <x:t xml:space="preserve">APM0010162</x:t>
  </x:si>
  <x:si>
    <x:t xml:space="preserve">LABWARE_DUS_ANALYTICS_CO</x:t>
  </x:si>
  <x:si>
    <x:t xml:space="preserve">APM0001878</x:t>
  </x:si>
  <x:si>
    <x:t xml:space="preserve">MCINTOSH_WINBLISS_LIMS</x:t>
  </x:si>
  <x:si>
    <x:t xml:space="preserve">Manage SAP QM Integration (Instruments, MES, PIMS, LIMS, WM) (Provides), Laboratory Data specific Systems (Provides)</x:t>
  </x:si>
  <x:si>
    <x:t xml:space="preserve">APM0004452</x:t>
  </x:si>
  <x:si>
    <x:t xml:space="preserve">MEGAN</x:t>
  </x:si>
  <x:si>
    <x:t xml:space="preserve">Manage SAP QM Integration (Instruments, MES, PIMS, LIMS, WM) (Provides), LIMS PIMS Interfaces (Provides)</x:t>
  </x:si>
  <x:si>
    <x:t xml:space="preserve">GDD/EE</x:t>
  </x:si>
  <x:si>
    <x:t xml:space="preserve">Thomas Leese</x:t>
  </x:si>
  <x:si>
    <x:t xml:space="preserve">APM0008706</x:t>
  </x:si>
  <x:si>
    <x:t xml:space="preserve">MES INMATION Schwarzheide</x:t>
  </x:si>
  <x:si>
    <x:t xml:space="preserve">ESS/SRT</x:t>
  </x:si>
  <x:si>
    <x:t xml:space="preserve">Torsten Schoenfeld</x:t>
  </x:si>
  <x:si>
    <x:t xml:space="preserve">APM0008984</x:t>
  </x:si>
  <x:si>
    <x:t xml:space="preserve">MES Jobserver</x:t>
  </x:si>
  <x:si>
    <x:t xml:space="preserve">APM0004175; APM0001610</x:t>
  </x:si>
  <x:si>
    <x:t xml:space="preserve">APM0004141</x:t>
  </x:si>
  <x:si>
    <x:t xml:space="preserve">MES TRENDMINER</x:t>
  </x:si>
  <x:si>
    <x:t xml:space="preserve">GEM/TA</x:t>
  </x:si>
  <x:si>
    <x:t xml:space="preserve">Martin Tobias Koersgen</x:t>
  </x:si>
  <x:si>
    <x:t xml:space="preserve">APM0002070</x:t>
  </x:si>
  <x:si>
    <x:t xml:space="preserve">METROHM</x:t>
  </x:si>
  <x:si>
    <x:t xml:space="preserve">APM0012991</x:t>
  </x:si>
  <x:si>
    <x:t xml:space="preserve">MYPGU Compounding PM MES</x:t>
  </x:si>
  <x:si>
    <x:t xml:space="preserve">Define and plan production campaigns (Provides)</x:t>
  </x:si>
  <x:si>
    <x:t xml:space="preserve">A-PMA/OE</x:t>
  </x:si>
  <x:si>
    <x:t xml:space="preserve">Vasyanthan Pandiyan</x:t>
  </x:si>
  <x:si>
    <x:t xml:space="preserve">APM0008611</x:t>
  </x:si>
  <x:si>
    <x:t xml:space="preserve">OM3_LIMS</x:t>
  </x:si>
  <x:si>
    <x:t xml:space="preserve">G-ENP/PO</x:t>
  </x:si>
  <x:si>
    <x:t xml:space="preserve">Sondov Rui</x:t>
  </x:si>
  <x:si>
    <x:t xml:space="preserve">APM0003154</x:t>
  </x:si>
  <x:si>
    <x:t xml:space="preserve">OPENQMLAB</x:t>
  </x:si>
  <x:si>
    <x:t xml:space="preserve">APM0008738</x:t>
  </x:si>
  <x:si>
    <x:t xml:space="preserve">OSISoft PI System Rudolstadt</x:t>
  </x:si>
  <x:si>
    <x:t xml:space="preserve">Business-differentiating capability not covered by BASF Standard MES Platform; retain as-is for this programme and reassess at the next portfolio review.</x:t>
  </x:si>
  <x:si>
    <x:t xml:space="preserve">E-PME/ONM</x:t>
  </x:si>
  <x:si>
    <x:t xml:space="preserve">Ralf Herrmann</x:t>
  </x:si>
  <x:si>
    <x:t xml:space="preserve">APM0003996</x:t>
  </x:si>
  <x:si>
    <x:t xml:space="preserve">PI SERVER</x:t>
  </x:si>
  <x:si>
    <x:t xml:space="preserve">Compare batches based on historic data (Provides), Archive plant data long-term (Provides), Analyse production processes statistically (Provides)</x:t>
  </x:si>
  <x:si>
    <x:t xml:space="preserve">Robert Price</x:t>
  </x:si>
  <x:si>
    <x:t xml:space="preserve">APM0003995</x:t>
  </x:si>
  <x:si>
    <x:t xml:space="preserve">PI SERVER PLANT AUTOMATION</x:t>
  </x:si>
  <x:si>
    <x:t xml:space="preserve">APM0011561</x:t>
  </x:si>
  <x:si>
    <x:t xml:space="preserve">PM Compounding MES</x:t>
  </x:si>
  <x:si>
    <x:t xml:space="preserve">Si Qing ZHANG</x:t>
  </x:si>
  <x:si>
    <x:t xml:space="preserve">APM0013158</x:t>
  </x:si>
  <x:si>
    <x:t xml:space="preserve">PM MES Browser</x:t>
  </x:si>
  <x:si>
    <x:t xml:space="preserve">Ulrich Bresch</x:t>
  </x:si>
  <x:si>
    <x:t xml:space="preserve">APM0013299</x:t>
  </x:si>
  <x:si>
    <x:t xml:space="preserve">PM MES Core</x:t>
  </x:si>
  <x:si>
    <x:t xml:space="preserve">Schedule plant equipment and assign it to production (Provides)</x:t>
  </x:si>
  <x:si>
    <x:t xml:space="preserve">APM0007300</x:t>
  </x:si>
  <x:si>
    <x:t xml:space="preserve">PM MES Ludwigshafen</x:t>
  </x:si>
  <x:si>
    <x:t xml:space="preserve">Schedule plant equipment and assign it to production (Provides), Report on manufacturing operations (Provides), Monitor and analyze batch processes (Provides), Monitor and analyse production (Provides), Compliantly record and store manufacturing data (Provides)</x:t>
  </x:si>
  <x:si>
    <x:t xml:space="preserve">E-PME/OP</x:t>
  </x:si>
  <x:si>
    <x:t xml:space="preserve">Simon Alexander Gruener</x:t>
  </x:si>
  <x:si>
    <x:t xml:space="preserve">APM0008691</x:t>
  </x:si>
  <x:si>
    <x:t xml:space="preserve">PM MES Schwarzheide</x:t>
  </x:si>
  <x:si>
    <x:t xml:space="preserve">Thomas Ihle</x:t>
  </x:si>
  <x:si>
    <x:t xml:space="preserve">APM0013157</x:t>
  </x:si>
  <x:si>
    <x:t xml:space="preserve">PUR MES WHScanner</x:t>
  </x:si>
  <x:si>
    <x:t xml:space="preserve">APM0002857</x:t>
  </x:si>
  <x:si>
    <x:t xml:space="preserve">PUR-MES MIDDLEWARE</x:t>
  </x:si>
  <x:si>
    <x:t xml:space="preserve">N-PMN/OO</x:t>
  </x:si>
  <x:si>
    <x:t xml:space="preserve">Zachary Babin</x:t>
  </x:si>
  <x:si>
    <x:t xml:space="preserve">APM0003468</x:t>
  </x:si>
  <x:si>
    <x:t xml:space="preserve">Plant Information Management System (PIMS) BASF Antwerpen</x:t>
  </x:si>
  <x:si>
    <x:t xml:space="preserve">APM0009832</x:t>
  </x:si>
  <x:si>
    <x:t xml:space="preserve">QM Toller CoA Cloud</x:t>
  </x:si>
  <x:si>
    <x:t xml:space="preserve">GDD/ED</x:t>
  </x:si>
  <x:si>
    <x:t xml:space="preserve">Aurea Trevizanoto</x:t>
  </x:si>
  <x:si>
    <x:t xml:space="preserve">APM0003996; APM0008611</x:t>
  </x:si>
  <x:si>
    <x:t xml:space="preserve">APM0008839</x:t>
  </x:si>
  <x:si>
    <x:t xml:space="preserve">QM Toller CoA via browser</x:t>
  </x:si>
  <x:si>
    <x:t xml:space="preserve">APM0002611</x:t>
  </x:si>
  <x:si>
    <x:t xml:space="preserve">QSIS</x:t>
  </x:si>
  <x:si>
    <x:t xml:space="preserve">APM0002256</x:t>
  </x:si>
  <x:si>
    <x:t xml:space="preserve">QUANTOS</x:t>
  </x:si>
  <x:si>
    <x:t xml:space="preserve">Manage SAP QM Integration (Instruments, MES, PIMS, LIMS, WM) (Provides), LIMS PIMS Interfaces (Provides), Laboratory Data specific Systems (Provides)</x:t>
  </x:si>
  <x:si>
    <x:t xml:space="preserve">ENT/QC</x:t>
  </x:si>
  <x:si>
    <x:t xml:space="preserve">Heiko Schneller</x:t>
  </x:si>
  <x:si>
    <x:t xml:space="preserve">APM0004139</x:t>
  </x:si>
  <x:si>
    <x:t xml:space="preserve">VI FRAMEWORK</x:t>
  </x:si>
  <x:si>
    <x:t xml:space="preserve">Schedule plant equipment and assign it to production (Provides), Report on manufacturing operations (Provides), Order assignment for running production campaigns (Provides), Monitor and analyse production (Provides), Evaluate production progress, quality and efficacy (Provides)</x:t>
  </x:si>
  <x:si>
    <x:t xml:space="preserve">GDD/BB</x:t>
  </x:si>
  <x:si>
    <x:t xml:space="preserve">Christian Fuchs</x:t>
  </x:si>
  <x:si>
    <x:t xml:space="preserve">APM0011034</x:t>
  </x:si>
  <x:si>
    <x:t xml:space="preserve">Apparatendossier Static</x:t>
  </x:si>
  <x:si>
    <x:t xml:space="preserve">Harmonize Maintenance Management Systems</x:t>
  </x:si>
  <x:si>
    <x:t xml:space="preserve">Site-local maintenance management systems duplicates capability already provided by SAP PM / Standard MMS; consolidate to reduce licence, hosting and support cost.</x:t>
  </x:si>
  <x:si>
    <x:t xml:space="preserve">SAP PM / Standard MMS</x:t>
  </x:si>
  <x:si>
    <x:t xml:space="preserve">ESP/TWS</x:t>
  </x:si>
  <x:si>
    <x:t xml:space="preserve">Kristof Bessems</x:t>
  </x:si>
  <x:si>
    <x:t xml:space="preserve">Maintenance SME 1</x:t>
  </x:si>
  <x:si>
    <x:t xml:space="preserve">APM0013202</x:t>
  </x:si>
  <x:si>
    <x:t xml:space="preserve">Auma Assistant</x:t>
  </x:si>
  <x:si>
    <x:t xml:space="preserve">Overlapping maintenance management systems functionality across sites; harmonising onto SAP PM / Standard MMS removes redundant support effort and standardises process.</x:t>
  </x:si>
  <x:si>
    <x:t xml:space="preserve">ESP/IMA</x:t>
  </x:si>
  <x:si>
    <x:t xml:space="preserve">Kristof Lauman</x:t>
  </x:si>
  <x:si>
    <x:t xml:space="preserve">Maintenance SME 2</x:t>
  </x:si>
  <x:si>
    <x:t xml:space="preserve">APM0010434</x:t>
  </x:si>
  <x:si>
    <x:t xml:space="preserve">BASANT MatMan</x:t>
  </x:si>
  <x:si>
    <x:t xml:space="preserve">Provide Maintenance Management (Provides)</x:t>
  </x:si>
  <x:si>
    <x:t xml:space="preserve">ESP/TM</x:t>
  </x:si>
  <x:si>
    <x:t xml:space="preserve">Tamara van Geel</x:t>
  </x:si>
  <x:si>
    <x:t xml:space="preserve">Maintenance SME 3</x:t>
  </x:si>
  <x:si>
    <x:t xml:space="preserve">APM0001942</x:t>
  </x:si>
  <x:si>
    <x:t xml:space="preserve">BASANT PLUTOS OAPEX PLATFORM</x:t>
  </x:si>
  <x:si>
    <x:t xml:space="preserve">Application delivers a subset of SAP PM / Standard MMS capability with no differentiating function; retire after migration to the standard platform.</x:t>
  </x:si>
  <x:si>
    <x:t xml:space="preserve">Maintenance SME 4</x:t>
  </x:si>
  <x:si>
    <x:t xml:space="preserve">APM0011224</x:t>
  </x:si>
  <x:si>
    <x:t xml:space="preserve">BASANT PLUTOS Tankinspecties</x:t>
  </x:si>
  <x:si>
    <x:t xml:space="preserve">APM0004476</x:t>
  </x:si>
  <x:si>
    <x:t xml:space="preserve">BASANT SPECTOR</x:t>
  </x:si>
  <x:si>
    <x:t xml:space="preserve">Fragmented maintenance management systems landscape drives inconsistent data and duplicated interfaces; consolidation onto SAP PM / Standard MMS is the agreed target state.</x:t>
  </x:si>
  <x:si>
    <x:t xml:space="preserve">ESP/TQI</x:t>
  </x:si>
  <x:si>
    <x:t xml:space="preserve">Anthony Vervisch</x:t>
  </x:si>
  <x:si>
    <x:t xml:space="preserve">APM0011224; APM0013202</x:t>
  </x:si>
  <x:si>
    <x:t xml:space="preserve">APM0009829</x:t>
  </x:si>
  <x:si>
    <x:t xml:space="preserve">BASANT SmartKIS</x:t>
  </x:si>
  <x:si>
    <x:t xml:space="preserve">APM0004476; APM0011224</x:t>
  </x:si>
  <x:si>
    <x:t xml:space="preserve">APM0012888</x:t>
  </x:si>
  <x:si>
    <x:t xml:space="preserve">BASANT SmartValve</x:t>
  </x:si>
  <x:si>
    <x:t xml:space="preserve">Provide Valves and Fittings (Provides)</x:t>
  </x:si>
  <x:si>
    <x:t xml:space="preserve">ESP/TWI</x:t>
  </x:si>
  <x:si>
    <x:t xml:space="preserve">Maxime Pittomvils</x:t>
  </x:si>
  <x:si>
    <x:t xml:space="preserve">APM0009774</x:t>
  </x:si>
  <x:si>
    <x:t xml:space="preserve">BASANT Smaxx</x:t>
  </x:si>
  <x:si>
    <x:t xml:space="preserve">Dries Jordaens</x:t>
  </x:si>
  <x:si>
    <x:t xml:space="preserve">APM0009310</x:t>
  </x:si>
  <x:si>
    <x:t xml:space="preserve">BASANT TEMAS</x:t>
  </x:si>
  <x:si>
    <x:t xml:space="preserve">APM0003936</x:t>
  </x:si>
  <x:si>
    <x:t xml:space="preserve">BASANT Ultimo</x:t>
  </x:si>
  <x:si>
    <x:t xml:space="preserve">ESP/TWC</x:t>
  </x:si>
  <x:si>
    <x:t xml:space="preserve">Freddy Maes</x:t>
  </x:si>
  <x:si>
    <x:t xml:space="preserve">APM0009546</x:t>
  </x:si>
  <x:si>
    <x:t xml:space="preserve">BASF SSAM</x:t>
  </x:si>
  <x:si>
    <x:t xml:space="preserve">Marcus Steg</x:t>
  </x:si>
  <x:si>
    <x:t xml:space="preserve">APM0009278</x:t>
  </x:si>
  <x:si>
    <x:t xml:space="preserve">BPCC E-COST</x:t>
  </x:si>
  <x:si>
    <x:t xml:space="preserve">Provide Other Technical Services (Provides), Provide Maintenance Management (Provides)</x:t>
  </x:si>
  <x:si>
    <x:t xml:space="preserve">Da Gui ZHANG</x:t>
  </x:si>
  <x:si>
    <x:t xml:space="preserve">APM0009546; APM0011224</x:t>
  </x:si>
  <x:si>
    <x:t xml:space="preserve">APM0012140</x:t>
  </x:si>
  <x:si>
    <x:t xml:space="preserve">BPCC Maint.Reliability</x:t>
  </x:si>
  <x:si>
    <x:t xml:space="preserve">Yang Bin LEI</x:t>
  </x:si>
  <x:si>
    <x:t xml:space="preserve">APM0011224; APM0009310</x:t>
  </x:si>
  <x:si>
    <x:t xml:space="preserve">APM0009847</x:t>
  </x:si>
  <x:si>
    <x:t xml:space="preserve">BSW-Maschinentechnik Cockpit</x:t>
  </x:si>
  <x:si>
    <x:t xml:space="preserve">ESS/TTT</x:t>
  </x:si>
  <x:si>
    <x:t xml:space="preserve">Michael Herrich</x:t>
  </x:si>
  <x:si>
    <x:t xml:space="preserve">APM0009278; APM0009774</x:t>
  </x:si>
  <x:si>
    <x:t xml:space="preserve">APM0012127</x:t>
  </x:si>
  <x:si>
    <x:t xml:space="preserve">Beamex bMobile</x:t>
  </x:si>
  <x:si>
    <x:t xml:space="preserve">N-CPN/OR</x:t>
  </x:si>
  <x:si>
    <x:t xml:space="preserve">Yusuff Folahan</x:t>
  </x:si>
  <x:si>
    <x:t xml:space="preserve">APM0004476; APM0009278</x:t>
  </x:si>
  <x:si>
    <x:t xml:space="preserve">APM0008617</x:t>
  </x:si>
  <x:si>
    <x:t xml:space="preserve">CMX</x:t>
  </x:si>
  <x:si>
    <x:t xml:space="preserve">Martin Terjesen Glosmyr</x:t>
  </x:si>
  <x:si>
    <x:t xml:space="preserve">APM0009093</x:t>
  </x:si>
  <x:si>
    <x:t xml:space="preserve">CMX SQL Server and Client software</x:t>
  </x:si>
  <x:si>
    <x:t xml:space="preserve">EMX/EG</x:t>
  </x:si>
  <x:si>
    <x:t xml:space="preserve">Markus Wittnebel</x:t>
  </x:si>
  <x:si>
    <x:t xml:space="preserve">APM0011282</x:t>
  </x:si>
  <x:si>
    <x:t xml:space="preserve">COMOS Mobile Worker</x:t>
  </x:si>
  <x:si>
    <x:t xml:space="preserve">Provide Automation Technology (Provides)</x:t>
  </x:si>
  <x:si>
    <x:t xml:space="preserve">APM0009197</x:t>
  </x:si>
  <x:si>
    <x:t xml:space="preserve">CXM Server</x:t>
  </x:si>
  <x:si>
    <x:t xml:space="preserve">APM0003526</x:t>
  </x:si>
  <x:si>
    <x:t xml:space="preserve">Cayirova Building Automation</x:t>
  </x:si>
  <x:si>
    <x:t xml:space="preserve">EMX/ET</x:t>
  </x:si>
  <x:si>
    <x:t xml:space="preserve">Serhan Balkan</x:t>
  </x:si>
  <x:si>
    <x:t xml:space="preserve">APM0009861</x:t>
  </x:si>
  <x:si>
    <x:t xml:space="preserve">Comburi</x:t>
  </x:si>
  <x:si>
    <x:t xml:space="preserve">ESO/M</x:t>
  </x:si>
  <x:si>
    <x:t xml:space="preserve">Markus Weigold</x:t>
  </x:si>
  <x:si>
    <x:t xml:space="preserve">APM0012100</x:t>
  </x:si>
  <x:si>
    <x:t xml:space="preserve">Cumulus</x:t>
  </x:si>
  <x:si>
    <x:t xml:space="preserve">Nathan Kelley</x:t>
  </x:si>
  <x:si>
    <x:t xml:space="preserve">APM0006643</x:t>
  </x:si>
  <x:si>
    <x:t xml:space="preserve">DESIGO ITALY</x:t>
  </x:si>
  <x:si>
    <x:t xml:space="preserve">GBE/WI-Y</x:t>
  </x:si>
  <x:si>
    <x:t xml:space="preserve">Alessandra Cantone</x:t>
  </x:si>
  <x:si>
    <x:t xml:space="preserve">APM0004861</x:t>
  </x:si>
  <x:si>
    <x:t xml:space="preserve">DICHTFLAECHEN-DB</x:t>
  </x:si>
  <x:si>
    <x:t xml:space="preserve">Provide Process Engineering (Provides), Manage Water Protection (Provides)</x:t>
  </x:si>
  <x:si>
    <x:t xml:space="preserve">ESO/BP</x:t>
  </x:si>
  <x:si>
    <x:t xml:space="preserve">Sebastian Wiesner</x:t>
  </x:si>
  <x:si>
    <x:t xml:space="preserve">APM0009626</x:t>
  </x:si>
  <x:si>
    <x:t xml:space="preserve">Desigo_PM_Italy</x:t>
  </x:si>
  <x:si>
    <x:t xml:space="preserve">EVM/EPS</x:t>
  </x:si>
  <x:si>
    <x:t xml:space="preserve">Andrea Cristani</x:t>
  </x:si>
  <x:si>
    <x:t xml:space="preserve">APM0012735</x:t>
  </x:si>
  <x:si>
    <x:t xml:space="preserve">DevCom HART Communicator</x:t>
  </x:si>
  <x:si>
    <x:t xml:space="preserve">ESP/CP</x:t>
  </x:si>
  <x:si>
    <x:t xml:space="preserve">Wim Vermeulen</x:t>
  </x:si>
  <x:si>
    <x:t xml:space="preserve">APM0004861; APM0009093</x:t>
  </x:si>
  <x:si>
    <x:t xml:space="preserve">APM0013203</x:t>
  </x:si>
  <x:si>
    <x:t xml:space="preserve">Electrical Calculations</x:t>
  </x:si>
  <x:si>
    <x:t xml:space="preserve">APM0013204</x:t>
  </x:si>
  <x:si>
    <x:t xml:space="preserve">Endress+Hauser Tools</x:t>
  </x:si>
  <x:si>
    <x:t xml:space="preserve">APM0006500</x:t>
  </x:si>
  <x:si>
    <x:t xml:space="preserve">Engineering Citrix Applications North America</x:t>
  </x:si>
  <x:si>
    <x:t xml:space="preserve">APM0010434; APM0003526</x:t>
  </x:si>
  <x:si>
    <x:t xml:space="preserve">APM0009275</x:t>
  </x:si>
  <x:si>
    <x:t xml:space="preserve">Engineering Risk Assessment Database</x:t>
  </x:si>
  <x:si>
    <x:t xml:space="preserve">G-ENN/OX</x:t>
  </x:si>
  <x:si>
    <x:t xml:space="preserve">Thorsten Hauk</x:t>
  </x:si>
  <x:si>
    <x:t xml:space="preserve">APM0005091</x:t>
  </x:si>
  <x:si>
    <x:t xml:space="preserve">GSI_Gen_Ship</x:t>
  </x:si>
  <x:si>
    <x:t xml:space="preserve">Business-differentiating capability not covered by SAP PM / Standard MMS; retain as-is for this programme and reassess at the next portfolio review.</x:t>
  </x:si>
  <x:si>
    <x:t xml:space="preserve">GEC/OF</x:t>
  </x:si>
  <x:si>
    <x:t xml:space="preserve">Melissa Brigance</x:t>
  </x:si>
  <x:si>
    <x:t xml:space="preserve">APM0009175</x:t>
  </x:si>
  <x:si>
    <x:t xml:space="preserve">General Electric Asset Performance Management</x:t>
  </x:si>
  <x:si>
    <x:t xml:space="preserve">APM0011715</x:t>
  </x:si>
  <x:si>
    <x:t xml:space="preserve">Horas de Mantenimiento</x:t>
  </x:si>
  <x:si>
    <x:t xml:space="preserve">ES/TE</x:t>
  </x:si>
  <x:si>
    <x:t xml:space="preserve">JORDI SOLANAS</x:t>
  </x:si>
  <x:si>
    <x:t xml:space="preserve">APM0004571</x:t>
  </x:si>
  <x:si>
    <x:t xml:space="preserve">IDA</x:t>
  </x:si>
  <x:si>
    <x:t xml:space="preserve">GDD/DG</x:t>
  </x:si>
  <x:si>
    <x:t xml:space="preserve">Frank Tillwick</x:t>
  </x:si>
  <x:si>
    <x:t xml:space="preserve">APM0003948</x:t>
  </x:si>
  <x:si>
    <x:t xml:space="preserve">IMAGIC BILDANALYSE</x:t>
  </x:si>
  <x:si>
    <x:t xml:space="preserve">GEM/TM</x:t>
  </x:si>
  <x:si>
    <x:t xml:space="preserve">Jens Augspurger</x:t>
  </x:si>
  <x:si>
    <x:t xml:space="preserve">APM0002055</x:t>
  </x:si>
  <x:si>
    <x:t xml:space="preserve">INTELATRAC PORT ARTHUR</x:t>
  </x:si>
  <x:si>
    <x:t xml:space="preserve">N-CPN/PO</x:t>
  </x:si>
  <x:si>
    <x:t xml:space="preserve">Wendel Langley</x:t>
  </x:si>
  <x:si>
    <x:t xml:space="preserve">APM0003936; APM0006643</x:t>
  </x:si>
  <x:si>
    <x:t xml:space="preserve">APM0001497</x:t>
  </x:si>
  <x:si>
    <x:t xml:space="preserve">IRS - PORT ARTHUR</x:t>
  </x:si>
  <x:si>
    <x:t xml:space="preserve">ProvideTechnical Inspection (Provides), Provide Maintenance Master Data (Provides)</x:t>
  </x:si>
  <x:si>
    <x:t xml:space="preserve">N-CPN/PSR</x:t>
  </x:si>
  <x:si>
    <x:t xml:space="preserve">Charles Huddleston</x:t>
  </x:si>
  <x:si>
    <x:t xml:space="preserve">APM0004331</x:t>
  </x:si>
  <x:si>
    <x:t xml:space="preserve">ISM ONLINE</x:t>
  </x:si>
  <x:si>
    <x:t xml:space="preserve">ESP/TWR</x:t>
  </x:si>
  <x:si>
    <x:t xml:space="preserve">Jeroen Dirkx</x:t>
  </x:si>
  <x:si>
    <x:t xml:space="preserve">Third Party Hosted</x:t>
  </x:si>
  <x:si>
    <x:t xml:space="preserve">APM0004812</x:t>
  </x:si>
  <x:si>
    <x:t xml:space="preserve">Integrated Condition Monitoring &amp; Maintenance Prediction (ICMP)</x:t>
  </x:si>
  <x:si>
    <x:t xml:space="preserve">Provide Other Technical Services (Provides), Monitoring of conditions (Provides), BI, Reporting &amp; Analytics (Provides)</x:t>
  </x:si>
  <x:si>
    <x:t xml:space="preserve">Norman Volkert</x:t>
  </x:si>
  <x:si>
    <x:t xml:space="preserve">APM0013466</x:t>
  </x:si>
  <x:si>
    <x:t xml:space="preserve">KolonnenSteckbrief</x:t>
  </x:si>
  <x:si>
    <x:t xml:space="preserve">RGR/AE</x:t>
  </x:si>
  <x:si>
    <x:t xml:space="preserve">Juergen Paschold</x:t>
  </x:si>
  <x:si>
    <x:t xml:space="preserve">APM0004615</x:t>
  </x:si>
  <x:si>
    <x:t xml:space="preserve">LINSPEC</x:t>
  </x:si>
  <x:si>
    <x:t xml:space="preserve">ProvideTechnical Inspection (Provides), Provide Plant Maintenance (Provides)</x:t>
  </x:si>
  <x:si>
    <x:t xml:space="preserve">Abderrahmane TAICHE</x:t>
  </x:si>
  <x:si>
    <x:t xml:space="preserve">APM0003202</x:t>
  </x:si>
  <x:si>
    <x:t xml:space="preserve">LUBEIT</x:t>
  </x:si>
  <x:si>
    <x:t xml:space="preserve">GEC/OG</x:t>
  </x:si>
  <x:si>
    <x:t xml:space="preserve">Stacie Ocmand</x:t>
  </x:si>
  <x:si>
    <x:t xml:space="preserve">APM0012156</x:t>
  </x:si>
  <x:si>
    <x:t xml:space="preserve">Limble CMMS</x:t>
  </x:si>
  <x:si>
    <x:t xml:space="preserve">Colin Varner</x:t>
  </x:si>
  <x:si>
    <x:t xml:space="preserve">APM0004022</x:t>
  </x:si>
  <x:si>
    <x:t xml:space="preserve">MEX MAINTENANCE</x:t>
  </x:si>
  <x:si>
    <x:t xml:space="preserve">G-ENN/OA</x:t>
  </x:si>
  <x:si>
    <x:t xml:space="preserve">Niven Runghen</x:t>
  </x:si>
  <x:si>
    <x:t xml:space="preserve">APM0001428</x:t>
  </x:si>
  <x:si>
    <x:t xml:space="preserve">MOBILE EASYKEY</x:t>
  </x:si>
  <x:si>
    <x:t xml:space="preserve">ESL/RM</x:t>
  </x:si>
  <x:si>
    <x:t xml:space="preserve">Daniel Schneider</x:t>
  </x:si>
  <x:si>
    <x:t xml:space="preserve">APM0012140; APM0009774</x:t>
  </x:si>
  <x:si>
    <x:t xml:space="preserve">APM0011156</x:t>
  </x:si>
  <x:si>
    <x:t xml:space="preserve">Maintenance Connection</x:t>
  </x:si>
  <x:si>
    <x:t xml:space="preserve">E-PME/OW</x:t>
  </x:si>
  <x:si>
    <x:t xml:space="preserve">Richard Portman</x:t>
  </x:si>
  <x:si>
    <x:t xml:space="preserve">APM0008863</x:t>
  </x:si>
  <x:si>
    <x:t xml:space="preserve">MobilServ</x:t>
  </x:si>
  <x:si>
    <x:t xml:space="preserve">APM0006761</x:t>
  </x:si>
  <x:si>
    <x:t xml:space="preserve">NewLift</x:t>
  </x:si>
  <x:si>
    <x:t xml:space="preserve">ESO/SL</x:t>
  </x:si>
  <x:si>
    <x:t xml:space="preserve">Christoph Glasder</x:t>
  </x:si>
  <x:si>
    <x:t xml:space="preserve">APM0004616</x:t>
  </x:si>
  <x:si>
    <x:t xml:space="preserve">OPTIMU</x:t>
  </x:si>
  <x:si>
    <x:t xml:space="preserve">Damien Stoessel</x:t>
  </x:si>
  <x:si>
    <x:t xml:space="preserve">APM0001139</x:t>
  </x:si>
  <x:si>
    <x:t xml:space="preserve">PEMAC/CALIB ARCHIVE</x:t>
  </x:si>
  <x:si>
    <x:t xml:space="preserve">EVM/EC</x:t>
  </x:si>
  <x:si>
    <x:t xml:space="preserve">Davide Monti</x:t>
  </x:si>
  <x:si>
    <x:t xml:space="preserve">APM0012422</x:t>
  </x:si>
  <x:si>
    <x:t xml:space="preserve">Plant Service Suite</x:t>
  </x:si>
  <x:si>
    <x:t xml:space="preserve">ESS/SRD</x:t>
  </x:si>
  <x:si>
    <x:t xml:space="preserve">Vinh Van</x:t>
  </x:si>
  <x:si>
    <x:t xml:space="preserve">APM0009572</x:t>
  </x:si>
  <x:si>
    <x:t xml:space="preserve">Portal Digitale Laufkarten Schwarzheide</x:t>
  </x:si>
  <x:si>
    <x:t xml:space="preserve">ESS/TEM</x:t>
  </x:si>
  <x:si>
    <x:t xml:space="preserve">Sandro Richter</x:t>
  </x:si>
  <x:si>
    <x:t xml:space="preserve">APM0011787</x:t>
  </x:si>
  <x:si>
    <x:t xml:space="preserve">Pragma OnKey (South Africa)</x:t>
  </x:si>
  <x:si>
    <x:t xml:space="preserve">E-EDE/OAS</x:t>
  </x:si>
  <x:si>
    <x:t xml:space="preserve">Patrick Perumal</x:t>
  </x:si>
  <x:si>
    <x:t xml:space="preserve">APM0013517</x:t>
  </x:si>
  <x:si>
    <x:t xml:space="preserve">PruefuebersichtKleinhebezeuge</x:t>
  </x:si>
  <x:si>
    <x:t xml:space="preserve">Marton Sarosi</x:t>
  </x:si>
  <x:si>
    <x:t xml:space="preserve">APM0004152</x:t>
  </x:si>
  <x:si>
    <x:t xml:space="preserve">RACE</x:t>
  </x:si>
  <x:si>
    <x:t xml:space="preserve">ProvideTechnical Inspection (Provides), Provide E&amp;I Engineering (Provides)</x:t>
  </x:si>
  <x:si>
    <x:t xml:space="preserve">ESO/SE</x:t>
  </x:si>
  <x:si>
    <x:t xml:space="preserve">Andreas Hinkel</x:t>
  </x:si>
  <x:si>
    <x:t xml:space="preserve">APM0008909</x:t>
  </x:si>
  <x:si>
    <x:t xml:space="preserve">ROTATION DB</x:t>
  </x:si>
  <x:si>
    <x:t xml:space="preserve">ESO/SR</x:t>
  </x:si>
  <x:si>
    <x:t xml:space="preserve">Peter Horst</x:t>
  </x:si>
  <x:si>
    <x:t xml:space="preserve">APM0010330</x:t>
  </x:si>
  <x:si>
    <x:t xml:space="preserve">ReBuild</x:t>
  </x:si>
  <x:si>
    <x:t xml:space="preserve">ESO/B</x:t>
  </x:si>
  <x:si>
    <x:t xml:space="preserve">Steffen Neu</x:t>
  </x:si>
  <x:si>
    <x:t xml:space="preserve">APM0008066</x:t>
  </x:si>
  <x:si>
    <x:t xml:space="preserve">S Anywhere BPCN</x:t>
  </x:si>
  <x:si>
    <x:t xml:space="preserve">EMX/HN</x:t>
  </x:si>
  <x:si>
    <x:t xml:space="preserve">Thomas Kruft</x:t>
  </x:si>
  <x:si>
    <x:t xml:space="preserve">APM0010218</x:t>
  </x:si>
  <x:si>
    <x:t xml:space="preserve">SAP Fitness-Check</x:t>
  </x:si>
  <x:si>
    <x:t xml:space="preserve">APM0009755</x:t>
  </x:si>
  <x:si>
    <x:t xml:space="preserve">SAP PM Services Tools</x:t>
  </x:si>
  <x:si>
    <x:t xml:space="preserve">APM0010149</x:t>
  </x:si>
  <x:si>
    <x:t xml:space="preserve">Scout Platform</x:t>
  </x:si>
  <x:si>
    <x:t xml:space="preserve">Peter Welter</x:t>
  </x:si>
  <x:si>
    <x:t xml:space="preserve">APM0012694</x:t>
  </x:si>
  <x:si>
    <x:t xml:space="preserve">Sushi Sensor App</x:t>
  </x:si>
  <x:si>
    <x:t xml:space="preserve">ESP/UMO</x:t>
  </x:si>
  <x:si>
    <x:t xml:space="preserve">Mathias De Dobbelaere</x:t>
  </x:si>
  <x:si>
    <x:t xml:space="preserve">APM0004861; APM0013203</x:t>
  </x:si>
  <x:si>
    <x:t xml:space="preserve">APM0011187</x:t>
  </x:si>
  <x:si>
    <x:t xml:space="preserve">TE-Partner SAP PM Interface</x:t>
  </x:si>
  <x:si>
    <x:t xml:space="preserve">ESO/MT</x:t>
  </x:si>
  <x:si>
    <x:t xml:space="preserve">Antonio Pellicane</x:t>
  </x:si>
  <x:si>
    <x:t xml:space="preserve">APM0012892</x:t>
  </x:si>
  <x:si>
    <x:t xml:space="preserve">TPC Training</x:t>
  </x:si>
  <x:si>
    <x:t xml:space="preserve">N-CMN/PM</x:t>
  </x:si>
  <x:si>
    <x:t xml:space="preserve">Tuan Truong</x:t>
  </x:si>
  <x:si>
    <x:t xml:space="preserve">APM0012769</x:t>
  </x:si>
  <x:si>
    <x:t xml:space="preserve">Track-It Software</x:t>
  </x:si>
  <x:si>
    <x:t xml:space="preserve">NAG/U</x:t>
  </x:si>
  <x:si>
    <x:t xml:space="preserve">Kaitlin Sevin</x:t>
  </x:si>
  <x:si>
    <x:t xml:space="preserve">APM0013200</x:t>
  </x:si>
  <x:si>
    <x:t xml:space="preserve">Vega Tools</x:t>
  </x:si>
  <x:si>
    <x:t xml:space="preserve">APM0011677</x:t>
  </x:si>
  <x:si>
    <x:t xml:space="preserve">Wochenplan</x:t>
  </x:si>
  <x:si>
    <x:t xml:space="preserve">Andreas Wiederhold</x:t>
  </x:si>
  <x:si>
    <x:t xml:space="preserve">APM0010226</x:t>
  </x:si>
  <x:si>
    <x:t xml:space="preserve">ACTUS</x:t>
  </x:si>
  <x:si>
    <x:t xml:space="preserve">Harmonize Operations Platform</x:t>
  </x:si>
  <x:si>
    <x:t xml:space="preserve">Incident Management (Provides)</x:t>
  </x:si>
  <x:si>
    <x:t xml:space="preserve">Site-local operations platform duplicates capability already provided by BASF Operations Platform; consolidate to reduce licence, hosting and support cost.</x:t>
  </x:si>
  <x:si>
    <x:t xml:space="preserve">BASF Operations Platform</x:t>
  </x:si>
  <x:si>
    <x:t xml:space="preserve">GBW/US-M</x:t>
  </x:si>
  <x:si>
    <x:t xml:space="preserve">Leandro Cabrera</x:t>
  </x:si>
  <x:si>
    <x:t xml:space="preserve">Operations SME 1</x:t>
  </x:si>
  <x:si>
    <x:t xml:space="preserve">APM0007392</x:t>
  </x:si>
  <x:si>
    <x:t xml:space="preserve">ALLCLEAR</x:t>
  </x:si>
  <x:si>
    <x:t xml:space="preserve">N-PMN/OW</x:t>
  </x:si>
  <x:si>
    <x:t xml:space="preserve">Kenneth Slowik</x:t>
  </x:si>
  <x:si>
    <x:t xml:space="preserve">Operations SME 2</x:t>
  </x:si>
  <x:si>
    <x:t xml:space="preserve">APM0004798</x:t>
  </x:si>
  <x:si>
    <x:t xml:space="preserve">ARCHIV GAHD</x:t>
  </x:si>
  <x:si>
    <x:t xml:space="preserve">IT Incident Management (Provides)</x:t>
  </x:si>
  <x:si>
    <x:t xml:space="preserve">Overlapping operations platform functionality across sites; harmonising onto BASF Operations Platform removes redundant support effort and standardises process.</x:t>
  </x:si>
  <x:si>
    <x:t xml:space="preserve">Operations SME 3</x:t>
  </x:si>
  <x:si>
    <x:t xml:space="preserve">APM0001502</x:t>
  </x:si>
  <x:si>
    <x:t xml:space="preserve">AUTOTAS-QMSOFT</x:t>
  </x:si>
  <x:si>
    <x:t xml:space="preserve">Manage Operational Quality System aligned with EHS (Provides)</x:t>
  </x:si>
  <x:si>
    <x:t xml:space="preserve">ESO/MZ</x:t>
  </x:si>
  <x:si>
    <x:t xml:space="preserve">Jonas Graef</x:t>
  </x:si>
  <x:si>
    <x:t xml:space="preserve">Operations SME 4</x:t>
  </x:si>
  <x:si>
    <x:t xml:space="preserve">APM0013374</x:t>
  </x:si>
  <x:si>
    <x:t xml:space="preserve">Access control system</x:t>
  </x:si>
  <x:si>
    <x:t xml:space="preserve">Fragmented operations platform landscape drives inconsistent data and duplicated interfaces; consolidation onto BASF Operations Platform is the agreed target state.</x:t>
  </x:si>
  <x:si>
    <x:t xml:space="preserve">PM/LA</x:t>
  </x:si>
  <x:si>
    <x:t xml:space="preserve">Youngchul Jang</x:t>
  </x:si>
  <x:si>
    <x:t xml:space="preserve">APM0001502; APM0007392; APM0004798</x:t>
  </x:si>
  <x:si>
    <x:t xml:space="preserve">APM0013069</x:t>
  </x:si>
  <x:si>
    <x:r>
      <x:rPr>
        <x:sz val="10"/>
        <x:rFont val="Arial"/>
      </x:rPr>
      <x:t xml:space="preserve">Access control system </x:t>
    </x:r>
    <x:r>
      <x:rPr>
        <x:sz val="10"/>
        <x:rFont val="Noto Sans CJK SC"/>
        <x:family val="2"/>
      </x:rPr>
      <x:t xml:space="preserve">门禁系统</x:t>
    </x:r>
  </x:si>
  <x:si>
    <x:t xml:space="preserve">Process Safety (Provides)</x:t>
  </x:si>
  <x:si>
    <x:t xml:space="preserve">Application delivers a subset of BASF Operations Platform capability with no differentiating function; retire after migration to the standard platform.</x:t>
  </x:si>
  <x:si>
    <x:t xml:space="preserve">EMX/AC</x:t>
  </x:si>
  <x:si>
    <x:t xml:space="preserve">Jian Zhen SONG</x:t>
  </x:si>
  <x:si>
    <x:t xml:space="preserve">APM0012394</x:t>
  </x:si>
  <x:si>
    <x:t xml:space="preserve">Alert Cascade</x:t>
  </x:si>
  <x:si>
    <x:t xml:space="preserve">Provide  Emergency Response Communications/Tools (Provides), Incident Management (Provides)</x:t>
  </x:si>
  <x:si>
    <x:t xml:space="preserve">GBE/UU-G</x:t>
  </x:si>
  <x:si>
    <x:t xml:space="preserve">Richard Newsome</x:t>
  </x:si>
  <x:si>
    <x:t xml:space="preserve">APM0012896</x:t>
  </x:si>
  <x:si>
    <x:t xml:space="preserve">Ariscu</x:t>
  </x:si>
  <x:si>
    <x:t xml:space="preserve">GBE/UA</x:t>
  </x:si>
  <x:si>
    <x:t xml:space="preserve">Fernando Pienaar</x:t>
  </x:si>
  <x:si>
    <x:t xml:space="preserve">APM0012354</x:t>
  </x:si>
  <x:si>
    <x:t xml:space="preserve">Audiodokumentation integrierte Leitstelle LU</x:t>
  </x:si>
  <x:si>
    <x:t xml:space="preserve">Provide  Emergency Response Communications/Tools (Provides)</x:t>
  </x:si>
  <x:si>
    <x:t xml:space="preserve">Michael Heintz</x:t>
  </x:si>
  <x:si>
    <x:t xml:space="preserve">APM0013181</x:t>
  </x:si>
  <x:si>
    <x:t xml:space="preserve">Azure Services Hub - Cloud Platform</x:t>
  </x:si>
  <x:si>
    <x:t xml:space="preserve">GDA/JH</x:t>
  </x:si>
  <x:si>
    <x:t xml:space="preserve">Ruben Imbers</x:t>
  </x:si>
  <x:si>
    <x:t xml:space="preserve">APM0011789</x:t>
  </x:si>
  <x:si>
    <x:t xml:space="preserve">BACH Personal Positioning System</x:t>
  </x:si>
  <x:si>
    <x:t xml:space="preserve">ACO/S/EHS</x:t>
  </x:si>
  <x:si>
    <x:t xml:space="preserve">Wei Xin LI</x:t>
  </x:si>
  <x:si>
    <x:t xml:space="preserve">APM0012896; APM0013181</x:t>
  </x:si>
  <x:si>
    <x:t xml:space="preserve">APM0011784</x:t>
  </x:si>
  <x:si>
    <x:t xml:space="preserve">BACH Personnel Pisitioning System(PolyTHF Complex)</x:t>
  </x:si>
  <x:si>
    <x:t xml:space="preserve">A-CIA/OP</x:t>
  </x:si>
  <x:si>
    <x:t xml:space="preserve">Yong ZHANG</x:t>
  </x:si>
  <x:si>
    <x:t xml:space="preserve">APM0001318</x:t>
  </x:si>
  <x:si>
    <x:t xml:space="preserve">BAG_REPORTING</x:t>
  </x:si>
  <x:si>
    <x:t xml:space="preserve">Manage Hazardous Substances (Provides)</x:t>
  </x:si>
  <x:si>
    <x:t xml:space="preserve">GBE/SW</x:t>
  </x:si>
  <x:si>
    <x:t xml:space="preserve">Patrick Keller</x:t>
  </x:si>
  <x:si>
    <x:t xml:space="preserve">APM0013349</x:t>
  </x:si>
  <x:si>
    <x:t xml:space="preserve">BAPN_ACS</x:t>
  </x:si>
  <x:si>
    <x:t xml:space="preserve">A-PMA/OS</x:t>
  </x:si>
  <x:si>
    <x:t xml:space="preserve">Yi Fu HU</x:t>
  </x:si>
  <x:si>
    <x:t xml:space="preserve">APM0008031</x:t>
  </x:si>
  <x:si>
    <x:t xml:space="preserve">BASANT Brandblusapparaten</x:t>
  </x:si>
  <x:si>
    <x:t xml:space="preserve">ESA/PF</x:t>
  </x:si>
  <x:si>
    <x:t xml:space="preserve">Gert Van Bortel</x:t>
  </x:si>
  <x:si>
    <x:t xml:space="preserve">APM0004216</x:t>
  </x:si>
  <x:si>
    <x:t xml:space="preserve">BASANT OBSERVANT</x:t>
  </x:si>
  <x:si>
    <x:t xml:space="preserve">ESP/T</x:t>
  </x:si>
  <x:si>
    <x:t xml:space="preserve">Marc Romy</x:t>
  </x:si>
  <x:si>
    <x:t xml:space="preserve">APM0004244</x:t>
  </x:si>
  <x:si>
    <x:t xml:space="preserve">BASF DOCs Report</x:t>
  </x:si>
  <x:si>
    <x:t xml:space="preserve">Lucas Pujol</x:t>
  </x:si>
  <x:si>
    <x:t xml:space="preserve">APM0012939</x:t>
  </x:si>
  <x:si>
    <x:t xml:space="preserve">BASF DOCs Report Script</x:t>
  </x:si>
  <x:si>
    <x:t xml:space="preserve">APM0011789; APM0004216</x:t>
  </x:si>
  <x:si>
    <x:t xml:space="preserve">APM0010064</x:t>
  </x:si>
  <x:si>
    <x:t xml:space="preserve">BASF PD Site Contractor Safety Management system</x:t>
  </x:si>
  <x:si>
    <x:t xml:space="preserve">ACO/R/E</x:t>
  </x:si>
  <x:si>
    <x:t xml:space="preserve">Zhi Rui SHEN</x:t>
  </x:si>
  <x:si>
    <x:t xml:space="preserve">APM0013374; APM0001502</x:t>
  </x:si>
  <x:si>
    <x:t xml:space="preserve">APM0010737</x:t>
  </x:si>
  <x:si>
    <x:t xml:space="preserve">BCJC - Digital EHS Management Platform</x:t>
  </x:si>
  <x:si>
    <x:t xml:space="preserve">G-EDM/OC</x:t>
  </x:si>
  <x:si>
    <x:t xml:space="preserve">Ran Ran XU</x:t>
  </x:si>
  <x:si>
    <x:t xml:space="preserve">APM0007117</x:t>
  </x:si>
  <x:si>
    <x:t xml:space="preserve">BEACHWOOD ACCESS SERVICE FOR CHEMICAL INVENTORY AND SDS</x:t>
  </x:si>
  <x:si>
    <x:t xml:space="preserve">Manage Safety Data Sheet (Provides)</x:t>
  </x:si>
  <x:si>
    <x:t xml:space="preserve">RGC/CN</x:t>
  </x:si>
  <x:si>
    <x:t xml:space="preserve">David Disantis</x:t>
  </x:si>
  <x:si>
    <x:t xml:space="preserve">APM0011496</x:t>
  </x:si>
  <x:si>
    <x:t xml:space="preserve">BIG Field Safety Observation</x:t>
  </x:si>
  <x:si>
    <x:t xml:space="preserve">AMC/OEO</x:t>
  </x:si>
  <x:si>
    <x:t xml:space="preserve">Zhan Jie LONG</x:t>
  </x:si>
  <x:si>
    <x:t xml:space="preserve">APM0012548</x:t>
  </x:si>
  <x:si>
    <x:t xml:space="preserve">BIG Kaleidos</x:t>
  </x:si>
  <x:si>
    <x:t xml:space="preserve">Tom Engels</x:t>
  </x:si>
  <x:si>
    <x:t xml:space="preserve">APM0010020</x:t>
  </x:si>
  <x:si>
    <x:t xml:space="preserve">BIG Smart Visitor Management</x:t>
  </x:si>
  <x:si>
    <x:t xml:space="preserve">Execute Permit-to-Work (Provides)</x:t>
  </x:si>
  <x:si>
    <x:t xml:space="preserve">AMC/OES</x:t>
  </x:si>
  <x:si>
    <x:t xml:space="preserve">Rui ZHANG</x:t>
  </x:si>
  <x:si>
    <x:t xml:space="preserve">APM0012225</x:t>
  </x:si>
  <x:si>
    <x:t xml:space="preserve">BIG Smart Visitor Management System</x:t>
  </x:si>
  <x:si>
    <x:t xml:space="preserve">Manage Site Security (Provides)</x:t>
  </x:si>
  <x:si>
    <x:t xml:space="preserve">APM0012674</x:t>
  </x:si>
  <x:si>
    <x:t xml:space="preserve">BIG incident management system</x:t>
  </x:si>
  <x:si>
    <x:t xml:space="preserve">APM0003491</x:t>
  </x:si>
  <x:si>
    <x:t xml:space="preserve">BOSSA - BASF Occupational Safety in SAP</x:t>
  </x:si>
  <x:si>
    <x:t xml:space="preserve">GBI/UP</x:t>
  </x:si>
  <x:si>
    <x:t xml:space="preserve">Bernhard Jaecker</x:t>
  </x:si>
  <x:si>
    <x:t xml:space="preserve">APM0013189</x:t>
  </x:si>
  <x:si>
    <x:t xml:space="preserve">BOSSA Access right request platform</x:t>
  </x:si>
  <x:si>
    <x:t xml:space="preserve">GBI/UE-S</x:t>
  </x:si>
  <x:si>
    <x:t xml:space="preserve">Remi Tirfoin</x:t>
  </x:si>
  <x:si>
    <x:t xml:space="preserve">APM0011268</x:t>
  </x:si>
  <x:si>
    <x:t xml:space="preserve">BOSSA Safety Instruction Scanner</x:t>
  </x:si>
  <x:si>
    <x:t xml:space="preserve">APM0012847</x:t>
  </x:si>
  <x:si>
    <x:t xml:space="preserve">BPC Automated Locker</x:t>
  </x:si>
  <x:si>
    <x:t xml:space="preserve">CPK/OC</x:t>
  </x:si>
  <x:si>
    <x:t xml:space="preserve">David Freddy Boyong  David Freddy</x:t>
  </x:si>
  <x:si>
    <x:t xml:space="preserve">APM0011789; APM0010737</x:t>
  </x:si>
  <x:si>
    <x:t xml:space="preserve">APM0011208</x:t>
  </x:si>
  <x:si>
    <x:t xml:space="preserve">BPC BowTieXP</x:t>
  </x:si>
  <x:si>
    <x:t xml:space="preserve">CPK/SH</x:t>
  </x:si>
  <x:si>
    <x:t xml:space="preserve">Amiruddin Abu Bakar</x:t>
  </x:si>
  <x:si>
    <x:t xml:space="preserve">APM0013081</x:t>
  </x:si>
  <x:si>
    <x:t xml:space="preserve">BSMJ 5in1 system</x:t>
  </x:si>
  <x:si>
    <x:t xml:space="preserve">A-EDA/PT</x:t>
  </x:si>
  <x:si>
    <x:t xml:space="preserve">Jing Ji QI</x:t>
  </x:si>
  <x:si>
    <x:t xml:space="preserve">APM0013083</x:t>
  </x:si>
  <x:si>
    <x:t xml:space="preserve">BSMJ PPS system</x:t>
  </x:si>
  <x:si>
    <x:t xml:space="preserve">APM0013082</x:t>
  </x:si>
  <x:si>
    <x:t xml:space="preserve">BSMJ e-PTW</x:t>
  </x:si>
  <x:si>
    <x:t xml:space="preserve">APM0008944</x:t>
  </x:si>
  <x:si>
    <x:t xml:space="preserve">BSNJ SIMS system</x:t>
  </x:si>
  <x:si>
    <x:t xml:space="preserve">Manage Site Landscape (Provides), Maintain Emergency Response Readiness (Provides)</x:t>
  </x:si>
  <x:si>
    <x:t xml:space="preserve">ACO/N/OS</x:t>
  </x:si>
  <x:si>
    <x:t xml:space="preserve">Xu GAO</x:t>
  </x:si>
  <x:si>
    <x:t xml:space="preserve">APM0003840</x:t>
  </x:si>
  <x:si>
    <x:t xml:space="preserve">BYC PEOPLEBYAREA</x:t>
  </x:si>
  <x:si>
    <x:t xml:space="preserve">APM0008791</x:t>
  </x:si>
  <x:si>
    <x:t xml:space="preserve">BYC RAPID ROLL CALL</x:t>
  </x:si>
  <x:si>
    <x:t xml:space="preserve">APM0003834</x:t>
  </x:si>
  <x:si>
    <x:t xml:space="preserve">BYC SAPBS</x:t>
  </x:si>
  <x:si>
    <x:t xml:space="preserve">Cheng HUANG</x:t>
  </x:si>
  <x:si>
    <x:t xml:space="preserve">APM0008261</x:t>
  </x:si>
  <x:si>
    <x:t xml:space="preserve">BYC SPIM 5IN1</x:t>
  </x:si>
  <x:si>
    <x:t xml:space="preserve">APM0009450</x:t>
  </x:si>
  <x:si>
    <x:t xml:space="preserve">BYC ePermit</x:t>
  </x:si>
  <x:si>
    <x:t xml:space="preserve">APM0010583</x:t>
  </x:si>
  <x:si>
    <x:t xml:space="preserve">CCTV</x:t>
  </x:si>
  <x:si>
    <x:t xml:space="preserve">Manage Site Security (Provides), IT Audit and Risk Management (Provides)</x:t>
  </x:si>
  <x:si>
    <x:t xml:space="preserve">GBE/WU-Y</x:t>
  </x:si>
  <x:si>
    <x:t xml:space="preserve">Christopher Skurray</x:t>
  </x:si>
  <x:si>
    <x:t xml:space="preserve">APM0012604</x:t>
  </x:si>
  <x:si>
    <x:t xml:space="preserve">CCTV for Singapore Jurong Island</x:t>
  </x:si>
  <x:si>
    <x:t xml:space="preserve">EVM/AJ</x:t>
  </x:si>
  <x:si>
    <x:t xml:space="preserve">Tamillselvam Letchmanan</x:t>
  </x:si>
  <x:si>
    <x:t xml:space="preserve">APM0012125</x:t>
  </x:si>
  <x:si>
    <x:t xml:space="preserve">CSR (Customer Specific Requirement)</x:t>
  </x:si>
  <x:si>
    <x:t xml:space="preserve">E-PME/Q</x:t>
  </x:si>
  <x:si>
    <x:t xml:space="preserve">Kathrin Holz</x:t>
  </x:si>
  <x:si>
    <x:t xml:space="preserve">APM0002937</x:t>
  </x:si>
  <x:si>
    <x:t xml:space="preserve">Canada DSL IU</x:t>
  </x:si>
  <x:si>
    <x:t xml:space="preserve">GBI/UN</x:t>
  </x:si>
  <x:si>
    <x:t xml:space="preserve">Dean FitzGerald</x:t>
  </x:si>
  <x:si>
    <x:t xml:space="preserve">APM0010351</x:t>
  </x:si>
  <x:si>
    <x:t xml:space="preserve">Certificate Tool</x:t>
  </x:si>
  <x:si>
    <x:t xml:space="preserve">APM0010717</x:t>
  </x:si>
  <x:si>
    <x:t xml:space="preserve">ChineseGovDataExchange</x:t>
  </x:si>
  <x:si>
    <x:t xml:space="preserve">APM0012176</x:t>
  </x:si>
  <x:si>
    <x:t xml:space="preserve">Compliance Managementsystem Recht im Betrieb</x:t>
  </x:si>
  <x:si>
    <x:t xml:space="preserve">EVM/ELS</x:t>
  </x:si>
  <x:si>
    <x:t xml:space="preserve">Matthias Filthaus</x:t>
  </x:si>
  <x:si>
    <x:t xml:space="preserve">APM0009452</x:t>
  </x:si>
  <x:si>
    <x:t xml:space="preserve">Crisam (Operational Risk Management)</x:t>
  </x:si>
  <x:si>
    <x:t xml:space="preserve">Manage Periodic Closing Activities (Provides), Group Risk Management (Provides)</x:t>
  </x:si>
  <x:si>
    <x:t xml:space="preserve">CFP/PM</x:t>
  </x:si>
  <x:si>
    <x:t xml:space="preserve">Matthias Hanselmann</x:t>
  </x:si>
  <x:si>
    <x:t xml:space="preserve">APM0003513</x:t>
  </x:si>
  <x:si>
    <x:t xml:space="preserve">DAMARIS</x:t>
  </x:si>
  <x:si>
    <x:t xml:space="preserve">Jessica Bender</x:t>
  </x:si>
  <x:si>
    <x:t xml:space="preserve">APM0012354; APM0012176</x:t>
  </x:si>
  <x:si>
    <x:t xml:space="preserve">APM0013535</x:t>
  </x:si>
  <x:si>
    <x:t xml:space="preserve">Dakota Proactivity EHS Software</x:t>
  </x:si>
  <x:si>
    <x:t xml:space="preserve">No active users identified during discovery; retire and archive the XXL dataset.</x:t>
  </x:si>
  <x:si>
    <x:t xml:space="preserve">GBW/UN</x:t>
  </x:si>
  <x:si>
    <x:t xml:space="preserve">Peter Dulik</x:t>
  </x:si>
  <x:si>
    <x:t xml:space="preserve">APM0002096</x:t>
  </x:si>
  <x:si>
    <x:t xml:space="preserve">Dangerous Goods (GELOG)</x:t>
  </x:si>
  <x:si>
    <x:t xml:space="preserve">Manage Hazardous Substances (Provides), Manage Dangerous Goods (Provides)</x:t>
  </x:si>
  <x:si>
    <x:t xml:space="preserve">Daniela Nuehlen-Hoevel</x:t>
  </x:si>
  <x:si>
    <x:t xml:space="preserve">APM0004220</x:t>
  </x:si>
  <x:si>
    <x:t xml:space="preserve">Datenbank Richtlinien und Regelwerke / Kompendium Arbeitsschutz</x:t>
  </x:si>
  <x:si>
    <x:t xml:space="preserve">ESE/SE</x:t>
  </x:si>
  <x:si>
    <x:t xml:space="preserve">Zaklina Seibert</x:t>
  </x:si>
  <x:si>
    <x:t xml:space="preserve">APM0010020; APM0004798; APM0012939</x:t>
  </x:si>
  <x:si>
    <x:t xml:space="preserve">APM0013425</x:t>
  </x:si>
  <x:si>
    <x:t xml:space="preserve">Dekra-AdaptiveBBS</x:t>
  </x:si>
  <x:si>
    <x:t xml:space="preserve">Cecilia Loriente</x:t>
  </x:si>
  <x:si>
    <x:t xml:space="preserve">APM0012438</x:t>
  </x:si>
  <x:si>
    <x:t xml:space="preserve">Desigo cc</x:t>
  </x:si>
  <x:si>
    <x:t xml:space="preserve">ESP/TIC</x:t>
  </x:si>
  <x:si>
    <x:t xml:space="preserve">Jan Smet</x:t>
  </x:si>
  <x:si>
    <x:t xml:space="preserve">APM0012847; APM0013081</x:t>
  </x:si>
  <x:si>
    <x:t xml:space="preserve">APM0009113</x:t>
  </x:si>
  <x:si>
    <x:t xml:space="preserve">Digital Work Permit - South America</x:t>
  </x:si>
  <x:si>
    <x:t xml:space="preserve">GDD/CF</x:t>
  </x:si>
  <x:si>
    <x:t xml:space="preserve">Lee Hardee</x:t>
  </x:si>
  <x:si>
    <x:t xml:space="preserve">APM0012897</x:t>
  </x:si>
  <x:si>
    <x:t xml:space="preserve">DoorKeeper</x:t>
  </x:si>
  <x:si>
    <x:t xml:space="preserve">GBE/PA-ASG</x:t>
  </x:si>
  <x:si>
    <x:t xml:space="preserve">Cindy Mahlangu</x:t>
  </x:si>
  <x:si>
    <x:t xml:space="preserve">APM0004203</x:t>
  </x:si>
  <x:si>
    <x:t xml:space="preserve">ECM - Enterprise Controlling and Monitoring BPCN</x:t>
  </x:si>
  <x:si>
    <x:t xml:space="preserve">EMX/HL</x:t>
  </x:si>
  <x:si>
    <x:t xml:space="preserve">Daniela Fechner</x:t>
  </x:si>
  <x:si>
    <x:t xml:space="preserve">APM0012891</x:t>
  </x:si>
  <x:si>
    <x:t xml:space="preserve">EHS Peformance v.2.0</x:t>
  </x:si>
  <x:si>
    <x:t xml:space="preserve">S-ED/SPS</x:t>
  </x:si>
  <x:si>
    <x:t xml:space="preserve">Rodrigo Alejandro Farina Flores</x:t>
  </x:si>
  <x:si>
    <x:t xml:space="preserve">APM0001263</x:t>
  </x:si>
  <x:si>
    <x:t xml:space="preserve">EHS UML DOCUMENTATION</x:t>
  </x:si>
  <x:si>
    <x:t xml:space="preserve">Manage Product Compliance Master Data (Provides)</x:t>
  </x:si>
  <x:si>
    <x:t xml:space="preserve">GDE/FE</x:t>
  </x:si>
  <x:si>
    <x:t xml:space="preserve">Michael Grimmeisen</x:t>
  </x:si>
  <x:si>
    <x:t xml:space="preserve">APM0013082; APM0003834; APM0012125</x:t>
  </x:si>
  <x:si>
    <x:t xml:space="preserve">APM0008566</x:t>
  </x:si>
  <x:si>
    <x:t xml:space="preserve">EM APMESS</x:t>
  </x:si>
  <x:si>
    <x:t xml:space="preserve">Elke Polley</x:t>
  </x:si>
  <x:si>
    <x:t xml:space="preserve">APM0002141</x:t>
  </x:si>
  <x:si>
    <x:t xml:space="preserve">EMAS</x:t>
  </x:si>
  <x:si>
    <x:t xml:space="preserve">APM0001720</x:t>
  </x:si>
  <x:si>
    <x:t xml:space="preserve">EMPOWER3 BHX</x:t>
  </x:si>
  <x:si>
    <x:t xml:space="preserve">Product, Production Process and System Innovation Management (Provides), Manage Operational Quality System aligned with EHS (Provides), Laboratory Data specific Systems (Provides)</x:t>
  </x:si>
  <x:si>
    <x:t xml:space="preserve">G-ENP/PI</x:t>
  </x:si>
  <x:si>
    <x:t xml:space="preserve">Jacqueline Garcia</x:t>
  </x:si>
  <x:si>
    <x:t xml:space="preserve">APM0012354; APM0012225</x:t>
  </x:si>
  <x:si>
    <x:t xml:space="preserve">APM0003412</x:t>
  </x:si>
  <x:si>
    <x:t xml:space="preserve">EREIGNIS-DB (ESL)</x:t>
  </x:si>
  <x:si>
    <x:t xml:space="preserve">Matthias Messmer</x:t>
  </x:si>
  <x:si>
    <x:t xml:space="preserve">APM0013166</x:t>
  </x:si>
  <x:si>
    <x:t xml:space="preserve">Eked Pro , Loto Pro</x:t>
  </x:si>
  <x:si>
    <x:t xml:space="preserve">E-EDE/OT</x:t>
  </x:si>
  <x:si>
    <x:t xml:space="preserve">Ibrahim Oz</x:t>
  </x:si>
  <x:si>
    <x:t xml:space="preserve">APM0003078</x:t>
  </x:si>
  <x:si>
    <x:t xml:space="preserve">EnmasLight</x:t>
  </x:si>
  <x:si>
    <x:t xml:space="preserve">APM0009496</x:t>
  </x:si>
  <x:si>
    <x:t xml:space="preserve">EtQ V2020</x:t>
  </x:si>
  <x:si>
    <x:t xml:space="preserve">Laurent Pardieu</x:t>
  </x:si>
  <x:si>
    <x:t xml:space="preserve">APM0011789; APM0003840</x:t>
  </x:si>
  <x:si>
    <x:t xml:space="preserve">APM0008578</x:t>
  </x:si>
  <x:si>
    <x:t xml:space="preserve">GC EHS Information Platform 5in1+e-RC</x:t>
  </x:si>
  <x:si>
    <x:t xml:space="preserve">GDD/EF</x:t>
  </x:si>
  <x:si>
    <x:t xml:space="preserve">Xiao Guang LU</x:t>
  </x:si>
  <x:si>
    <x:t xml:space="preserve">APM0009901</x:t>
  </x:si>
  <x:si>
    <x:t xml:space="preserve">GC EHS Regulatory &amp; Compliance Management System</x:t>
  </x:si>
  <x:si>
    <x:t xml:space="preserve">GBA/UX</x:t>
  </x:si>
  <x:si>
    <x:t xml:space="preserve">Xin LI</x:t>
  </x:si>
  <x:si>
    <x:t xml:space="preserve">APM0008965</x:t>
  </x:si>
  <x:si>
    <x:t xml:space="preserve">GC ePTW EX</x:t>
  </x:si>
  <x:si>
    <x:t xml:space="preserve">APM0010943</x:t>
  </x:si>
  <x:si>
    <x:t xml:space="preserve">GC_I5G_IMP</x:t>
  </x:si>
  <x:si>
    <x:t xml:space="preserve">GDD/CH</x:t>
  </x:si>
  <x:si>
    <x:t xml:space="preserve">Wei ZHANG</x:t>
  </x:si>
  <x:si>
    <x:t xml:space="preserve">APM0004245</x:t>
  </x:si>
  <x:si>
    <x:t xml:space="preserve">GEDWeb</x:t>
  </x:si>
  <x:si>
    <x:t xml:space="preserve">GBE/UE</x:t>
  </x:si>
  <x:si>
    <x:t xml:space="preserve">CARLA MARIA TROCCOLI</x:t>
  </x:si>
  <x:si>
    <x:t xml:space="preserve">APM0009531</x:t>
  </x:si>
  <x:si>
    <x:t xml:space="preserve">GID - Global Incident Database</x:t>
  </x:si>
  <x:si>
    <x:t xml:space="preserve">COR/OR</x:t>
  </x:si>
  <x:si>
    <x:t xml:space="preserve">Michael Burkard</x:t>
  </x:si>
  <x:si>
    <x:t xml:space="preserve">APM0008450</x:t>
  </x:si>
  <x:si>
    <x:t xml:space="preserve">GID - Global Incident Database (BW)</x:t>
  </x:si>
  <x:si>
    <x:t xml:space="preserve">APM0013069; APM0011208</x:t>
  </x:si>
  <x:si>
    <x:t xml:space="preserve">APM0002814</x:t>
  </x:si>
  <x:si>
    <x:t xml:space="preserve">GLOBAL ATS</x:t>
  </x:si>
  <x:si>
    <x:t xml:space="preserve">Execute Operations/Safety MOC (Provides)</x:t>
  </x:si>
  <x:si>
    <x:t xml:space="preserve">No active users identified during discovery; retire and archive the XL dataset.</x:t>
  </x:si>
  <x:si>
    <x:t xml:space="preserve">APM0001529</x:t>
  </x:si>
  <x:si>
    <x:t xml:space="preserve">GLOBAL_QUALITY_DATABASE_EM</x:t>
  </x:si>
  <x:si>
    <x:t xml:space="preserve">Peter Janach</x:t>
  </x:si>
  <x:si>
    <x:t xml:space="preserve">APM0004203; APM0012939</x:t>
  </x:si>
  <x:si>
    <x:t xml:space="preserve">APM0013192</x:t>
  </x:si>
  <x:si>
    <x:t xml:space="preserve">Global Safety culture toolbox</x:t>
  </x:si>
  <x:si>
    <x:t xml:space="preserve">APM0013383</x:t>
  </x:si>
  <x:si>
    <x:t xml:space="preserve">HikCentral Professional</x:t>
  </x:si>
  <x:si>
    <x:t xml:space="preserve">GDA/DH</x:t>
  </x:si>
  <x:si>
    <x:t xml:space="preserve">Gert Pantke</x:t>
  </x:si>
  <x:si>
    <x:t xml:space="preserve">APM0011316</x:t>
  </x:si>
  <x:si>
    <x:t xml:space="preserve">IAM (Institute of Advance Motoring)</x:t>
  </x:si>
  <x:si>
    <x:t xml:space="preserve">Business-differentiating capability not covered by BASF Operations Platform; retain as-is for this programme and reassess at the next portfolio review.</x:t>
  </x:si>
  <x:si>
    <x:t xml:space="preserve">APM0011641</x:t>
  </x:si>
  <x:si>
    <x:t xml:space="preserve">IBOZ.sk - e-learning platform for initial and regular EHS trainings</x:t>
  </x:si>
  <x:si>
    <x:t xml:space="preserve">GBE/EC-F</x:t>
  </x:si>
  <x:si>
    <x:t xml:space="preserve">Anna Filkova Harvanikova</x:t>
  </x:si>
  <x:si>
    <x:t xml:space="preserve">APM0011061</x:t>
  </x:si>
  <x:si>
    <x:t xml:space="preserve">ID-Digitalform-Public</x:t>
  </x:si>
  <x:si>
    <x:t xml:space="preserve">Stephanus Subagio</x:t>
  </x:si>
  <x:si>
    <x:t xml:space="preserve">APM0009210</x:t>
  </x:si>
  <x:si>
    <x:t xml:space="preserve">IKT-OTOBO</x:t>
  </x:si>
  <x:si>
    <x:t xml:space="preserve">Kevin Worschech</x:t>
  </x:si>
  <x:si>
    <x:t xml:space="preserve">APM0011007</x:t>
  </x:si>
  <x:si>
    <x:t xml:space="preserve">IM_Work Tasks SA_5S</x:t>
  </x:si>
  <x:si>
    <x:t xml:space="preserve">Suelen Cristian de Freitas Morais</x:t>
  </x:si>
  <x:si>
    <x:t xml:space="preserve">APM0012785</x:t>
  </x:si>
  <x:si>
    <x:t xml:space="preserve">IN-ROAD E-PTW (Permit-To-Work) Singapore</x:t>
  </x:si>
  <x:si>
    <x:t xml:space="preserve">G-EDM/OQ</x:t>
  </x:si>
  <x:si>
    <x:t xml:space="preserve">Jing Yin Leung</x:t>
  </x:si>
  <x:si>
    <x:t xml:space="preserve">APM0013538</x:t>
  </x:si>
  <x:si>
    <x:t xml:space="preserve">INFRARED DETECTION DEVICE FOR SITE SECURITY</x:t>
  </x:si>
  <x:si>
    <x:t xml:space="preserve">A-CMA/OSH</x:t>
  </x:si>
  <x:si>
    <x:t xml:space="preserve">Sang-Sik Lee</x:t>
  </x:si>
  <x:si>
    <x:t xml:space="preserve">APM0002866</x:t>
  </x:si>
  <x:si>
    <x:t xml:space="preserve">INTRANET HSC</x:t>
  </x:si>
  <x:si>
    <x:t xml:space="preserve">Frank Dierschke</x:t>
  </x:si>
  <x:si>
    <x:t xml:space="preserve">APM0007757</x:t>
  </x:si>
  <x:si>
    <x:t xml:space="preserve">IT Service Management</x:t>
  </x:si>
  <x:si>
    <x:t xml:space="preserve">IT Service Catalog Management (Provides), IT Request Management (Provides), IT Problem Management (Provides), IT Incident Management (Provides), IT Change Management (Provides), Continuous Improvement of IT Services (Provides)</x:t>
  </x:si>
  <x:si>
    <x:t xml:space="preserve">GDA/L</x:t>
  </x:si>
  <x:si>
    <x:t xml:space="preserve">Nina Bayerle</x:t>
  </x:si>
  <x:si>
    <x:t xml:space="preserve">APM0013067</x:t>
  </x:si>
  <x:si>
    <x:t xml:space="preserve">In-road e permit system</x:t>
  </x:si>
  <x:si>
    <x:t xml:space="preserve">Guo Yong YU</x:t>
  </x:si>
  <x:si>
    <x:t xml:space="preserve">APM0008949</x:t>
  </x:si>
  <x:si>
    <x:t xml:space="preserve">Integra</x:t>
  </x:si>
  <x:si>
    <x:t xml:space="preserve">ES/TSO</x:t>
  </x:si>
  <x:si>
    <x:t xml:space="preserve">JOSE MARIA LAPUENTE</x:t>
  </x:si>
  <x:si>
    <x:t xml:space="preserve">APM0008394</x:t>
  </x:si>
  <x:si>
    <x:t xml:space="preserve">Integrum Management Systems</x:t>
  </x:si>
  <x:si>
    <x:t xml:space="preserve">GBA/UA</x:t>
  </x:si>
  <x:si>
    <x:t xml:space="preserve">Syed Muhammad Murtaza Zaidi</x:t>
  </x:si>
  <x:si>
    <x:t xml:space="preserve">APM0009808</x:t>
  </x:si>
  <x:si>
    <x:t xml:space="preserve">JEDERMANN PLATFORM</x:t>
  </x:si>
  <x:si>
    <x:t xml:space="preserve">APM0009436</x:t>
  </x:si>
  <x:si>
    <x:t xml:space="preserve">LCP EHS Tool</x:t>
  </x:si>
  <x:si>
    <x:t xml:space="preserve">GEM/EM</x:t>
  </x:si>
  <x:si>
    <x:t xml:space="preserve">Jan-Philip Buchholz</x:t>
  </x:si>
  <x:si>
    <x:t xml:space="preserve">APM0012136</x:t>
  </x:si>
  <x:si>
    <x:t xml:space="preserve">LIVE Audit</x:t>
  </x:si>
  <x:si>
    <x:t xml:space="preserve">PM/LO</x:t>
  </x:si>
  <x:si>
    <x:t xml:space="preserve">Anja Biedermann</x:t>
  </x:si>
  <x:si>
    <x:t xml:space="preserve">APM0011607</x:t>
  </x:si>
  <x:si>
    <x:t xml:space="preserve">Localization deployment of hazardous waste standardized management projects</x:t>
  </x:si>
  <x:si>
    <x:t xml:space="preserve">Manage Waste (Provides)</x:t>
  </x:si>
  <x:si>
    <x:t xml:space="preserve">A-CMA/SE</x:t>
  </x:si>
  <x:si>
    <x:t xml:space="preserve">Wei LU</x:t>
  </x:si>
  <x:si>
    <x:t xml:space="preserve">APM0008848</x:t>
  </x:si>
  <x:si>
    <x:t xml:space="preserve">MOC DASHBOARD</x:t>
  </x:si>
  <x:si>
    <x:t xml:space="preserve">Martin Liebig</x:t>
  </x:si>
  <x:si>
    <x:t xml:space="preserve">APM0003228</x:t>
  </x:si>
  <x:si>
    <x:t xml:space="preserve">MPPD - Multiple-Path Particle Dosimetry</x:t>
  </x:si>
  <x:si>
    <x:t xml:space="preserve">GBI/UR</x:t>
  </x:si>
  <x:si>
    <x:t xml:space="preserve">Steffen Bade</x:t>
  </x:si>
  <x:si>
    <x:t xml:space="preserve">APM0013179</x:t>
  </x:si>
  <x:si>
    <x:t xml:space="preserve">MSDS management system for BCCS</x:t>
  </x:si>
  <x:si>
    <x:t xml:space="preserve">Xiang Yang YE</x:t>
  </x:si>
  <x:si>
    <x:t xml:space="preserve">APM0012620</x:t>
  </x:si>
  <x:si>
    <x:t xml:space="preserve">MSDS management system for Pudong sites</x:t>
  </x:si>
  <x:si>
    <x:t xml:space="preserve">Manage Safety Data Sheet (Provides), Manage Hazardous Substances (Provides)</x:t>
  </x:si>
  <x:si>
    <x:t xml:space="preserve">APM0013192; APM0011268</x:t>
  </x:si>
  <x:si>
    <x:t xml:space="preserve">APM0012400</x:t>
  </x:si>
  <x:si>
    <x:t xml:space="preserve">Mango QHSE Software (part of EcoOnline Global)</x:t>
  </x:si>
  <x:si>
    <x:t xml:space="preserve">Manage Risk Assessment/Processes (Provides), Incident Management (Provides)</x:t>
  </x:si>
  <x:si>
    <x:t xml:space="preserve">APM0004428</x:t>
  </x:si>
  <x:si>
    <x:t xml:space="preserve">ManualMaster</x:t>
  </x:si>
  <x:si>
    <x:t xml:space="preserve">E-EDE/QM</x:t>
  </x:si>
  <x:si>
    <x:t xml:space="preserve">Niels Kuil</x:t>
  </x:si>
  <x:si>
    <x:t xml:space="preserve">APM0002676</x:t>
  </x:si>
  <x:si>
    <x:t xml:space="preserve">MyPortal Doc Management</x:t>
  </x:si>
  <x:si>
    <x:t xml:space="preserve">G-EVC/ON</x:t>
  </x:si>
  <x:si>
    <x:t xml:space="preserve">Dorle Werfelmann</x:t>
  </x:si>
  <x:si>
    <x:t xml:space="preserve">APM0010895</x:t>
  </x:si>
  <x:si>
    <x:t xml:space="preserve">NA EHS(AIMS) Reporting System</x:t>
  </x:si>
  <x:si>
    <x:t xml:space="preserve">GBW/UN-I</x:t>
  </x:si>
  <x:si>
    <x:t xml:space="preserve">Lisa Harlow</x:t>
  </x:si>
  <x:si>
    <x:t xml:space="preserve">APM0008483</x:t>
  </x:si>
  <x:si>
    <x:t xml:space="preserve">NA SARA 313</x:t>
  </x:si>
  <x:si>
    <x:t xml:space="preserve">APM0008484</x:t>
  </x:si>
  <x:si>
    <x:t xml:space="preserve">NA Where Used Reporting</x:t>
  </x:si>
  <x:si>
    <x:t xml:space="preserve">Manage Product Compliance Master Data (Provides), Execute Operations/Safety MOC (Provides)</x:t>
  </x:si>
  <x:si>
    <x:t xml:space="preserve">APM0010155</x:t>
  </x:si>
  <x:si>
    <x:t xml:space="preserve">Operational Technology Service Management</x:t>
  </x:si>
  <x:si>
    <x:t xml:space="preserve">Network Management (Provides), IT Incident Management (Provides), IT Change Management (Provides)</x:t>
  </x:si>
  <x:si>
    <x:t xml:space="preserve">GDD/CD</x:t>
  </x:si>
  <x:si>
    <x:t xml:space="preserve">Carmen Mendizabal</x:t>
  </x:si>
  <x:si>
    <x:t xml:space="preserve">APM0010285</x:t>
  </x:si>
  <x:si>
    <x:t xml:space="preserve">PD Smart EHS Platform (5in1)</x:t>
  </x:si>
  <x:si>
    <x:t xml:space="preserve">APM0004672</x:t>
  </x:si>
  <x:si>
    <x:t xml:space="preserve">Passage Grenzach - Unterweisungs-Software</x:t>
  </x:si>
  <x:si>
    <x:t xml:space="preserve">Ralf Bogenschneider</x:t>
  </x:si>
  <x:si>
    <x:t xml:space="preserve">APM0009881</x:t>
  </x:si>
  <x:si>
    <x:t xml:space="preserve">QM DB system for Yeosu</x:t>
  </x:si>
  <x:si>
    <x:t xml:space="preserve">A-CMA/OMQ</x:t>
  </x:si>
  <x:si>
    <x:t xml:space="preserve">SoYun Park</x:t>
  </x:si>
  <x:si>
    <x:t xml:space="preserve">APM0009404</x:t>
  </x:si>
  <x:si>
    <x:t xml:space="preserve">QR code Mass download Tool</x:t>
  </x:si>
  <x:si>
    <x:t xml:space="preserve">GB/ST-A</x:t>
  </x:si>
  <x:si>
    <x:t xml:space="preserve">Mei HUANG</x:t>
  </x:si>
  <x:si>
    <x:t xml:space="preserve">APM0011268; APM0003840</x:t>
  </x:si>
  <x:si>
    <x:t xml:space="preserve">APM0011634</x:t>
  </x:si>
  <x:si>
    <x:t xml:space="preserve">Quality Guard</x:t>
  </x:si>
  <x:si>
    <x:t xml:space="preserve">Fernanda Las Chiaramonte</x:t>
  </x:si>
  <x:si>
    <x:t xml:space="preserve">APM0011524</x:t>
  </x:si>
  <x:si>
    <x:t xml:space="preserve">Quentic EHS Management</x:t>
  </x:si>
  <x:si>
    <x:t xml:space="preserve">ED/BT I</x:t>
  </x:si>
  <x:si>
    <x:t xml:space="preserve">Christoph Hesse</x:t>
  </x:si>
  <x:si>
    <x:t xml:space="preserve">APM0013190</x:t>
  </x:si>
  <x:si>
    <x:t xml:space="preserve">RAMP Training platform</x:t>
  </x:si>
  <x:si>
    <x:t xml:space="preserve">APM0003387</x:t>
  </x:si>
  <x:si>
    <x:t xml:space="preserve">REACTOR MoC</x:t>
  </x:si>
  <x:si>
    <x:t xml:space="preserve">APM0002248</x:t>
  </x:si>
  <x:si>
    <x:t xml:space="preserve">REHSA EHS-REPORTING</x:t>
  </x:si>
  <x:si>
    <x:t xml:space="preserve">Manage Emissions (Provides), Comply with Sustainability Reporting (Provides)</x:t>
  </x:si>
  <x:si>
    <x:t xml:space="preserve">Claudia Teusch</x:t>
  </x:si>
  <x:si>
    <x:t xml:space="preserve">APM0003585</x:t>
  </x:si>
  <x:si>
    <x:t xml:space="preserve">RSA ARCHER</x:t>
  </x:si>
  <x:si>
    <x:t xml:space="preserve">Supplier Security (Provides), Secure Monitoring &amp; Threat Hunting (Provides), Risk Management (Provides), IT Asset Discovery (Provides), Governance Management (Provides), Crisis Management, Business Continuity and Disaster Recovery (BC&amp;DR) (Provides), Compute Provisioning and Operations Management (Provides), Compliance Management and Assessments (Provides)</x:t>
  </x:si>
  <x:si>
    <x:t xml:space="preserve">GDS/A</x:t>
  </x:si>
  <x:si>
    <x:t xml:space="preserve">Stephan Beck</x:t>
  </x:si>
  <x:si>
    <x:t xml:space="preserve">APM0003384</x:t>
  </x:si>
  <x:si>
    <x:t xml:space="preserve">Rapid Ranking</x:t>
  </x:si>
  <x:si>
    <x:t xml:space="preserve">ESA/PP</x:t>
  </x:si>
  <x:si>
    <x:t xml:space="preserve">Guy Willemsen</x:t>
  </x:si>
  <x:si>
    <x:t xml:space="preserve">APM0013083; APM0011268</x:t>
  </x:si>
  <x:si>
    <x:t xml:space="preserve">APM0010141</x:t>
  </x:si>
  <x:si>
    <x:t xml:space="preserve">Rever Score</x:t>
  </x:si>
  <x:si>
    <x:t xml:space="preserve">EMX/PC</x:t>
  </x:si>
  <x:si>
    <x:t xml:space="preserve">JOSE LUIS RIVERO</x:t>
  </x:si>
  <x:si>
    <x:t xml:space="preserve">APM0001720; APM0007757</x:t>
  </x:si>
  <x:si>
    <x:t xml:space="preserve">APM0010207</x:t>
  </x:si>
  <x:si>
    <x:t xml:space="preserve">Revver</x:t>
  </x:si>
  <x:si>
    <x:t xml:space="preserve">GBA/FA-A</x:t>
  </x:si>
  <x:si>
    <x:t xml:space="preserve">Daniel Higgins</x:t>
  </x:si>
  <x:si>
    <x:t xml:space="preserve">APM0003363</x:t>
  </x:si>
  <x:si>
    <x:t xml:space="preserve">RiAnT</x:t>
  </x:si>
  <x:si>
    <x:t xml:space="preserve">Kyra Van Ael</x:t>
  </x:si>
  <x:si>
    <x:t xml:space="preserve">APM0008906</x:t>
  </x:si>
  <x:si>
    <x:t xml:space="preserve">SAFETY VIEW TOOL</x:t>
  </x:si>
  <x:si>
    <x:t xml:space="preserve">ESE/SO</x:t>
  </x:si>
  <x:si>
    <x:t xml:space="preserve">Frank Haerthe</x:t>
  </x:si>
  <x:si>
    <x:t xml:space="preserve">APM0002242</x:t>
  </x:si>
  <x:si>
    <x:t xml:space="preserve">SAFETY_PERMIT_DATABASE</x:t>
  </x:si>
  <x:si>
    <x:t xml:space="preserve">NAG</x:t>
  </x:si>
  <x:si>
    <x:t xml:space="preserve">Cara Madzy</x:t>
  </x:si>
  <x:si>
    <x:t xml:space="preserve">APM0002031</x:t>
  </x:si>
  <x:si>
    <x:t xml:space="preserve">SAFEWORK_ORM</x:t>
  </x:si>
  <x:si>
    <x:t xml:space="preserve">Jeffrey Heffinger</x:t>
  </x:si>
  <x:si>
    <x:t xml:space="preserve">APM0012413</x:t>
  </x:si>
  <x:si>
    <x:t xml:space="preserve">SAM von SECOVA</x:t>
  </x:si>
  <x:si>
    <x:t xml:space="preserve">ESL/WD</x:t>
  </x:si>
  <x:si>
    <x:t xml:space="preserve">Juergen Mattler</x:t>
  </x:si>
  <x:si>
    <x:t xml:space="preserve">APM0008664</x:t>
  </x:si>
  <x:si>
    <x:t xml:space="preserve">SAR Dashboard</x:t>
  </x:si>
  <x:si>
    <x:t xml:space="preserve">Process Safety (Provides), Incident Management (Provides)</x:t>
  </x:si>
  <x:si>
    <x:t xml:space="preserve">Olivia Centeno</x:t>
  </x:si>
  <x:si>
    <x:t xml:space="preserve">APM0003944</x:t>
  </x:si>
  <x:si>
    <x:t xml:space="preserve">SDS PORTAL</x:t>
  </x:si>
  <x:si>
    <x:t xml:space="preserve">GBI/UP-B</x:t>
  </x:si>
  <x:si>
    <x:t xml:space="preserve">Ralf Hogenmueller</x:t>
  </x:si>
  <x:si>
    <x:t xml:space="preserve">APM0010690</x:t>
  </x:si>
  <x:si>
    <x:t xml:space="preserve">SD_CC_LACI</x:t>
  </x:si>
  <x:si>
    <x:t xml:space="preserve">GDA/GI</x:t>
  </x:si>
  <x:si>
    <x:t xml:space="preserve">Thomas Weber</x:t>
  </x:si>
  <x:si>
    <x:t xml:space="preserve">APM0010691</x:t>
  </x:si>
  <x:si>
    <x:t xml:space="preserve">SD_CC_SDI</x:t>
  </x:si>
  <x:si>
    <x:t xml:space="preserve">APM0003454</x:t>
  </x:si>
  <x:si>
    <x:t xml:space="preserve">SINDA</x:t>
  </x:si>
  <x:si>
    <x:t xml:space="preserve">ESE/PA</x:t>
  </x:si>
  <x:si>
    <x:t xml:space="preserve">Rebekka Jaszcza</x:t>
  </x:si>
  <x:si>
    <x:t xml:space="preserve">APM0003675</x:t>
  </x:si>
  <x:si>
    <x:t xml:space="preserve">SIPO</x:t>
  </x:si>
  <x:si>
    <x:t xml:space="preserve">ESO/CS</x:t>
  </x:si>
  <x:si>
    <x:t xml:space="preserve">Michael Seelinger</x:t>
  </x:si>
  <x:si>
    <x:t xml:space="preserve">APM0007392; APM0011316</x:t>
  </x:si>
  <x:si>
    <x:t xml:space="preserve">APM0001810</x:t>
  </x:si>
  <x:si>
    <x:t xml:space="preserve">SMARTSOLVE TRANSFER TOOL</x:t>
  </x:si>
  <x:si>
    <x:t xml:space="preserve">ENT/QG</x:t>
  </x:si>
  <x:si>
    <x:t xml:space="preserve">Antonia Deutsch</x:t>
  </x:si>
  <x:si>
    <x:t xml:space="preserve">APM0003585; APM0012604</x:t>
  </x:si>
  <x:si>
    <x:t xml:space="preserve">APM0002241</x:t>
  </x:si>
  <x:si>
    <x:t xml:space="preserve">STATURE</x:t>
  </x:si>
  <x:si>
    <x:t xml:space="preserve">Process Safety (Provides), Manage Hazardous Substances (Provides)</x:t>
  </x:si>
  <x:si>
    <x:t xml:space="preserve">COR/OP</x:t>
  </x:si>
  <x:si>
    <x:t xml:space="preserve">Bertram Wendt</x:t>
  </x:si>
  <x:si>
    <x:t xml:space="preserve">APM0007601</x:t>
  </x:si>
  <x:si>
    <x:t xml:space="preserve">SWIFT</x:t>
  </x:si>
  <x:si>
    <x:t xml:space="preserve">Perform Isolation Management (Provides), Manage Risk Assessment/Processes (Provides), Manage HIRA (Provides), Incident Management (Provides), Execute Permit-to-Work (Provides), Execute Operations/Safety MOC (Provides)</x:t>
  </x:si>
  <x:si>
    <x:t xml:space="preserve">GDD/EH</x:t>
  </x:si>
  <x:si>
    <x:t xml:space="preserve">Joel Dave Lourdes</x:t>
  </x:si>
  <x:si>
    <x:t xml:space="preserve">APM0010151</x:t>
  </x:si>
  <x:si>
    <x:t xml:space="preserve">Safety Confirmation System Ocrenger</x:t>
  </x:si>
  <x:si>
    <x:t xml:space="preserve">GBA/UJ</x:t>
  </x:si>
  <x:si>
    <x:t xml:space="preserve">Koji Shiota</x:t>
  </x:si>
  <x:si>
    <x:t xml:space="preserve">APM0010819</x:t>
  </x:si>
  <x:si>
    <x:t xml:space="preserve">Safety Monopoly Game</x:t>
  </x:si>
  <x:si>
    <x:t xml:space="preserve">GBA/UC</x:t>
  </x:si>
  <x:si>
    <x:t xml:space="preserve">Xiang Ping ZHOU</x:t>
  </x:si>
  <x:si>
    <x:t xml:space="preserve">APM0003775</x:t>
  </x:si>
  <x:si>
    <x:t xml:space="preserve">Safety Production Information Management Platform Of Greater China</x:t>
  </x:si>
  <x:si>
    <x:t xml:space="preserve">APM0010584</x:t>
  </x:si>
  <x:si>
    <x:t xml:space="preserve">Safetyhub</x:t>
  </x:si>
  <x:si>
    <x:t xml:space="preserve">APM0010031</x:t>
  </x:si>
  <x:si>
    <x:t xml:space="preserve">SampleRetention</x:t>
  </x:si>
  <x:si>
    <x:t xml:space="preserve">APM0012354; APM0010351</x:t>
  </x:si>
  <x:si>
    <x:t xml:space="preserve">APM0004341</x:t>
  </x:si>
  <x:si>
    <x:t xml:space="preserve">ServiceNow</x:t>
  </x:si>
  <x:si>
    <x:t xml:space="preserve">IT Service Reporting (Provides), IT Service Catalog Management (Provides), IT Request Management (Provides), IT Problem Management (Provides), IT Incident Management (Provides), IT Change Management (Provides), IT Application Portfolio Management (Provides)</x:t>
  </x:si>
  <x:si>
    <x:t xml:space="preserve">GDB/DI</x:t>
  </x:si>
  <x:si>
    <x:t xml:space="preserve">Thomas Punzo</x:t>
  </x:si>
  <x:si>
    <x:t xml:space="preserve">APM0011904</x:t>
  </x:si>
  <x:si>
    <x:t xml:space="preserve">Smart management platform on safety risk</x:t>
  </x:si>
  <x:si>
    <x:t xml:space="preserve">Manage Risk Assessment/Processes (Provides), Execute Permit-to-Work (Provides)</x:t>
  </x:si>
  <x:si>
    <x:t xml:space="preserve">Jin Cai ZENG</x:t>
  </x:si>
  <x:si>
    <x:t xml:space="preserve">APM0008841</x:t>
  </x:si>
  <x:si>
    <x:t xml:space="preserve">SpillGuard Connect</x:t>
  </x:si>
  <x:si>
    <x:t xml:space="preserve">Provide Plant Maintenance (Provides), Incident Management (Provides)</x:t>
  </x:si>
  <x:si>
    <x:t xml:space="preserve">Lutz Sorge</x:t>
  </x:si>
  <x:si>
    <x:t xml:space="preserve">APM0008060</x:t>
  </x:si>
  <x:si>
    <x:t xml:space="preserve">Statistical Group Report</x:t>
  </x:si>
  <x:si>
    <x:t xml:space="preserve">Steven De Regter</x:t>
  </x:si>
  <x:si>
    <x:t xml:space="preserve">APM0011379</x:t>
  </x:si>
  <x:si>
    <x:t xml:space="preserve">SturzMelder</x:t>
  </x:si>
  <x:si>
    <x:t xml:space="preserve">Dominik Daniel Deutsch</x:t>
  </x:si>
  <x:si>
    <x:t xml:space="preserve">APM0003910</x:t>
  </x:si>
  <x:si>
    <x:t xml:space="preserve">TENFORCE_BASANT</x:t>
  </x:si>
  <x:si>
    <x:t xml:space="preserve">Yannick Brandt</x:t>
  </x:si>
  <x:si>
    <x:t xml:space="preserve">APM0010358</x:t>
  </x:si>
  <x:si>
    <x:t xml:space="preserve">Tools for Contractor - Upgrade HIVE</x:t>
  </x:si>
  <x:si>
    <x:t xml:space="preserve">GBW/US-P1</x:t>
  </x:si>
  <x:si>
    <x:t xml:space="preserve">FERNANDA APARECIDA CESARETTI</x:t>
  </x:si>
  <x:si>
    <x:t xml:space="preserve">APM0011789; APM0008031</x:t>
  </x:si>
  <x:si>
    <x:t xml:space="preserve">APM0003455</x:t>
  </x:si>
  <x:si>
    <x:t xml:space="preserve">UBIS</x:t>
  </x:si>
  <x:si>
    <x:t xml:space="preserve">Manage Hazardous Substances (Provides), Manage Emissions (Provides)</x:t>
  </x:si>
  <x:si>
    <x:t xml:space="preserve">ESE/MU</x:t>
  </x:si>
  <x:si>
    <x:t xml:space="preserve">Josef Schorr</x:t>
  </x:si>
  <x:si>
    <x:t xml:space="preserve">APM0011880</x:t>
  </x:si>
  <x:si>
    <x:t xml:space="preserve">VisionSecurity 4.5.1</x:t>
  </x:si>
  <x:si>
    <x:t xml:space="preserve">Manage Operational Quality System aligned with EHS (Provides), Manage BASF QM Process Documentation (Provides)</x:t>
  </x:si>
  <x:si>
    <x:t xml:space="preserve">Uwe Haeussel</x:t>
  </x:si>
  <x:si>
    <x:t xml:space="preserve">APM0011294</x:t>
  </x:si>
  <x:si>
    <x:t xml:space="preserve">Visitor management system for Kaohsiung Site</x:t>
  </x:si>
  <x:si>
    <x:t xml:space="preserve">EMX/SA</x:t>
  </x:si>
  <x:si>
    <x:t xml:space="preserve">Chih Feng Shih</x:t>
  </x:si>
  <x:si>
    <x:t xml:space="preserve">APM0011543</x:t>
  </x:si>
  <x:si>
    <x:t xml:space="preserve">Vodafone Self Service Portal (COVE)</x:t>
  </x:si>
  <x:si>
    <x:t xml:space="preserve">IT Incident Management (Provides), Industrial Communication Infrastructure (Provides)</x:t>
  </x:si>
  <x:si>
    <x:t xml:space="preserve">Anca-Veronica Iacob</x:t>
  </x:si>
  <x:si>
    <x:t xml:space="preserve">APM0011007; APM0001502</x:t>
  </x:si>
  <x:si>
    <x:t xml:space="preserve">APM0009181</x:t>
  </x:si>
  <x:si>
    <x:t xml:space="preserve">Wellcome</x:t>
  </x:si>
  <x:si>
    <x:t xml:space="preserve">Manage Site Security (Provides), Execute Permit-to-Work (Provides)</x:t>
  </x:si>
  <x:si>
    <x:t xml:space="preserve">GBE/UT-E</x:t>
  </x:si>
  <x:si>
    <x:t xml:space="preserve">Ali Onur Kasarci</x:t>
  </x:si>
  <x:si>
    <x:t xml:space="preserve">APM0001502; APM0003228; APM0008848</x:t>
  </x:si>
  <x:si>
    <x:t xml:space="preserve">APM0004526</x:t>
  </x:si>
  <x:si>
    <x:t xml:space="preserve">e Yellow card system</x:t>
  </x:si>
  <x:si>
    <x:t xml:space="preserve">Keng Hui WU</x:t>
  </x:si>
  <x:si>
    <x:t xml:space="preserve">APM0013010</x:t>
  </x:si>
  <x:si>
    <x:t xml:space="preserve">trinamiX Zoho IT Helpdesk</x:t>
  </x:si>
  <x:si>
    <x:t xml:space="preserve">Tim Rau</x:t>
  </x:si>
  <x:si>
    <x:t xml:space="preserve">APM0011947</x:t>
  </x:si>
  <x:si>
    <x:t xml:space="preserve">Aconex</x:t>
  </x:si>
  <x:si>
    <x:t xml:space="preserve">Harmonize Project Collaboration &amp; Handover Tools</x:t>
  </x:si>
  <x:si>
    <x:t xml:space="preserve">Provide Turnaround Management (Provides)</x:t>
  </x:si>
  <x:si>
    <x:t xml:space="preserve">Site-local project collaboration &amp; handover tools duplicates capability already provided by Project Collaboration Standard; consolidate to reduce licence, hosting and support cost.</x:t>
  </x:si>
  <x:si>
    <x:t xml:space="preserve">Project Collaboration Standard</x:t>
  </x:si>
  <x:si>
    <x:t xml:space="preserve">DeShandra Irvin Lawrence</x:t>
  </x:si>
  <x:si>
    <x:t xml:space="preserve">Project SME 1</x:t>
  </x:si>
  <x:si>
    <x:t xml:space="preserve">APM0010102</x:t>
  </x:si>
  <x:si>
    <x:t xml:space="preserve">AutoWBS Tool</x:t>
  </x:si>
  <x:si>
    <x:t xml:space="preserve">Settle projects (Provides)</x:t>
  </x:si>
  <x:si>
    <x:t xml:space="preserve">Fragmented project collaboration &amp; handover tools landscape drives inconsistent data and duplicated interfaces; consolidation onto Project Collaboration Standard is the agreed target state.</x:t>
  </x:si>
  <x:si>
    <x:t xml:space="preserve">GBE/VL-B</x:t>
  </x:si>
  <x:si>
    <x:t xml:space="preserve">Marcel Schario</x:t>
  </x:si>
  <x:si>
    <x:t xml:space="preserve">Project SME 2</x:t>
  </x:si>
  <x:si>
    <x:t xml:space="preserve">APM0008950</x:t>
  </x:si>
  <x:si>
    <x:t xml:space="preserve">Autodesk Construction Cloud</x:t>
  </x:si>
  <x:si>
    <x:t xml:space="preserve">Provide Process Engineering (Provides), Provide Piping Engineering (Provides), Provide Construction (Provides), Provide Civil Engineering (Provides)</x:t>
  </x:si>
  <x:si>
    <x:t xml:space="preserve">ESO/EO</x:t>
  </x:si>
  <x:si>
    <x:t xml:space="preserve">Henning Fehrmann</x:t>
  </x:si>
  <x:si>
    <x:t xml:space="preserve">Project SME 3</x:t>
  </x:si>
  <x:si>
    <x:t xml:space="preserve">APM0010433</x:t>
  </x:si>
  <x:si>
    <x:t xml:space="preserve">BASANT Field Change Index</x:t>
  </x:si>
  <x:si>
    <x:t xml:space="preserve">Overlapping project collaboration &amp; handover tools functionality across sites; harmonising onto Project Collaboration Standard removes redundant support effort and standardises process.</x:t>
  </x:si>
  <x:si>
    <x:t xml:space="preserve">Project SME 4</x:t>
  </x:si>
  <x:si>
    <x:t xml:space="preserve">APM0005366</x:t>
  </x:si>
  <x:si>
    <x:t xml:space="preserve">BASANT PROMINEO</x:t>
  </x:si>
  <x:si>
    <x:t xml:space="preserve">Christoph De Keulenaer</x:t>
  </x:si>
  <x:si>
    <x:t xml:space="preserve">APM0007996</x:t>
  </x:si>
  <x:si>
    <x:t xml:space="preserve">BASANT PSO</x:t>
  </x:si>
  <x:si>
    <x:t xml:space="preserve">ESP/TEP</x:t>
  </x:si>
  <x:si>
    <x:t xml:space="preserve">Jean-Pierre Bulinckx</x:t>
  </x:si>
  <x:si>
    <x:t xml:space="preserve">APM0010113</x:t>
  </x:si>
  <x:si>
    <x:t xml:space="preserve">BASANT PT QM Cockpit</x:t>
  </x:si>
  <x:si>
    <x:t xml:space="preserve">ESP/TE5</x:t>
  </x:si>
  <x:si>
    <x:t xml:space="preserve">Erik Morel</x:t>
  </x:si>
  <x:si>
    <x:t xml:space="preserve">APM0009733</x:t>
  </x:si>
  <x:si>
    <x:t xml:space="preserve">BASF digital handover Wechat mini-program</x:t>
  </x:si>
  <x:si>
    <x:t xml:space="preserve">Jun CHEN</x:t>
  </x:si>
  <x:si>
    <x:t xml:space="preserve">APM0005366; APM0008950</x:t>
  </x:si>
  <x:si>
    <x:t xml:space="preserve">APM0002686</x:t>
  </x:si>
  <x:si>
    <x:t xml:space="preserve">BENTLEY PROJECTWISE CACHING SERVER-FREEPORT</x:t>
  </x:si>
  <x:si>
    <x:t xml:space="preserve">Application delivers a subset of Project Collaboration Standard capability with no differentiating function; retire after migration to the standard platform.</x:t>
  </x:si>
  <x:si>
    <x:t xml:space="preserve">Adriana Pena</x:t>
  </x:si>
  <x:si>
    <x:t xml:space="preserve">APM0002687</x:t>
  </x:si>
  <x:si>
    <x:t xml:space="preserve">BENTLEY PROJECTWISE CACHING SERVER-GEISMAR</x:t>
  </x:si>
  <x:si>
    <x:t xml:space="preserve">APM0002688</x:t>
  </x:si>
  <x:si>
    <x:t xml:space="preserve">BENTLEY PROJECTWISE DESIGN INTEGRATION SERVER-RALEIGH</x:t>
  </x:si>
  <x:si>
    <x:t xml:space="preserve">APM0005099</x:t>
  </x:si>
  <x:si>
    <x:t xml:space="preserve">CoConsole</x:t>
  </x:si>
  <x:si>
    <x:t xml:space="preserve">Patrick Char</x:t>
  </x:si>
  <x:si>
    <x:t xml:space="preserve">APM0007038</x:t>
  </x:si>
  <x:si>
    <x:t xml:space="preserve">Cost Engineering Software Suite</x:t>
  </x:si>
  <x:si>
    <x:t xml:space="preserve">Business-differentiating capability not covered by Project Collaboration Standard; retain as-is for this programme and reassess at the next portfolio review.</x:t>
  </x:si>
  <x:si>
    <x:t xml:space="preserve">GEM/ES</x:t>
  </x:si>
  <x:si>
    <x:t xml:space="preserve">Lukasz Hady</x:t>
  </x:si>
  <x:si>
    <x:t xml:space="preserve">APM0001338</x:t>
  </x:si>
  <x:si>
    <x:t xml:space="preserve">DECISION TOOLS SUITE</x:t>
  </x:si>
  <x:si>
    <x:t xml:space="preserve">Werner Pehlke</x:t>
  </x:si>
  <x:si>
    <x:t xml:space="preserve">APM0003230</x:t>
  </x:si>
  <x:si>
    <x:t xml:space="preserve">Multimediadatenbank</x:t>
  </x:si>
  <x:si>
    <x:t xml:space="preserve">E-CMP/NM</x:t>
  </x:si>
  <x:si>
    <x:t xml:space="preserve">Uwe Eike Krueger</x:t>
  </x:si>
  <x:si>
    <x:t xml:space="preserve">APM0009957</x:t>
  </x:si>
  <x:si>
    <x:t xml:space="preserve">NEO</x:t>
  </x:si>
  <x:si>
    <x:t xml:space="preserve">Provide Process Engineering (Provides), Provide Piping Engineering (Provides), Provide E&amp;I Engineering (Provides), Provide Construction (Provides), Provide Civil Engineering (Provides)</x:t>
  </x:si>
  <x:si>
    <x:t xml:space="preserve">Patrick Tilly</x:t>
  </x:si>
  <x:si>
    <x:t xml:space="preserve">APM0010466</x:t>
  </x:si>
  <x:si>
    <x:t xml:space="preserve">NewPETs</x:t>
  </x:si>
  <x:si>
    <x:t xml:space="preserve">GEA/E</x:t>
  </x:si>
  <x:si>
    <x:t xml:space="preserve">Yan Jun ZHU</x:t>
  </x:si>
  <x:si>
    <x:t xml:space="preserve">APM0010209</x:t>
  </x:si>
  <x:si>
    <x:t xml:space="preserve">P2Mi</x:t>
  </x:si>
  <x:si>
    <x:t xml:space="preserve">APM0010210</x:t>
  </x:si>
  <x:si>
    <x:t xml:space="preserve">PC2i</x:t>
  </x:si>
  <x:si>
    <x:t xml:space="preserve">APM0004532</x:t>
  </x:si>
  <x:si>
    <x:t xml:space="preserve">PIRS</x:t>
  </x:si>
  <x:si>
    <x:t xml:space="preserve">Oliver Hoeffle</x:t>
  </x:si>
  <x:si>
    <x:t xml:space="preserve">APM0001085</x:t>
  </x:si>
  <x:si>
    <x:t xml:space="preserve">PROJECT WISE - BR</x:t>
  </x:si>
  <x:si>
    <x:t xml:space="preserve">GE/OSD1</x:t>
  </x:si>
  <x:si>
    <x:t xml:space="preserve">EDMILSON PATRICIO DOS SANTOS</x:t>
  </x:si>
  <x:si>
    <x:t xml:space="preserve">APM0008826</x:t>
  </x:si>
  <x:si>
    <x:t xml:space="preserve">Project Wise RTP</x:t>
  </x:si>
  <x:si>
    <x:t xml:space="preserve">APM0002917</x:t>
  </x:si>
  <x:si>
    <x:t xml:space="preserve">SAPRIMA</x:t>
  </x:si>
  <x:si>
    <x:t xml:space="preserve">Nicole Arndt</x:t>
  </x:si>
  <x:si>
    <x:t xml:space="preserve">APM0008702</x:t>
  </x:si>
  <x:si>
    <x:t xml:space="preserve">Staffing Plan System - Greater China</x:t>
  </x:si>
  <x:si>
    <x:t xml:space="preserve">Lu Yan ZHANG</x:t>
  </x:si>
  <x:si>
    <x:t xml:space="preserve">APM0009539</x:t>
  </x:si>
  <x:si>
    <x:t xml:space="preserve">zvsp-dh-training</x:t>
  </x:si>
  <x:si>
    <x:t xml:space="preserve">Knowledge Management (Provides)</x:t>
  </x:si>
  <x:si>
    <x:t xml:space="preserve">APM0011073</x:t>
  </x:si>
  <x:si>
    <x:t xml:space="preserve">3219-Schwingungsdiagnostik</x:t>
  </x:si>
  <x:si>
    <x:t xml:space="preserve">Harmonize ReliabilityCenter</x:t>
  </x:si>
  <x:si>
    <x:t xml:space="preserve">Fragmented reliabilitycenter landscape drives inconsistent data and duplicated interfaces; consolidation onto Reliability Center Standard is the agreed target state.</x:t>
  </x:si>
  <x:si>
    <x:t xml:space="preserve">Reliability Center Standard</x:t>
  </x:si>
  <x:si>
    <x:t xml:space="preserve">ReliabilityC SME 1</x:t>
  </x:si>
  <x:si>
    <x:t xml:space="preserve">APM0013426</x:t>
  </x:si>
  <x:si>
    <x:t xml:space="preserve">ABB Augmented Operator Testanwendung</x:t>
  </x:si>
  <x:si>
    <x:t xml:space="preserve">Monitoring of conditions (Provides)</x:t>
  </x:si>
  <x:si>
    <x:t xml:space="preserve">Nils Richter</x:t>
  </x:si>
  <x:si>
    <x:t xml:space="preserve">ReliabilityC SME 2</x:t>
  </x:si>
  <x:si>
    <x:t xml:space="preserve">APM0003614</x:t>
  </x:si>
  <x:si>
    <x:t xml:space="preserve">AMS DATA</x:t>
  </x:si>
  <x:si>
    <x:t xml:space="preserve">Site-local reliabilitycenter duplicates capability already provided by Reliability Center Standard; consolidate to reduce licence, hosting and support cost.</x:t>
  </x:si>
  <x:si>
    <x:t xml:space="preserve">ReliabilityC SME 3</x:t>
  </x:si>
  <x:si>
    <x:t xml:space="preserve">APM0008404</x:t>
  </x:si>
  <x:si>
    <x:t xml:space="preserve">AMS HANNIBAL</x:t>
  </x:si>
  <x:si>
    <x:t xml:space="preserve">ReliabilityC SME 4</x:t>
  </x:si>
  <x:si>
    <x:t xml:space="preserve">APM0012017</x:t>
  </x:si>
  <x:si>
    <x:t xml:space="preserve">AMS Machine Works</x:t>
  </x:si>
  <x:si>
    <x:t xml:space="preserve">Application delivers a subset of Reliability Center Standard capability with no differentiating function; retire after migration to the standard platform.</x:t>
  </x:si>
  <x:si>
    <x:t xml:space="preserve">APM0009230</x:t>
  </x:si>
  <x:si>
    <x:t xml:space="preserve">AMS Machine Works - Geismar</x:t>
  </x:si>
  <x:si>
    <x:t xml:space="preserve">Damien Parson</x:t>
  </x:si>
  <x:si>
    <x:t xml:space="preserve">APM0012186</x:t>
  </x:si>
  <x:si>
    <x:t xml:space="preserve">AMS Machine Works - Port Arthur</x:t>
  </x:si>
  <x:si>
    <x:t xml:space="preserve">Provide Rotating Equipment Technology (Provides)</x:t>
  </x:si>
  <x:si>
    <x:t xml:space="preserve">Overlapping reliabilitycenter functionality across sites; harmonising onto Reliability Center Standard removes redundant support effort and standardises process.</x:t>
  </x:si>
  <x:si>
    <x:t xml:space="preserve">Ryan Rusch</x:t>
  </x:si>
  <x:si>
    <x:t xml:space="preserve">APM0009230; APM0012017</x:t>
  </x:si>
  <x:si>
    <x:t xml:space="preserve">APM0001852</x:t>
  </x:si>
  <x:si>
    <x:t xml:space="preserve">AMS Machinery Health Manager</x:t>
  </x:si>
  <x:si>
    <x:t xml:space="preserve">APM0009230; APM0003614</x:t>
  </x:si>
  <x:si>
    <x:t xml:space="preserve">APM0011213</x:t>
  </x:si>
  <x:si>
    <x:t xml:space="preserve">AMS Machinery Health Manager -  Beaumont</x:t>
  </x:si>
  <x:si>
    <x:t xml:space="preserve">APM0001852; APM0003614; APM0013426</x:t>
  </x:si>
  <x:si>
    <x:t xml:space="preserve">APM0002889</x:t>
  </x:si>
  <x:si>
    <x:t xml:space="preserve">AMS_MHM_GSM</x:t>
  </x:si>
  <x:si>
    <x:t xml:space="preserve">APM0012259</x:t>
  </x:si>
  <x:si>
    <x:t xml:space="preserve">Acoem Shaft Alignment</x:t>
  </x:si>
  <x:si>
    <x:t xml:space="preserve">ESP/UI</x:t>
  </x:si>
  <x:si>
    <x:t xml:space="preserve">Gert Coppens</x:t>
  </x:si>
  <x:si>
    <x:t xml:space="preserve">APM0010121</x:t>
  </x:si>
  <x:si>
    <x:t xml:space="preserve">BACH Predictive Maintenance Platform</x:t>
  </x:si>
  <x:si>
    <x:t xml:space="preserve">ACO/S/PM/E</x:t>
  </x:si>
  <x:si>
    <x:t xml:space="preserve">Wei XU</x:t>
  </x:si>
  <x:si>
    <x:t xml:space="preserve">APM0004170</x:t>
  </x:si>
  <x:si>
    <x:t xml:space="preserve">BASANT ETS TRIL ANTWERP</x:t>
  </x:si>
  <x:si>
    <x:t xml:space="preserve">Wouter Pintjens</x:t>
  </x:si>
  <x:si>
    <x:t xml:space="preserve">APM0008864</x:t>
  </x:si>
  <x:si>
    <x:t xml:space="preserve">BASANT SKF TRIL</x:t>
  </x:si>
  <x:si>
    <x:t xml:space="preserve">APM0012269</x:t>
  </x:si>
  <x:si>
    <x:t xml:space="preserve">BASF SFJ ATLAS Smartlink application</x:t>
  </x:si>
  <x:si>
    <x:t xml:space="preserve">Provide Other Technical Services (Provides), Monitoring of conditions (Provides), Manage and control production assets and their status (Provides)</x:t>
  </x:si>
  <x:si>
    <x:t xml:space="preserve">Morten Gulbrandsen</x:t>
  </x:si>
  <x:si>
    <x:t xml:space="preserve">APM0010731</x:t>
  </x:si>
  <x:si>
    <x:t xml:space="preserve">BMC Predictive Maintenance Platform</x:t>
  </x:si>
  <x:si>
    <x:t xml:space="preserve">A-CPA/OM</x:t>
  </x:si>
  <x:si>
    <x:t xml:space="preserve">Ye LIU</x:t>
  </x:si>
  <x:si>
    <x:t xml:space="preserve">APM0006519</x:t>
  </x:si>
  <x:si>
    <x:t xml:space="preserve">BPC AMS Machinery Manager</x:t>
  </x:si>
  <x:si>
    <x:t xml:space="preserve">Wan Mohamad Amirul Abdul Manaf</x:t>
  </x:si>
  <x:si>
    <x:t xml:space="preserve">APM0009900</x:t>
  </x:si>
  <x:si>
    <x:t xml:space="preserve">BPC EasyRCA</x:t>
  </x:si>
  <x:si>
    <x:t xml:space="preserve">Hazri Dahalan Md Razip</x:t>
  </x:si>
  <x:si>
    <x:t xml:space="preserve">APM0012166</x:t>
  </x:si>
  <x:si>
    <x:t xml:space="preserve">BPC Schaeffler Optime Viewer</x:t>
  </x:si>
  <x:si>
    <x:t xml:space="preserve">Muhammad Iqbal Shafiq Mohd Shaufi</x:t>
  </x:si>
  <x:si>
    <x:t xml:space="preserve">APM0013150</x:t>
  </x:si>
  <x:si>
    <x:t xml:space="preserve">BPC-Inductosense</x:t>
  </x:si>
  <x:si>
    <x:t xml:space="preserve">King Vee Chew</x:t>
  </x:si>
  <x:si>
    <x:t xml:space="preserve">APM0011213; APM0012186</x:t>
  </x:si>
  <x:si>
    <x:t xml:space="preserve">APM0011289</x:t>
  </x:si>
  <x:si>
    <x:t xml:space="preserve">BYC LDPE Predictive Maintenance Platform</x:t>
  </x:si>
  <x:si>
    <x:t xml:space="preserve">APM0012876</x:t>
  </x:si>
  <x:si>
    <x:t xml:space="preserve">DynaPredict</x:t>
  </x:si>
  <x:si>
    <x:t xml:space="preserve">S-CP/SPM3</x:t>
  </x:si>
  <x:si>
    <x:t xml:space="preserve">Ricardo dos Santos de Souza</x:t>
  </x:si>
  <x:si>
    <x:t xml:space="preserve">APM0009272</x:t>
  </x:si>
  <x:si>
    <x:t xml:space="preserve">EPC vibration BASF</x:t>
  </x:si>
  <x:si>
    <x:t xml:space="preserve">Fei Fei PENG</x:t>
  </x:si>
  <x:si>
    <x:t xml:space="preserve">APM0011331</x:t>
  </x:si>
  <x:si>
    <x:t xml:space="preserve">ES-TA_BN_PDH</x:t>
  </x:si>
  <x:si>
    <x:t xml:space="preserve">E-CPB/OP</x:t>
  </x:si>
  <x:si>
    <x:t xml:space="preserve">LUIS GABINO SANCHEZ</x:t>
  </x:si>
  <x:si>
    <x:t xml:space="preserve">APM0004440</x:t>
  </x:si>
  <x:si>
    <x:t xml:space="preserve">Emerson Optics</x:t>
  </x:si>
  <x:si>
    <x:t xml:space="preserve">Turgay Cok</x:t>
  </x:si>
  <x:si>
    <x:t xml:space="preserve">APM0012166; APM0011073; APM0008404</x:t>
  </x:si>
  <x:si>
    <x:t xml:space="preserve">APM0009451</x:t>
  </x:si>
  <x:si>
    <x:t xml:space="preserve">Fleet Management System</x:t>
  </x:si>
  <x:si>
    <x:t xml:space="preserve">ProvideTechnical Inspection (Provides), IT Audit and Risk Management (Provides)</x:t>
  </x:si>
  <x:si>
    <x:t xml:space="preserve">Zhong Min LIU</x:t>
  </x:si>
  <x:si>
    <x:t xml:space="preserve">APM0010526</x:t>
  </x:si>
  <x:si>
    <x:t xml:space="preserve">IFM Modules (BASF Antwerp)</x:t>
  </x:si>
  <x:si>
    <x:t xml:space="preserve">Nico Van den Broeck</x:t>
  </x:si>
  <x:si>
    <x:t xml:space="preserve">APM0001278</x:t>
  </x:si>
  <x:si>
    <x:t xml:space="preserve">MACHINERY HEALTH MANAGER</x:t>
  </x:si>
  <x:si>
    <x:t xml:space="preserve">APM0012894</x:t>
  </x:si>
  <x:si>
    <x:t xml:space="preserve">Mobile Operator 2020</x:t>
  </x:si>
  <x:si>
    <x:t xml:space="preserve">EMX/QW</x:t>
  </x:si>
  <x:si>
    <x:t xml:space="preserve">Tracy Calder</x:t>
  </x:si>
  <x:si>
    <x:t xml:space="preserve">APM0013497</x:t>
  </x:si>
  <x:si>
    <x:t xml:space="preserve">Monaca PA Vibration Monitoring</x:t>
  </x:si>
  <x:si>
    <x:t xml:space="preserve">APM0003614; APM0011331</x:t>
  </x:si>
  <x:si>
    <x:t xml:space="preserve">APM0004620</x:t>
  </x:si>
  <x:si>
    <x:t xml:space="preserve">NEST</x:t>
  </x:si>
  <x:si>
    <x:t xml:space="preserve">Julien Kielwasser</x:t>
  </x:si>
  <x:si>
    <x:t xml:space="preserve">APM0009773</x:t>
  </x:si>
  <x:si>
    <x:t xml:space="preserve">PAT Server</x:t>
  </x:si>
  <x:si>
    <x:t xml:space="preserve">Dirk Born</x:t>
  </x:si>
  <x:si>
    <x:t xml:space="preserve">APM0002247</x:t>
  </x:si>
  <x:si>
    <x:t xml:space="preserve">PSAIM (PROCESS SAFETY ASSET INTEGRITY MANAGEMENT)</x:t>
  </x:si>
  <x:si>
    <x:t xml:space="preserve">APM0004870</x:t>
  </x:si>
  <x:si>
    <x:t xml:space="preserve">Predictive Maintenance Black Box</x:t>
  </x:si>
  <x:si>
    <x:t xml:space="preserve">APM0001020</x:t>
  </x:si>
  <x:si>
    <x:t xml:space="preserve">REALITY_CHARTING</x:t>
  </x:si>
  <x:si>
    <x:t xml:space="preserve">APM0008570</x:t>
  </x:si>
  <x:si>
    <x:t xml:space="preserve">ReliabilityCenter Acoem</x:t>
  </x:si>
  <x:si>
    <x:t xml:space="preserve">Michel Vorsprach</x:t>
  </x:si>
  <x:si>
    <x:t xml:space="preserve">APM0003213</x:t>
  </x:si>
  <x:si>
    <x:t xml:space="preserve">ReliabilityCenter AvevaPA</x:t>
  </x:si>
  <x:si>
    <x:t xml:space="preserve">Marco Klaus Jaeger</x:t>
  </x:si>
  <x:si>
    <x:t xml:space="preserve">APM0001165</x:t>
  </x:si>
  <x:si>
    <x:t xml:space="preserve">ReliabilityCenter BK Compass</x:t>
  </x:si>
  <x:si>
    <x:t xml:space="preserve">Provide Machining Technology (Provides)</x:t>
  </x:si>
  <x:si>
    <x:t xml:space="preserve">Marie Elisabeth Urbach</x:t>
  </x:si>
  <x:si>
    <x:t xml:space="preserve">APM0008575</x:t>
  </x:si>
  <x:si>
    <x:t xml:space="preserve">ReliabilityCenter Bently Nevada System1</x:t>
  </x:si>
  <x:si>
    <x:t xml:space="preserve">APM0011713</x:t>
  </x:si>
  <x:si>
    <x:t xml:space="preserve">ReliabilityCenter Containerized Models</x:t>
  </x:si>
  <x:si>
    <x:t xml:space="preserve">APM0009402</x:t>
  </x:si>
  <x:si>
    <x:t xml:space="preserve">ReliabilityCenter Emerson PlantWeb</x:t>
  </x:si>
  <x:si>
    <x:t xml:space="preserve">APM0012154</x:t>
  </x:si>
  <x:si>
    <x:t xml:space="preserve">ReliabilityCenter Emerson PlantWeb Insight (PWI)</x:t>
  </x:si>
  <x:si>
    <x:t xml:space="preserve">APM0002077</x:t>
  </x:si>
  <x:si>
    <x:t xml:space="preserve">ReliabilityCenter IFM</x:t>
  </x:si>
  <x:si>
    <x:t xml:space="preserve">APM0011175</x:t>
  </x:si>
  <x:si>
    <x:t xml:space="preserve">ReliabilityCenter Ronds SuperCare Test</x:t>
  </x:si>
  <x:si>
    <x:t xml:space="preserve">APM0011438</x:t>
  </x:si>
  <x:si>
    <x:t xml:space="preserve">ReliabilityCenter SKF @ptitude Observer</x:t>
  </x:si>
  <x:si>
    <x:t xml:space="preserve">Alexander Walzenbach</x:t>
  </x:si>
  <x:si>
    <x:t xml:space="preserve">APM0010609</x:t>
  </x:si>
  <x:si>
    <x:t xml:space="preserve">Reliasoft</x:t>
  </x:si>
  <x:si>
    <x:t xml:space="preserve">GE/OST</x:t>
  </x:si>
  <x:si>
    <x:t xml:space="preserve">LUIZ FERNANDO OLIVEIRA RAMOS</x:t>
  </x:si>
  <x:si>
    <x:t xml:space="preserve">APM0013487</x:t>
  </x:si>
  <x:si>
    <x:t xml:space="preserve">Reliasoft GC Access</x:t>
  </x:si>
  <x:si>
    <x:t xml:space="preserve">ACO/OO</x:t>
  </x:si>
  <x:si>
    <x:t xml:space="preserve">Qing TU</x:t>
  </x:si>
  <x:si>
    <x:t xml:space="preserve">APM0012609</x:t>
  </x:si>
  <x:si>
    <x:t xml:space="preserve">SKF quickcollect</x:t>
  </x:si>
  <x:si>
    <x:t xml:space="preserve">Chek Kuan Ang</x:t>
  </x:si>
  <x:si>
    <x:t xml:space="preserve">APM0011229</x:t>
  </x:si>
  <x:si>
    <x:t xml:space="preserve">ZVS ReliabilityCenter Bently Nevada OrbitStudio</x:t>
  </x:si>
  <x:si>
    <x:t xml:space="preserve">Hai Yan DU</x:t>
  </x:si>
  <x:si>
    <x:t xml:space="preserve">APM0011200</x:t>
  </x:si>
  <x:si>
    <x:t xml:space="preserve">ZVS ReliabilityCenter Bently Nevada System1</x:t>
  </x:si>
  <x:si>
    <x:t xml:space="preserve">APM0012720</x:t>
  </x:si>
  <x:si>
    <x:t xml:space="preserve">ZVS ReliabilityCenter Bently System1 Collector</x:t>
  </x:si>
  <x:si>
    <x:t xml:space="preserve">Yang LAN</x:t>
  </x:si>
  <x:si>
    <x:t xml:space="preserve">APM0011242</x:t>
  </x:si>
  <x:si>
    <x:t xml:space="preserve">ZVS ReliabilityCenter Ronds SuperCare</x:t>
  </x:si>
  <x:si>
    <x:t xml:space="preserve">APM0011160</x:t>
  </x:si>
  <x:si>
    <x:t xml:space="preserve">INTERFLEX 6040 SWITZERLAND</x:t>
  </x:si>
  <x:si>
    <x:t xml:space="preserve">Harmonize Time Management Systems</x:t>
  </x:si>
  <x:si>
    <x:t xml:space="preserve">Support Clock-in/Clock-out Systems (Provides)</x:t>
  </x:si>
  <x:si>
    <x:t xml:space="preserve">Fragmented time management systems landscape drives inconsistent data and duplicated interfaces; consolidation onto SAP Time Management is the agreed target state.</x:t>
  </x:si>
  <x:si>
    <x:t xml:space="preserve">SAP Time Management</x:t>
  </x:si>
  <x:si>
    <x:t xml:space="preserve">GBE/PS-R</x:t>
  </x:si>
  <x:si>
    <x:t xml:space="preserve">Benjamin Kipka</x:t>
  </x:si>
  <x:si>
    <x:t xml:space="preserve">Time SME 1</x:t>
  </x:si>
  <x:si>
    <x:t xml:space="preserve">APM0012552</x:t>
  </x:si>
  <x:si>
    <x:t xml:space="preserve">INTERFLEX Austria</x:t>
  </x:si>
  <x:si>
    <x:t xml:space="preserve">Application delivers a subset of SAP Time Management capability with no differentiating function; retire after migration to the standard platform.</x:t>
  </x:si>
  <x:si>
    <x:t xml:space="preserve">GBE/PS-E</x:t>
  </x:si>
  <x:si>
    <x:t xml:space="preserve">Anna Gstoettner</x:t>
  </x:si>
  <x:si>
    <x:t xml:space="preserve">Time SME 2</x:t>
  </x:si>
  <x:si>
    <x:t xml:space="preserve">APM0004459</x:t>
  </x:si>
  <x:si>
    <x:t xml:space="preserve">INTERFLEX FRANCE</x:t>
  </x:si>
  <x:si>
    <x:t xml:space="preserve">Support Clock-in/Clock-out Systems (Provides), Manage Site Security (Provides)</x:t>
  </x:si>
  <x:si>
    <x:t xml:space="preserve">Overlapping time management systems functionality across sites; harmonising onto SAP Time Management removes redundant support effort and standardises process.</x:t>
  </x:si>
  <x:si>
    <x:t xml:space="preserve">GDA/DF</x:t>
  </x:si>
  <x:si>
    <x:t xml:space="preserve">BENOIT LANCE</x:t>
  </x:si>
  <x:si>
    <x:t xml:space="preserve">Time SME 3</x:t>
  </x:si>
  <x:si>
    <x:t xml:space="preserve">APM0001859</x:t>
  </x:si>
  <x:si>
    <x:t xml:space="preserve">INTERFLEX IF6040 SPAIN</x:t>
  </x:si>
  <x:si>
    <x:t xml:space="preserve">Support Site Access (Provides), Support Clock-in/Clock-out Systems (Provides), Manage Site Security (Provides)</x:t>
  </x:si>
  <x:si>
    <x:t xml:space="preserve">Site-local time management systems duplicates capability already provided by SAP Time Management; consolidate to reduce licence, hosting and support cost.</x:t>
  </x:si>
  <x:si>
    <x:t xml:space="preserve">ES/TI</x:t>
  </x:si>
  <x:si>
    <x:t xml:space="preserve">EDUARD SEBASTIA BARRAU</x:t>
  </x:si>
  <x:si>
    <x:t xml:space="preserve">Time SME 4</x:t>
  </x:si>
  <x:si>
    <x:t xml:space="preserve">APM0010500</x:t>
  </x:si>
  <x:si>
    <x:t xml:space="preserve">INTERFLEX IF6040-2 ITALY</x:t>
  </x:si>
  <x:si>
    <x:t xml:space="preserve">Paolo Radice</x:t>
  </x:si>
  <x:si>
    <x:t xml:space="preserve">APM0001127</x:t>
  </x:si>
  <x:si>
    <x:t xml:space="preserve">INTERFLEX POLYURETHANES</x:t>
  </x:si>
  <x:si>
    <x:t xml:space="preserve">PM/LHP</x:t>
  </x:si>
  <x:si>
    <x:t xml:space="preserve">Werner Pajonk</x:t>
  </x:si>
  <x:si>
    <x:t xml:space="preserve">APM0011902</x:t>
  </x:si>
  <x:si>
    <x:t xml:space="preserve">Interflex Lampertheim</x:t>
  </x:si>
  <x:si>
    <x:t xml:space="preserve">EVM/ELX</x:t>
  </x:si>
  <x:si>
    <x:t xml:space="preserve">Tim Blaschke</x:t>
  </x:si>
  <x:si>
    <x:t xml:space="preserve">APM0009299</x:t>
  </x:si>
  <x:si>
    <x:t xml:space="preserve">Trust Base (BPDD)</x:t>
  </x:si>
  <x:si>
    <x:t xml:space="preserve">Harmonize Trust Base (BPDD)</x:t>
  </x:si>
  <x:si>
    <x:t xml:space="preserve">Perform Risk Assessment (Provides), Perform Compliance Controls (Provides), Manage Suppliers (Provides)</x:t>
  </x:si>
  <x:si>
    <x:t xml:space="preserve">Fragmented trust base (bpdd) landscape drives inconsistent data and duplicated interfaces; consolidation onto Trust Base (BPDD) Standard is the agreed target state.</x:t>
  </x:si>
  <x:si>
    <x:t xml:space="preserve">Trust Base (BPDD) Standard</x:t>
  </x:si>
  <x:si>
    <x:t xml:space="preserve">CLS/DO</x:t>
  </x:si>
  <x:si>
    <x:t xml:space="preserve">Hans-Juergen Dietrich</x:t>
  </x:si>
  <x:si>
    <x:t xml:space="preserve">Trust SME 1</x:t>
  </x:si>
  <x:si>
    <x:t xml:space="preserve">APM0003619</x:t>
  </x:si>
  <x:si>
    <x:t xml:space="preserve">ABSTELLDATENBANK</x:t>
  </x:si>
  <x:si>
    <x:t xml:space="preserve">Harmonize Turnaround Management</x:t>
  </x:si>
  <x:si>
    <x:t xml:space="preserve">Application delivers a subset of Turnaround Management Standard capability with no differentiating function; retire after migration to the standard platform.</x:t>
  </x:si>
  <x:si>
    <x:t xml:space="preserve">Turnaround Management Standard</x:t>
  </x:si>
  <x:si>
    <x:t xml:space="preserve">ESM/CS</x:t>
  </x:si>
  <x:si>
    <x:t xml:space="preserve">Eberhard Fuchs</x:t>
  </x:si>
  <x:si>
    <x:t xml:space="preserve">Turnaround SME 1</x:t>
  </x:si>
  <x:si>
    <x:t xml:space="preserve">APM0012158</x:t>
  </x:si>
  <x:si>
    <x:t xml:space="preserve">Advanced Turnaround System</x:t>
  </x:si>
  <x:si>
    <x:t xml:space="preserve">Bai Ling JIANG</x:t>
  </x:si>
  <x:si>
    <x:t xml:space="preserve">Turnaround SME 2</x:t>
  </x:si>
  <x:si>
    <x:t xml:space="preserve">APM0010554</x:t>
  </x:si>
  <x:si>
    <x:t xml:space="preserve">BASANT MOBILE DigiTAR</x:t>
  </x:si>
  <x:si>
    <x:t xml:space="preserve">Fragmented turnaround management landscape drives inconsistent data and duplicated interfaces; consolidation onto Turnaround Management Standard is the agreed target state.</x:t>
  </x:si>
  <x:si>
    <x:t xml:space="preserve">Turnaround SME 3</x:t>
  </x:si>
  <x:si>
    <x:t xml:space="preserve">APM0011223</x:t>
  </x:si>
  <x:si>
    <x:t xml:space="preserve">BASANT PLUTOS Afstellingsdatabank</x:t>
  </x:si>
  <x:si>
    <x:t xml:space="preserve">Overlapping turnaround management functionality across sites; harmonising onto Turnaround Management Standard removes redundant support effort and standardises process.</x:t>
  </x:si>
  <x:si>
    <x:t xml:space="preserve">Turnaround SME 4</x:t>
  </x:si>
  <x:si>
    <x:t xml:space="preserve">APM0011776</x:t>
  </x:si>
  <x:si>
    <x:t xml:space="preserve">BASF Seneca Turnover</x:t>
  </x:si>
  <x:si>
    <x:t xml:space="preserve">G-EVC/OC</x:t>
  </x:si>
  <x:si>
    <x:t xml:space="preserve">Nicholas Finch</x:t>
  </x:si>
  <x:si>
    <x:t xml:space="preserve">APM0004223</x:t>
  </x:si>
  <x:si>
    <x:t xml:space="preserve">DATENBANK CMP/NM</x:t>
  </x:si>
  <x:si>
    <x:t xml:space="preserve">Site-local turnaround management duplicates capability already provided by Turnaround Management Standard; consolidate to reduce licence, hosting and support cost.</x:t>
  </x:si>
  <x:si>
    <x:t xml:space="preserve">Stefan Knies</x:t>
  </x:si>
  <x:si>
    <x:t xml:space="preserve">APM0001704</x:t>
  </x:si>
  <x:si>
    <x:t xml:space="preserve">PRIMAVERA - GEISMAR</x:t>
  </x:si>
  <x:si>
    <x:t xml:space="preserve">APM0003252</x:t>
  </x:si>
  <x:si>
    <x:t xml:space="preserve">PRIMAVERA - PA</x:t>
  </x:si>
  <x:si>
    <x:t xml:space="preserve">Provide Plant Maintenance (Provides), Provide Maintenance Management (Provides)</x:t>
  </x:si>
  <x:si>
    <x:t xml:space="preserve">N-CPN/PX</x:t>
  </x:si>
  <x:si>
    <x:t xml:space="preserve">Paul Montes</x:t>
  </x:si>
  <x:si>
    <x:t xml:space="preserve">APM0011776; APM0010554</x:t>
  </x:si>
  <x:si>
    <x:t xml:space="preserve">APM0004354</x:t>
  </x:si>
  <x:si>
    <x:t xml:space="preserve">PRIMAVERA P6 - RTP</x:t>
  </x:si>
  <x:si>
    <x:t xml:space="preserve">GEC/EP</x:t>
  </x:si>
  <x:si>
    <x:t xml:space="preserve">Michael Shubrook</x:t>
  </x:si>
  <x:si>
    <x:t xml:space="preserve">APM0001705</x:t>
  </x:si>
  <x:si>
    <x:t xml:space="preserve">PRIMAVERA P6 GEM/OP</x:t>
  </x:si>
  <x:si>
    <x:t xml:space="preserve">Alexander Neumann</x:t>
  </x:si>
  <x:si>
    <x:t xml:space="preserve">APM0001934</x:t>
  </x:si>
  <x:si>
    <x:t xml:space="preserve">PRIMAVERA RMS</x:t>
  </x:si>
  <x:si>
    <x:t xml:space="preserve">ESO/CT</x:t>
  </x:si>
  <x:si>
    <x:t xml:space="preserve">Andreas Damm</x:t>
  </x:si>
  <x:si>
    <x:t xml:space="preserve">APM0001706</x:t>
  </x:si>
  <x:si>
    <x:t xml:space="preserve">PRIMAVERA-RMSe Spain</x:t>
  </x:si>
  <x:si>
    <x:t xml:space="preserve">Provide Turnaround Management (Provides), Provide Plant Maintenance (Provides)</x:t>
  </x:si>
  <x:si>
    <x:t xml:space="preserve">E-CPB/O</x:t>
  </x:si>
  <x:si>
    <x:t xml:space="preserve">JOSE MANUEL GONZALEZ</x:t>
  </x:si>
  <x:si>
    <x:t xml:space="preserve">APM0011053</x:t>
  </x:si>
  <x:si>
    <x:t xml:space="preserve">PTAProdWebSchd</x:t>
  </x:si>
  <x:si>
    <x:t xml:space="preserve">Mark Foster</x:t>
  </x:si>
  <x:si>
    <x:t xml:space="preserve">APM0008824</x:t>
  </x:si>
  <x:si>
    <x:t xml:space="preserve">Primavera Freeport</x:t>
  </x:si>
  <x:si>
    <x:t xml:space="preserve">Provide Turnaround Management (Provides), Provide Construction (Provides)</x:t>
  </x:si>
  <x:si>
    <x:t xml:space="preserve">N-CMN/PA</x:t>
  </x:si>
  <x:si>
    <x:t xml:space="preserve">Joshua Glasgow</x:t>
  </x:si>
  <x:si>
    <x:t xml:space="preserve">APM0003942</x:t>
  </x:si>
  <x:si>
    <x:t xml:space="preserve">Primavera P6 EPPM - GI</x:t>
  </x:si>
  <x:si>
    <x:t xml:space="preserve">AMP/OC</x:t>
  </x:si>
  <x:si>
    <x:t xml:space="preserve">Ram Anilkumar Venkateshwarlu MEDA</x:t>
  </x:si>
  <x:si>
    <x:t xml:space="preserve">APM0002245</x:t>
  </x:si>
  <x:si>
    <x:t xml:space="preserve">RMSE</x:t>
  </x:si>
  <x:si>
    <x:t xml:space="preserve">Kristian Vukelic</x:t>
  </x:si>
  <x:si>
    <x:t xml:space="preserve">APM0003847</x:t>
  </x:si>
  <x:si>
    <x:t xml:space="preserve">RMSEORA</x:t>
  </x:si>
  <x:si>
    <x:t xml:space="preserve">APM0010325</x:t>
  </x:si>
  <x:si>
    <x:t xml:space="preserve">Toadfly SW Suite for Turnarounds</x:t>
  </x:si>
  <x:si>
    <x:t xml:space="preserve">GEC/DA</x:t>
  </x:si>
  <x:si>
    <x:t xml:space="preserve">Gabriela Lugo</x:t>
  </x:si>
  <x:si>
    <x:t xml:space="preserve">APM0001950</x:t>
  </x:si>
  <x:si>
    <x:t xml:space="preserve">Turnaround Management System (TMS)</x:t>
  </x:si>
  <x:si>
    <x:t xml:space="preserve">ESP/TVS</x:t>
  </x:si>
  <x:si>
    <x:t xml:space="preserve">Wannes Vincentie</x:t>
  </x:si>
  <x:si>
    <x:t xml:space="preserve">APM0001850</x:t>
  </x:si>
  <x:si>
    <x:t xml:space="preserve">IPMS</x:t>
  </x:si>
  <x:si>
    <x:t xml:space="preserve">Modernize IPMS-Anaqua</x:t>
  </x:si>
  <x:si>
    <x:t xml:space="preserve">Manage Intellectual Property (Provides)</x:t>
  </x:si>
  <x:si>
    <x:t xml:space="preserve">Legacy technology stack is out of vendor support and cannot meet current security baseline; re-platform onto Anaqua IPMS.</x:t>
  </x:si>
  <x:si>
    <x:t xml:space="preserve">Anaqua IPMS</x:t>
  </x:si>
  <x:si>
    <x:t xml:space="preserve">GBI/DO-IA</x:t>
  </x:si>
  <x:si>
    <x:t xml:space="preserve">Bianca Hedtke</x:t>
  </x:si>
  <x:si>
    <x:t xml:space="preserve">IPMS-Anaqua SME 1</x:t>
  </x:si>
  <x:si>
    <x:t xml:space="preserve">APM0007994</x:t>
  </x:si>
  <x:si>
    <x:t xml:space="preserve">PAuL</x:t>
  </x:si>
  <x:si>
    <x:t xml:space="preserve">Modernize PAuL (Personal, Anlagen und Logistik)</x:t>
  </x:si>
  <x:si>
    <x:t xml:space="preserve">Track employee training and match it to operational requirements (Provides), Schedule plant equipment and assign it to production (Provides), Report on manufacturing operations (Provides)</x:t>
  </x:si>
  <x:si>
    <x:t xml:space="preserve">Medium data structures and unsupported runtime prevent cloud adoption; re-architect onto PAuL Target Architecture.</x:t>
  </x:si>
  <x:si>
    <x:t xml:space="preserve">PAuL Target Architecture</x:t>
  </x:si>
  <x:si>
    <x:t xml:space="preserve">G-PM/AOL</x:t>
  </x:si>
  <x:si>
    <x:t xml:space="preserve">Bastian Brehme</x:t>
  </x:si>
  <x:si>
    <x:t xml:space="preserve">PAuL SME 1</x:t>
  </x:si>
  <x:si>
    <x:t xml:space="preserve">Topic Summary — scope, effort and completeness</x:t>
  </x:si>
  <x:si>
    <x:t xml:space="preserve">All figures calculate from Wave_Plan_Input.</x:t>
  </x:si>
  <x:si>
    <x:t xml:space="preserve">Topic</x:t>
  </x:si>
  <x:si>
    <x:t xml:space="preserve">Applications</x:t>
  </x:si>
  <x:si>
    <x:t xml:space="preserve">Size Captured</x:t>
  </x:si>
  <x:si>
    <x:t xml:space="preserve">Complexity Captured</x:t>
  </x:si>
  <x:si>
    <x:t xml:space="preserve">Rationale Captured</x:t>
  </x:si>
  <x:si>
    <x:t xml:space="preserve">% Complete</x:t>
  </x:si>
  <x:si>
    <x:t xml:space="preserve">Quick Wins</x:t>
  </x:si>
  <x:si>
    <x:t xml:space="preserve">TOTAL</x:t>
  </x:si>
</x:sst>
</file>

<file path=xl/styles.xml><?xml version="1.0" encoding="utf-8"?>
<x:styleSheet xmlns:x="http://schemas.openxmlformats.org/spreadsheetml/2006/main">
  <x:numFmts count="3">
    <x:numFmt numFmtId="164" formatCode="#,##0.0"/>
    <x:numFmt numFmtId="165" formatCode="yyyy\-mm\-dd"/>
    <x:numFmt numFmtId="166" formatCode="0.0%"/>
  </x:numFmts>
  <x:fonts count="10">
    <x:font>
      <x:sz val="11"/>
      <x:color theme="1"/>
      <x:name val="Calibri"/>
    </x:font>
    <x:font>
      <x:b/>
      <x:sz val="14"/>
      <x:color rgb="FF004A96"/>
      <x:name val="Arial"/>
    </x:font>
    <x:font>
      <x:i/>
      <x:sz val="10"/>
      <x:name val="Arial"/>
    </x:font>
    <x:font>
      <x:b/>
      <x:sz val="10"/>
      <x:name val="Arial"/>
    </x:font>
    <x:font>
      <x:sz val="10"/>
      <x:name val="Arial"/>
    </x:font>
    <x:font>
      <x:b/>
      <x:sz val="10"/>
      <x:color rgb="FFFFFFFF"/>
      <x:name val="Arial"/>
    </x:font>
    <x:font>
      <x:i/>
      <x:sz val="9"/>
      <x:name val="Arial"/>
    </x:font>
    <x:font>
      <x:i/>
      <x:sz val="9"/>
      <x:color rgb="FFC00000"/>
      <x:name val="Arial"/>
    </x:font>
    <x:font>
      <x:i/>
      <x:sz val="9"/>
      <x:color rgb="FF808080"/>
      <x:name val="Arial"/>
    </x:font>
    <x:font>
      <x:sz val="10"/>
      <x:name val="Noto Sans CJK SC"/>
    </x:font>
  </x:fonts>
  <x:fills count="6">
    <x:fill>
      <x:patternFill patternType="none"/>
    </x:fill>
    <x:fill>
      <x:patternFill patternType="gray125"/>
    </x:fill>
    <x:fill>
      <x:patternFill patternType="solid">
        <x:fgColor rgb="FFD9E6F2"/>
      </x:patternFill>
    </x:fill>
    <x:fill>
      <x:patternFill patternType="solid">
        <x:fgColor rgb="FF004A96"/>
      </x:patternFill>
    </x:fill>
    <x:fill>
      <x:patternFill patternType="solid">
        <x:fgColor rgb="FFEAEAEA"/>
      </x:patternFill>
    </x:fill>
    <x:fill>
      <x:patternFill patternType="solid">
        <x:fgColor rgb="FFFFFF99"/>
      </x:patternFill>
    </x:fill>
  </x:fills>
  <x:borders count="2">
    <x:border/>
    <x:border>
      <x:left style="thin">
        <x:color rgb="FFB0B0B0"/>
      </x:left>
      <x:right style="thin">
        <x:color rgb="FFB0B0B0"/>
      </x:right>
      <x:top style="thin">
        <x:color rgb="FFB0B0B0"/>
      </x:top>
      <x:bottom style="thin">
        <x:color rgb="FFB0B0B0"/>
      </x:bottom>
    </x:border>
  </x:borders>
  <x:cellStyleXfs count="1">
    <x:xf numFmtId="0" fontId="0" fillId="0" borderId="0"/>
  </x:cellStyleXfs>
  <x:cellXfs count="43">
    <x:xf numFmtId="0" fontId="0" fillId="0" borderId="0" xfId="0"/>
    <x:xf numFmtId="0" fontId="1" fillId="0" borderId="0" xfId="0" applyFont="1"/>
    <x:xf numFmtId="0" fontId="2" fillId="0" borderId="0" xfId="0" applyFont="1"/>
    <x:xf numFmtId="0" fontId="3" fillId="2" borderId="0" xfId="0" applyFont="1" applyFill="1"/>
    <x:xf numFmtId="0" fontId="0" fillId="2" borderId="0" xfId="0" applyFill="1"/>
    <x:xf numFmtId="0" fontId="4" fillId="0" borderId="0" xfId="0" applyFont="1"/>
    <x:xf numFmtId="0" fontId="4" fillId="0" borderId="0" xfId="0" applyFont="1" applyAlignment="1">
      <x:alignment vertical="top" wrapText="1"/>
    </x:xf>
    <x:xf numFmtId="0" fontId="5" fillId="3" borderId="0" xfId="0" applyFont="1" applyFill="1"/>
    <x:xf numFmtId="0" fontId="4" fillId="4" borderId="1" xfId="0" applyFont="1" applyFill="1" applyBorder="1"/>
    <x:xf numFmtId="0" fontId="4" fillId="0" borderId="1" xfId="0" applyFont="1" applyBorder="1" applyAlignment="1">
      <x:alignment vertical="top" wrapText="1"/>
    </x:xf>
    <x:xf numFmtId="0" fontId="6" fillId="0" borderId="0" xfId="0" applyFont="1"/>
    <x:xf numFmtId="0" fontId="5" fillId="3" borderId="1" xfId="0" applyFont="1" applyFill="1" applyBorder="1" applyAlignment="1">
      <x:alignment horizontal="center" vertical="center" wrapText="1"/>
    </x:xf>
    <x:xf numFmtId="0" fontId="4" fillId="0" borderId="1" xfId="0" applyFont="1" applyBorder="1"/>
    <x:xf numFmtId="164" fontId="4" fillId="0" borderId="1" xfId="0" applyNumberFormat="1" applyFont="1" applyBorder="1"/>
    <x:xf numFmtId="0" fontId="3" fillId="0" borderId="0" xfId="0" applyFont="1"/>
    <x:xf numFmtId="3" fontId="4" fillId="0" borderId="0" xfId="0" applyNumberFormat="1" applyFont="1"/>
    <x:xf numFmtId="0" fontId="5" fillId="3" borderId="1" xfId="0" applyFont="1" applyFill="1" applyBorder="1"/>
    <x:xf numFmtId="0" fontId="4" fillId="5" borderId="1" xfId="0" applyFont="1" applyFill="1" applyBorder="1"/>
    <x:xf numFmtId="0" fontId="6" fillId="0" borderId="0" xfId="0" applyFont="1" applyAlignment="1">
      <x:alignment vertical="top" wrapText="1"/>
    </x:xf>
    <x:xf numFmtId="3" fontId="4" fillId="5" borderId="1" xfId="0" applyNumberFormat="1" applyFont="1" applyFill="1" applyBorder="1"/>
    <x:xf numFmtId="9" fontId="4" fillId="5" borderId="1" xfId="0" applyNumberFormat="1" applyFont="1" applyFill="1" applyBorder="1"/>
    <x:xf numFmtId="9" fontId="3" fillId="0" borderId="1" xfId="0" applyNumberFormat="1" applyFont="1" applyBorder="1"/>
    <x:xf numFmtId="0" fontId="7" fillId="0" borderId="0" xfId="0" applyFont="1"/>
    <x:xf numFmtId="3" fontId="4" fillId="0" borderId="1" xfId="0" applyNumberFormat="1" applyFont="1" applyBorder="1"/>
    <x:xf numFmtId="0" fontId="8" fillId="4" borderId="1" xfId="0" applyFont="1" applyFill="1" applyBorder="1" applyAlignment="1">
      <x:alignment vertical="top"/>
    </x:xf>
    <x:xf numFmtId="0" fontId="8" fillId="4" borderId="1" xfId="0" applyFont="1" applyFill="1" applyBorder="1" applyAlignment="1">
      <x:alignment vertical="top" wrapText="1"/>
    </x:xf>
    <x:xf numFmtId="0" fontId="8" fillId="0" borderId="1" xfId="0" applyFont="1" applyBorder="1" applyAlignment="1">
      <x:alignment vertical="top"/>
    </x:xf>
    <x:xf numFmtId="0" fontId="8" fillId="0" borderId="1" xfId="0" applyFont="1" applyBorder="1" applyAlignment="1">
      <x:alignment vertical="top" wrapText="1"/>
    </x:xf>
    <x:xf numFmtId="3" fontId="8" fillId="0" borderId="1" xfId="0" applyNumberFormat="1" applyFont="1" applyBorder="1" applyAlignment="1">
      <x:alignment vertical="top"/>
    </x:xf>
    <x:xf numFmtId="165" fontId="8" fillId="0" borderId="1" xfId="0" applyNumberFormat="1" applyFont="1" applyBorder="1" applyAlignment="1">
      <x:alignment vertical="top"/>
    </x:xf>
    <x:xf numFmtId="164" fontId="8" fillId="0" borderId="1" xfId="0" applyNumberFormat="1" applyFont="1" applyBorder="1" applyAlignment="1">
      <x:alignment vertical="top"/>
    </x:xf>
    <x:xf numFmtId="0" fontId="4" fillId="4" borderId="1" xfId="0" applyFont="1" applyFill="1" applyBorder="1" applyAlignment="1">
      <x:alignment vertical="top"/>
    </x:xf>
    <x:xf numFmtId="0" fontId="4" fillId="4" borderId="1" xfId="0" applyFont="1" applyFill="1" applyBorder="1" applyAlignment="1">
      <x:alignment vertical="top" wrapText="1"/>
    </x:xf>
    <x:xf numFmtId="0" fontId="4" fillId="5" borderId="1" xfId="0" applyFont="1" applyFill="1" applyBorder="1" applyAlignment="1">
      <x:alignment vertical="top"/>
    </x:xf>
    <x:xf numFmtId="0" fontId="4" fillId="5" borderId="1" xfId="0" applyFont="1" applyFill="1" applyBorder="1" applyAlignment="1">
      <x:alignment vertical="top" wrapText="1"/>
    </x:xf>
    <x:xf numFmtId="3" fontId="4" fillId="5" borderId="1" xfId="0" applyNumberFormat="1" applyFont="1" applyFill="1" applyBorder="1" applyAlignment="1">
      <x:alignment vertical="top"/>
    </x:xf>
    <x:xf numFmtId="165" fontId="4" fillId="5" borderId="1" xfId="0" applyNumberFormat="1" applyFont="1" applyFill="1" applyBorder="1" applyAlignment="1">
      <x:alignment vertical="top"/>
    </x:xf>
    <x:xf numFmtId="164" fontId="4" fillId="0" borderId="1" xfId="0" applyNumberFormat="1" applyFont="1" applyBorder="1" applyAlignment="1">
      <x:alignment vertical="top"/>
    </x:xf>
    <x:xf numFmtId="164" fontId="4" fillId="5" borderId="1" xfId="0" applyNumberFormat="1" applyFont="1" applyFill="1" applyBorder="1" applyAlignment="1">
      <x:alignment vertical="top"/>
    </x:xf>
    <x:xf numFmtId="166" fontId="4" fillId="0" borderId="1" xfId="0" applyNumberFormat="1" applyFont="1" applyBorder="1"/>
    <x:xf numFmtId="3" fontId="3" fillId="2" borderId="1" xfId="0" applyNumberFormat="1" applyFont="1" applyFill="1" applyBorder="1"/>
    <x:xf numFmtId="166" fontId="3" fillId="2" borderId="1" xfId="0" applyNumberFormat="1" applyFont="1" applyFill="1" applyBorder="1"/>
    <x:xf numFmtId="164" fontId="3" fillId="2" borderId="1" xfId="0" applyNumberFormat="1" applyFont="1" applyFill="1" applyBorder="1"/>
  </x:cellXfs>
  <x:cellStyles count="1">
    <x:cellStyle name="Normal"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0B0B0"/>
      <x:rgbColor rgb="FF808080"/>
      <x:rgbColor rgb="FF9999FF"/>
      <x:rgbColor rgb="FF993366"/>
      <x:rgbColor rgb="FFEAEAEA"/>
      <x:rgbColor rgb="FFD9E6F2"/>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4A96"/>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d1a68296174b0c" /><Relationship Type="http://schemas.openxmlformats.org/officeDocument/2006/relationships/theme" Target="/xl/theme/theme1.xml" Id="R7231bb43b45f4a4f" /><Relationship Type="http://schemas.openxmlformats.org/officeDocument/2006/relationships/sharedStrings" Target="/xl/sharedStrings.xml" Id="Rf1e54a304b9d49b6" /><Relationship Type="http://schemas.openxmlformats.org/officeDocument/2006/relationships/worksheet" Target="/xl/worksheets/sheet1.xml" Id="R0974693952004fb5" /><Relationship Type="http://schemas.openxmlformats.org/officeDocument/2006/relationships/worksheet" Target="/xl/worksheets/sheet2.xml" Id="Raa32861a022941ce" /><Relationship Type="http://schemas.openxmlformats.org/officeDocument/2006/relationships/worksheet" Target="/xl/worksheets/sheet3.xml" Id="Rb87bed1483324409" /><Relationship Type="http://schemas.openxmlformats.org/officeDocument/2006/relationships/worksheet" Target="/xl/worksheets/sheet4.xml" Id="R0b52e0f83a874134" /><Relationship Type="http://schemas.openxmlformats.org/officeDocument/2006/relationships/worksheet" Target="/xl/worksheets/sheet5.xml" Id="R6a57cf6e0d05457c" /><Relationship Type="http://schemas.openxmlformats.org/officeDocument/2006/relationships/worksheet" Target="/xl/worksheets/sheet6.xml" Id="Rdffb58e77a854472" /><Relationship Type="http://schemas.openxmlformats.org/officeDocument/2006/relationships/worksheet" Target="/xl/worksheets/sheet7.xml" Id="R5062e5106b534a01"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640625" defaultRowHeight="14.399999618530273"/>
  <x:cols>
    <x:col min="1" max="1" width="3" customWidth="1"/>
    <x:col min="2" max="2" width="34" customWidth="1"/>
    <x:col min="3" max="3" width="96" customWidth="1"/>
  </x:cols>
  <x:sheetData>
    <x:row r="2" ht="17.25" customHeight="1">
      <x:c r="B2" s="1" t="s">
        <x:v>0</x:v>
      </x:c>
    </x:row>
    <x:row r="3" ht="15" customHeight="1">
      <x:c r="B3" s="2" t="s">
        <x:v>1</x:v>
      </x:c>
    </x:row>
    <x:row r="5" ht="15" customHeight="1">
      <x:c r="B5" s="3" t="s">
        <x:v>2</x:v>
      </x:c>
      <x:c r="C5" s="4"/>
    </x:row>
    <x:row r="6" ht="27.75" customHeight="1">
      <x:c r="B6" s="5" t="s">
        <x:v>3</x:v>
      </x:c>
      <x:c r="C6" s="6" t="s">
        <x:v>4</x:v>
      </x:c>
    </x:row>
    <x:row r="7" ht="27.75" customHeight="1">
      <x:c r="B7" s="5" t="s">
        <x:v>5</x:v>
      </x:c>
      <x:c r="C7" s="6" t="s">
        <x:v>6</x:v>
      </x:c>
    </x:row>
    <x:row r="8" ht="27.75" customHeight="1">
      <x:c r="B8" s="5" t="s">
        <x:v>7</x:v>
      </x:c>
      <x:c r="C8" s="6" t="s">
        <x:v>8</x:v>
      </x:c>
    </x:row>
    <x:row r="10" ht="15" customHeight="1">
      <x:c r="B10" s="3" t="s">
        <x:v>9</x:v>
      </x:c>
      <x:c r="C10" s="4"/>
    </x:row>
    <x:row r="11" ht="13.5" customHeight="1">
      <x:c r="B11" s="5" t="s">
        <x:v>10</x:v>
      </x:c>
      <x:c r="C11" s="6" t="s">
        <x:v>11</x:v>
      </x:c>
    </x:row>
    <x:row r="12" ht="13.5" customHeight="1">
      <x:c r="B12" s="5" t="s">
        <x:v>12</x:v>
      </x:c>
      <x:c r="C12" s="6" t="s">
        <x:v>13</x:v>
      </x:c>
    </x:row>
    <x:row r="13" ht="13.5" customHeight="1">
      <x:c r="B13" s="5" t="s">
        <x:v>14</x:v>
      </x:c>
      <x:c r="C13" s="6" t="s">
        <x:v>15</x:v>
      </x:c>
    </x:row>
    <x:row r="14" ht="13.5" customHeight="1">
      <x:c r="B14" s="5" t="s">
        <x:v>16</x:v>
      </x:c>
      <x:c r="C14" s="6" t="s">
        <x:v>17</x:v>
      </x:c>
    </x:row>
    <x:row r="15" ht="13.5" customHeight="1">
      <x:c r="B15" s="5" t="s">
        <x:v>18</x:v>
      </x:c>
      <x:c r="C15" s="6" t="s">
        <x:v>19</x:v>
      </x:c>
    </x:row>
    <x:row r="16" ht="13.5" customHeight="1">
      <x:c r="B16" s="5" t="s">
        <x:v>20</x:v>
      </x:c>
      <x:c r="C16" s="6" t="s">
        <x:v>21</x:v>
      </x:c>
    </x:row>
    <x:row r="18" ht="15" customHeight="1">
      <x:c r="B18" s="3" t="s">
        <x:v>22</x:v>
      </x:c>
      <x:c r="C18" s="4"/>
    </x:row>
    <x:row r="19" ht="13.5" customHeight="1">
      <x:c r="B19" s="5" t="s">
        <x:v>23</x:v>
      </x:c>
      <x:c r="C19" s="6" t="s">
        <x:v>24</x:v>
      </x:c>
    </x:row>
    <x:row r="20" ht="13.5" customHeight="1">
      <x:c r="B20" s="5" t="s">
        <x:v>25</x:v>
      </x:c>
      <x:c r="C20" s="6" t="s">
        <x:v>26</x:v>
      </x:c>
    </x:row>
    <x:row r="21" ht="13.5" customHeight="1">
      <x:c r="B21" s="5" t="s">
        <x:v>27</x:v>
      </x:c>
      <x:c r="C21" s="6" t="s">
        <x:v>28</x:v>
      </x:c>
    </x:row>
    <x:row r="22" ht="13.5" customHeight="1">
      <x:c r="B22" s="5" t="s">
        <x:v>29</x:v>
      </x:c>
      <x:c r="C22" s="6" t="s">
        <x:v>30</x:v>
      </x:c>
    </x:row>
    <x:row r="24" ht="15" customHeight="1">
      <x:c r="B24" s="3" t="s">
        <x:v>31</x:v>
      </x:c>
      <x:c r="C24" s="4"/>
    </x:row>
    <x:row r="25" ht="13.5" customHeight="1">
      <x:c r="B25" s="5" t="s">
        <x:v>32</x:v>
      </x:c>
      <x:c r="C25" s="6" t="s">
        <x:v>33</x:v>
      </x:c>
    </x:row>
    <x:row r="26" ht="13.5" customHeight="1">
      <x:c r="B26" s="5" t="s">
        <x:v>34</x:v>
      </x:c>
      <x:c r="C26" s="6" t="s">
        <x:v>35</x:v>
      </x:c>
    </x:row>
    <x:row r="27" ht="13.5" customHeight="1">
      <x:c r="B27" s="5" t="s">
        <x:v>36</x:v>
      </x:c>
      <x:c r="C27" s="6" t="s">
        <x:v>37</x:v>
      </x:c>
    </x:row>
    <x:row r="28" ht="13.5" customHeight="1">
      <x:c r="B28" s="5" t="s">
        <x:v>38</x:v>
      </x:c>
      <x:c r="C28" s="6" t="s">
        <x:v>39</x:v>
      </x:c>
    </x:row>
    <x:row r="29" ht="13.5" customHeight="1">
      <x:c r="B29" s="5" t="s">
        <x:v>40</x:v>
      </x:c>
      <x:c r="C29" s="6" t="s">
        <x:v>41</x:v>
      </x:c>
    </x:row>
    <x:row r="30" ht="13.5" customHeight="1">
      <x:c r="B30" s="5" t="s">
        <x:v>42</x:v>
      </x:c>
      <x:c r="C30" s="6" t="s">
        <x:v>43</x:v>
      </x:c>
    </x:row>
    <x:row r="32" ht="15" customHeight="1">
      <x:c r="B32" s="3" t="s">
        <x:v>44</x:v>
      </x:c>
      <x:c r="C32" s="4"/>
    </x:row>
    <x:row r="33" ht="27.75" customHeight="1">
      <x:c r="B33" s="5" t="s">
        <x:v>45</x:v>
      </x:c>
      <x:c r="C33" s="6" t="s">
        <x:v>46</x:v>
      </x:c>
    </x:row>
    <x:row r="34" ht="27.75" customHeight="1">
      <x:c r="B34" s="5" t="s">
        <x:v>47</x:v>
      </x:c>
      <x:c r="C34" s="6" t="s">
        <x:v>48</x:v>
      </x:c>
    </x:row>
    <x:row r="35" ht="27.75" customHeight="1">
      <x:c r="B35" s="5" t="s">
        <x:v>49</x:v>
      </x:c>
      <x:c r="C35" s="6" t="s">
        <x:v>50</x:v>
      </x:c>
    </x:row>
    <x:row r="36" ht="27.75" customHeight="1">
      <x:c r="B36" s="5" t="s">
        <x:v>51</x:v>
      </x:c>
      <x:c r="C36" s="6" t="s">
        <x:v>52</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640625" defaultRowHeight="14.399999618530273"/>
  <x:cols>
    <x:col min="1" max="1" width="3" customWidth="1"/>
    <x:col min="2" max="2" width="26" customWidth="1"/>
    <x:col min="3" max="3" width="82" customWidth="1"/>
  </x:cols>
  <x:sheetData>
    <x:row r="2" ht="17.25" customHeight="1">
      <x:c r="B2" s="1" t="s">
        <x:v>53</x:v>
      </x:c>
    </x:row>
    <x:row r="4" ht="15" customHeight="1">
      <x:c r="B4" s="7" t="s">
        <x:v>54</x:v>
      </x:c>
      <x:c r="C4" s="7" t="s">
        <x:v>55</x:v>
      </x:c>
    </x:row>
    <x:row r="5" ht="15" customHeight="1">
      <x:c r="B5" s="8" t="s">
        <x:v>56</x:v>
      </x:c>
      <x:c r="C5" s="9" t="s">
        <x:v>57</x:v>
      </x:c>
    </x:row>
    <x:row r="6" ht="15" customHeight="1">
      <x:c r="B6" s="8" t="s">
        <x:v>58</x:v>
      </x:c>
      <x:c r="C6" s="9" t="s">
        <x:v>59</x:v>
      </x:c>
    </x:row>
    <x:row r="7" ht="15" customHeight="1">
      <x:c r="B7" s="8" t="s">
        <x:v>60</x:v>
      </x:c>
      <x:c r="C7" s="9" t="s">
        <x:v>61</x:v>
      </x:c>
    </x:row>
    <x:row r="8" ht="15" customHeight="1">
      <x:c r="B8" s="8" t="s">
        <x:v>62</x:v>
      </x:c>
      <x:c r="C8" s="9" t="s">
        <x:v>63</x:v>
      </x:c>
    </x:row>
    <x:row r="9" ht="15" customHeight="1">
      <x:c r="B9" s="8" t="s">
        <x:v>64</x:v>
      </x:c>
      <x:c r="C9" s="9" t="s">
        <x:v>65</x:v>
      </x:c>
    </x:row>
    <x:row r="10" ht="15" customHeight="1">
      <x:c r="B10" s="8" t="s">
        <x:v>66</x:v>
      </x:c>
      <x:c r="C10" s="9" t="s">
        <x:v>67</x:v>
      </x:c>
    </x:row>
    <x:row r="11" ht="15" customHeight="1">
      <x:c r="B11" s="8" t="s">
        <x:v>68</x:v>
      </x:c>
      <x:c r="C11" s="9" t="s">
        <x:v>69</x:v>
      </x:c>
    </x:row>
    <x:row r="13" ht="15" customHeight="1">
      <x:c r="B13" s="7" t="s">
        <x:v>70</x:v>
      </x:c>
      <x:c r="C13" s="7" t="s">
        <x:v>55</x:v>
      </x:c>
    </x:row>
    <x:row r="14" ht="15" customHeight="1">
      <x:c r="B14" s="8" t="s">
        <x:v>71</x:v>
      </x:c>
      <x:c r="C14" s="9" t="s">
        <x:v>72</x:v>
      </x:c>
    </x:row>
    <x:row r="15" ht="15" customHeight="1">
      <x:c r="B15" s="8" t="s">
        <x:v>73</x:v>
      </x:c>
      <x:c r="C15" s="9" t="s">
        <x:v>74</x:v>
      </x:c>
    </x:row>
    <x:row r="16" ht="15" customHeight="1">
      <x:c r="B16" s="8" t="s">
        <x:v>75</x:v>
      </x:c>
      <x:c r="C16" s="9" t="s">
        <x:v>76</x:v>
      </x:c>
    </x:row>
    <x:row r="17" ht="15" customHeight="1">
      <x:c r="B17" s="8" t="s">
        <x:v>77</x:v>
      </x:c>
      <x:c r="C17" s="9" t="s">
        <x:v>78</x:v>
      </x:c>
    </x:row>
    <x:row r="19" ht="15" customHeight="1">
      <x:c r="B19" s="7" t="s">
        <x:v>79</x:v>
      </x:c>
      <x:c r="C19" s="7" t="s">
        <x:v>55</x:v>
      </x:c>
    </x:row>
    <x:row r="20" ht="15" customHeight="1">
      <x:c r="B20" s="8" t="s">
        <x:v>80</x:v>
      </x:c>
      <x:c r="C20" s="9" t="s">
        <x:v>81</x:v>
      </x:c>
    </x:row>
    <x:row r="21" ht="15" customHeight="1">
      <x:c r="B21" s="8" t="s">
        <x:v>82</x:v>
      </x:c>
      <x:c r="C21" s="9" t="s">
        <x:v>83</x:v>
      </x:c>
    </x:row>
    <x:row r="22" ht="15" customHeight="1">
      <x:c r="B22" s="8" t="s">
        <x:v>84</x:v>
      </x:c>
      <x:c r="C22" s="9" t="s">
        <x:v>85</x:v>
      </x:c>
    </x:row>
    <x:row r="24" ht="15" customHeight="1">
      <x:c r="B24" s="7" t="s">
        <x:v>86</x:v>
      </x:c>
      <x:c r="C24" s="7" t="s">
        <x:v>55</x:v>
      </x:c>
    </x:row>
    <x:row r="25" ht="15" customHeight="1">
      <x:c r="B25" s="8" t="s">
        <x:v>87</x:v>
      </x:c>
      <x:c r="C25" s="9" t="s">
        <x:v>88</x:v>
      </x:c>
    </x:row>
    <x:row r="26" ht="15" customHeight="1">
      <x:c r="B26" s="8" t="s">
        <x:v>89</x:v>
      </x:c>
      <x:c r="C26" s="9" t="s">
        <x:v>90</x:v>
      </x:c>
    </x:row>
    <x:row r="27" ht="15" customHeight="1">
      <x:c r="B27" s="8" t="s">
        <x:v>91</x:v>
      </x:c>
      <x:c r="C27" s="9" t="s">
        <x:v>92</x:v>
      </x:c>
    </x:row>
    <x:row r="28" ht="15" customHeight="1">
      <x:c r="B28" s="8" t="s">
        <x:v>93</x:v>
      </x:c>
      <x:c r="C28" s="9" t="s">
        <x:v>94</x:v>
      </x:c>
    </x:row>
    <x:row r="29" ht="15" customHeight="1">
      <x:c r="B29" s="8" t="s">
        <x:v>95</x:v>
      </x:c>
      <x:c r="C29" s="9" t="s">
        <x:v>96</x:v>
      </x:c>
    </x:row>
    <x:row r="31" ht="15" customHeight="1">
      <x:c r="B31" s="7" t="s">
        <x:v>97</x:v>
      </x:c>
      <x:c r="C31" s="7" t="s">
        <x:v>55</x:v>
      </x:c>
    </x:row>
    <x:row r="32" ht="15" customHeight="1">
      <x:c r="B32" s="8" t="s">
        <x:v>98</x:v>
      </x:c>
      <x:c r="C32" s="9" t="s">
        <x:v>99</x:v>
      </x:c>
    </x:row>
    <x:row r="33" ht="15" customHeight="1">
      <x:c r="B33" s="8" t="s">
        <x:v>73</x:v>
      </x:c>
      <x:c r="C33" s="9" t="s">
        <x:v>100</x:v>
      </x:c>
    </x:row>
    <x:row r="34" ht="15" customHeight="1">
      <x:c r="B34" s="8" t="s">
        <x:v>101</x:v>
      </x:c>
      <x:c r="C34" s="9" t="s">
        <x:v>102</x:v>
      </x:c>
    </x:row>
    <x:row r="35" ht="15" customHeight="1">
      <x:c r="B35" s="8" t="s">
        <x:v>103</x:v>
      </x:c>
      <x:c r="C35" s="9" t="s">
        <x:v>104</x:v>
      </x:c>
    </x:row>
    <x:row r="37" ht="15" customHeight="1">
      <x:c r="B37" s="7" t="s">
        <x:v>105</x:v>
      </x:c>
      <x:c r="C37" s="7" t="s">
        <x:v>55</x:v>
      </x:c>
    </x:row>
    <x:row r="38" ht="15" customHeight="1">
      <x:c r="B38" s="8" t="s">
        <x:v>98</x:v>
      </x:c>
      <x:c r="C38" s="9" t="s">
        <x:v>106</x:v>
      </x:c>
    </x:row>
    <x:row r="39" ht="15" customHeight="1">
      <x:c r="B39" s="8" t="s">
        <x:v>73</x:v>
      </x:c>
      <x:c r="C39" s="9" t="s">
        <x:v>107</x:v>
      </x:c>
    </x:row>
    <x:row r="40" ht="15" customHeight="1">
      <x:c r="B40" s="8" t="s">
        <x:v>101</x:v>
      </x:c>
      <x:c r="C40" s="9" t="s">
        <x:v>108</x:v>
      </x:c>
    </x:row>
    <x:row r="41" ht="15" customHeight="1">
      <x:c r="B41" s="8" t="s">
        <x:v>109</x:v>
      </x:c>
      <x:c r="C41" s="9" t="s">
        <x:v>110</x:v>
      </x:c>
    </x:row>
    <x:row r="43" ht="15" customHeight="1">
      <x:c r="B43" s="7" t="s">
        <x:v>111</x:v>
      </x:c>
      <x:c r="C43" s="7" t="s">
        <x:v>55</x:v>
      </x:c>
    </x:row>
    <x:row r="44" ht="15" customHeight="1">
      <x:c r="B44" s="8" t="s">
        <x:v>98</x:v>
      </x:c>
      <x:c r="C44" s="9" t="s">
        <x:v>112</x:v>
      </x:c>
    </x:row>
    <x:row r="45" ht="15" customHeight="1">
      <x:c r="B45" s="8" t="s">
        <x:v>73</x:v>
      </x:c>
      <x:c r="C45" s="9" t="s">
        <x:v>113</x:v>
      </x:c>
    </x:row>
    <x:row r="46" ht="15" customHeight="1">
      <x:c r="B46" s="8" t="s">
        <x:v>101</x:v>
      </x:c>
      <x:c r="C46" s="9" t="s">
        <x:v>114</x:v>
      </x:c>
    </x:row>
    <x:row r="47" ht="15" customHeight="1">
      <x:c r="B47" s="8" t="s">
        <x:v>115</x:v>
      </x:c>
      <x:c r="C47" s="9" t="s">
        <x:v>116</x:v>
      </x:c>
    </x:row>
    <x:row r="49" ht="15" customHeight="1">
      <x:c r="B49" s="7" t="s">
        <x:v>117</x:v>
      </x:c>
      <x:c r="C49" s="7" t="s">
        <x:v>55</x:v>
      </x:c>
    </x:row>
    <x:row r="50" ht="15" customHeight="1">
      <x:c r="B50" s="8" t="s">
        <x:v>118</x:v>
      </x:c>
      <x:c r="C50" s="9" t="s">
        <x:v>119</x:v>
      </x:c>
    </x:row>
    <x:row r="51" ht="15" customHeight="1">
      <x:c r="B51" s="8" t="s">
        <x:v>120</x:v>
      </x:c>
      <x:c r="C51" s="9" t="s">
        <x:v>121</x:v>
      </x:c>
    </x:row>
    <x:row r="53" ht="15" customHeight="1">
      <x:c r="B53" s="7" t="s">
        <x:v>122</x:v>
      </x:c>
      <x:c r="C53" s="7" t="s">
        <x:v>55</x:v>
      </x:c>
    </x:row>
    <x:row r="54" ht="15" customHeight="1">
      <x:c r="B54" s="8" t="s">
        <x:v>118</x:v>
      </x:c>
      <x:c r="C54" s="9"/>
    </x:row>
    <x:row r="55" ht="15" customHeight="1">
      <x:c r="B55" s="8" t="s">
        <x:v>120</x:v>
      </x:c>
      <x:c r="C55" s="9"/>
    </x:row>
    <x:row r="57" ht="15" customHeight="1">
      <x:c r="B57" s="7" t="s">
        <x:v>123</x:v>
      </x:c>
      <x:c r="C57" s="7" t="s">
        <x:v>55</x:v>
      </x:c>
    </x:row>
    <x:row r="58" ht="15" customHeight="1">
      <x:c r="B58" s="8" t="s">
        <x:v>124</x:v>
      </x:c>
      <x:c r="C58" s="9"/>
    </x:row>
    <x:row r="59" ht="15" customHeight="1">
      <x:c r="B59" s="8" t="s">
        <x:v>125</x:v>
      </x:c>
      <x:c r="C59" s="9"/>
    </x:row>
    <x:row r="60" ht="15" customHeight="1">
      <x:c r="B60" s="8" t="s">
        <x:v>126</x:v>
      </x:c>
      <x:c r="C60" s="9"/>
    </x:row>
    <x:row r="61" ht="15" customHeight="1">
      <x:c r="B61" s="8" t="s">
        <x:v>127</x:v>
      </x:c>
      <x:c r="C61" s="9"/>
    </x:row>
    <x:row r="62" ht="15" customHeight="1">
      <x:c r="B62" s="8" t="s">
        <x:v>128</x:v>
      </x:c>
      <x:c r="C62" s="9"/>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640625" defaultRowHeight="14.399999618530273"/>
  <x:cols>
    <x:col min="2" max="2" width="16" customWidth="1"/>
    <x:col min="3" max="4" width="14" customWidth="1"/>
    <x:col min="5" max="5" width="16" customWidth="1"/>
    <x:col min="6" max="7" width="18" customWidth="1"/>
    <x:col min="8" max="8" width="16" customWidth="1"/>
    <x:col min="9" max="9" width="20" customWidth="1"/>
    <x:col min="10" max="10" width="18" customWidth="1"/>
  </x:cols>
  <x:sheetData>
    <x:row r="2" ht="17.25" customHeight="1">
      <x:c r="B2" s="1" t="s">
        <x:v>129</x:v>
      </x:c>
    </x:row>
    <x:row r="3" ht="15" customHeight="1">
      <x:c r="B3" s="10" t="s">
        <x:v>130</x:v>
      </x:c>
    </x:row>
    <x:row r="5" ht="30" customHeight="1">
      <x:c r="B5" s="11" t="s">
        <x:v>131</x:v>
      </x:c>
      <x:c r="C5" s="11" t="s">
        <x:v>54</x:v>
      </x:c>
      <x:c r="D5" s="11" t="s">
        <x:v>70</x:v>
      </x:c>
      <x:c r="E5" s="11" t="s">
        <x:v>132</x:v>
      </x:c>
      <x:c r="F5" s="11" t="s">
        <x:v>133</x:v>
      </x:c>
      <x:c r="G5" s="11" t="s">
        <x:v>134</x:v>
      </x:c>
      <x:c r="H5" s="11" t="s">
        <x:v>135</x:v>
      </x:c>
      <x:c r="I5" s="11" t="s">
        <x:v>136</x:v>
      </x:c>
      <x:c r="J5" s="11" t="s">
        <x:v>137</x:v>
      </x:c>
    </x:row>
    <x:row r="6" ht="15" customHeight="1">
      <x:c r="B6" s="12" t="s">
        <x:v>138</x:v>
      </x:c>
      <x:c r="C6" s="12" t="s">
        <x:v>56</x:v>
      </x:c>
      <x:c r="D6" s="12" t="s">
        <x:v>71</x:v>
      </x:c>
      <x:c r="E6" s="13">
        <x:v>10.4</x:v>
      </x:c>
      <x:c r="F6" s="13">
        <x:v>2</x:v>
      </x:c>
      <x:c r="G6" s="13">
        <x:v>2</x:v>
      </x:c>
      <x:c r="H6" s="13">
        <x:v>2</x:v>
      </x:c>
      <x:c r="I6" s="13">
        <x:v>2</x:v>
      </x:c>
      <x:c r="J6" s="13" t="n">
        <x:f t="shared" ref="J6:J33" si="0">E6+F6+G6+H6+I6</x:f>
        <x:v>18.4</x:v>
      </x:c>
    </x:row>
    <x:row r="7" ht="15" customHeight="1">
      <x:c r="B7" s="12" t="s">
        <x:v>139</x:v>
      </x:c>
      <x:c r="C7" s="12" t="s">
        <x:v>58</x:v>
      </x:c>
      <x:c r="D7" s="12" t="s">
        <x:v>71</x:v>
      </x:c>
      <x:c r="E7" s="13">
        <x:v>10.4</x:v>
      </x:c>
      <x:c r="F7" s="13">
        <x:v>4</x:v>
      </x:c>
      <x:c r="G7" s="13">
        <x:v>4</x:v>
      </x:c>
      <x:c r="H7" s="13">
        <x:v>4</x:v>
      </x:c>
      <x:c r="I7" s="13">
        <x:v>4</x:v>
      </x:c>
      <x:c r="J7" s="13">
        <x:f t="shared" si="0"/>
        <x:v>26.4</x:v>
      </x:c>
    </x:row>
    <x:row r="8" ht="15" customHeight="1">
      <x:c r="B8" s="12" t="s">
        <x:v>140</x:v>
      </x:c>
      <x:c r="C8" s="12" t="s">
        <x:v>60</x:v>
      </x:c>
      <x:c r="D8" s="12" t="s">
        <x:v>71</x:v>
      </x:c>
      <x:c r="E8" s="13">
        <x:v>10.4</x:v>
      </x:c>
      <x:c r="F8" s="13">
        <x:v>8</x:v>
      </x:c>
      <x:c r="G8" s="13">
        <x:v>8</x:v>
      </x:c>
      <x:c r="H8" s="13">
        <x:v>8</x:v>
      </x:c>
      <x:c r="I8" s="13">
        <x:v>8</x:v>
      </x:c>
      <x:c r="J8" s="13">
        <x:f t="shared" si="0"/>
        <x:v>42.4</x:v>
      </x:c>
    </x:row>
    <x:row r="9" ht="15" customHeight="1">
      <x:c r="B9" s="12" t="s">
        <x:v>141</x:v>
      </x:c>
      <x:c r="C9" s="12" t="s">
        <x:v>62</x:v>
      </x:c>
      <x:c r="D9" s="12" t="s">
        <x:v>71</x:v>
      </x:c>
      <x:c r="E9" s="13">
        <x:v>10.4</x:v>
      </x:c>
      <x:c r="F9" s="13">
        <x:v>16</x:v>
      </x:c>
      <x:c r="G9" s="13">
        <x:v>16</x:v>
      </x:c>
      <x:c r="H9" s="13">
        <x:v>16</x:v>
      </x:c>
      <x:c r="I9" s="13">
        <x:v>16</x:v>
      </x:c>
      <x:c r="J9" s="13">
        <x:f t="shared" si="0"/>
        <x:v>74.400000000000006</x:v>
      </x:c>
    </x:row>
    <x:row r="10" ht="15" customHeight="1">
      <x:c r="B10" s="12" t="s">
        <x:v>142</x:v>
      </x:c>
      <x:c r="C10" s="12" t="s">
        <x:v>64</x:v>
      </x:c>
      <x:c r="D10" s="12" t="s">
        <x:v>71</x:v>
      </x:c>
      <x:c r="E10" s="13">
        <x:v>10.4</x:v>
      </x:c>
      <x:c r="F10" s="13">
        <x:v>24</x:v>
      </x:c>
      <x:c r="G10" s="13">
        <x:v>24</x:v>
      </x:c>
      <x:c r="H10" s="13">
        <x:v>24</x:v>
      </x:c>
      <x:c r="I10" s="13">
        <x:v>24</x:v>
      </x:c>
      <x:c r="J10" s="13">
        <x:f t="shared" si="0"/>
        <x:v>106.4</x:v>
      </x:c>
    </x:row>
    <x:row r="11" ht="15" customHeight="1">
      <x:c r="B11" s="12" t="s">
        <x:v>143</x:v>
      </x:c>
      <x:c r="C11" s="12" t="s">
        <x:v>66</x:v>
      </x:c>
      <x:c r="D11" s="12" t="s">
        <x:v>71</x:v>
      </x:c>
      <x:c r="E11" s="13">
        <x:v>10.4</x:v>
      </x:c>
      <x:c r="F11" s="13">
        <x:v>32</x:v>
      </x:c>
      <x:c r="G11" s="13">
        <x:v>32</x:v>
      </x:c>
      <x:c r="H11" s="13">
        <x:v>32</x:v>
      </x:c>
      <x:c r="I11" s="13">
        <x:v>32</x:v>
      </x:c>
      <x:c r="J11" s="13">
        <x:f t="shared" si="0"/>
        <x:v>138.4</x:v>
      </x:c>
    </x:row>
    <x:row r="12" ht="15" customHeight="1">
      <x:c r="B12" s="12" t="s">
        <x:v>144</x:v>
      </x:c>
      <x:c r="C12" s="12" t="s">
        <x:v>68</x:v>
      </x:c>
      <x:c r="D12" s="12" t="s">
        <x:v>71</x:v>
      </x:c>
      <x:c r="E12" s="13">
        <x:v>10.4</x:v>
      </x:c>
      <x:c r="F12" s="13">
        <x:v>40</x:v>
      </x:c>
      <x:c r="G12" s="13">
        <x:v>40</x:v>
      </x:c>
      <x:c r="H12" s="13">
        <x:v>40</x:v>
      </x:c>
      <x:c r="I12" s="13">
        <x:v>40</x:v>
      </x:c>
      <x:c r="J12" s="13">
        <x:f t="shared" si="0"/>
        <x:v>170.4</x:v>
      </x:c>
    </x:row>
    <x:row r="13" ht="15" customHeight="1">
      <x:c r="B13" s="12" t="s">
        <x:v>145</x:v>
      </x:c>
      <x:c r="C13" s="12" t="s">
        <x:v>56</x:v>
      </x:c>
      <x:c r="D13" s="12" t="s">
        <x:v>73</x:v>
      </x:c>
      <x:c r="E13" s="13">
        <x:v>13</x:v>
      </x:c>
      <x:c r="F13" s="13">
        <x:v>4</x:v>
      </x:c>
      <x:c r="G13" s="13">
        <x:v>4</x:v>
      </x:c>
      <x:c r="H13" s="13">
        <x:v>4</x:v>
      </x:c>
      <x:c r="I13" s="13">
        <x:v>4</x:v>
      </x:c>
      <x:c r="J13" s="13">
        <x:f t="shared" si="0"/>
        <x:v>29</x:v>
      </x:c>
    </x:row>
    <x:row r="14" ht="15" customHeight="1">
      <x:c r="B14" s="12" t="s">
        <x:v>146</x:v>
      </x:c>
      <x:c r="C14" s="12" t="s">
        <x:v>58</x:v>
      </x:c>
      <x:c r="D14" s="12" t="s">
        <x:v>73</x:v>
      </x:c>
      <x:c r="E14" s="13">
        <x:v>13</x:v>
      </x:c>
      <x:c r="F14" s="13">
        <x:v>8</x:v>
      </x:c>
      <x:c r="G14" s="13">
        <x:v>8</x:v>
      </x:c>
      <x:c r="H14" s="13">
        <x:v>8</x:v>
      </x:c>
      <x:c r="I14" s="13">
        <x:v>8</x:v>
      </x:c>
      <x:c r="J14" s="13">
        <x:f t="shared" si="0"/>
        <x:v>45</x:v>
      </x:c>
    </x:row>
    <x:row r="15" ht="15" customHeight="1">
      <x:c r="B15" s="12" t="s">
        <x:v>147</x:v>
      </x:c>
      <x:c r="C15" s="12" t="s">
        <x:v>60</x:v>
      </x:c>
      <x:c r="D15" s="12" t="s">
        <x:v>73</x:v>
      </x:c>
      <x:c r="E15" s="13">
        <x:v>13</x:v>
      </x:c>
      <x:c r="F15" s="13">
        <x:v>16</x:v>
      </x:c>
      <x:c r="G15" s="13">
        <x:v>16</x:v>
      </x:c>
      <x:c r="H15" s="13">
        <x:v>16</x:v>
      </x:c>
      <x:c r="I15" s="13">
        <x:v>16</x:v>
      </x:c>
      <x:c r="J15" s="13">
        <x:f t="shared" si="0"/>
        <x:v>77</x:v>
      </x:c>
    </x:row>
    <x:row r="16" ht="15" customHeight="1">
      <x:c r="B16" s="12" t="s">
        <x:v>148</x:v>
      </x:c>
      <x:c r="C16" s="12" t="s">
        <x:v>62</x:v>
      </x:c>
      <x:c r="D16" s="12" t="s">
        <x:v>73</x:v>
      </x:c>
      <x:c r="E16" s="13">
        <x:v>13</x:v>
      </x:c>
      <x:c r="F16" s="13">
        <x:v>32</x:v>
      </x:c>
      <x:c r="G16" s="13">
        <x:v>32</x:v>
      </x:c>
      <x:c r="H16" s="13">
        <x:v>32</x:v>
      </x:c>
      <x:c r="I16" s="13">
        <x:v>32</x:v>
      </x:c>
      <x:c r="J16" s="13">
        <x:f t="shared" si="0"/>
        <x:v>141</x:v>
      </x:c>
    </x:row>
    <x:row r="17" ht="15" customHeight="1">
      <x:c r="B17" s="12" t="s">
        <x:v>149</x:v>
      </x:c>
      <x:c r="C17" s="12" t="s">
        <x:v>64</x:v>
      </x:c>
      <x:c r="D17" s="12" t="s">
        <x:v>73</x:v>
      </x:c>
      <x:c r="E17" s="13">
        <x:v>13</x:v>
      </x:c>
      <x:c r="F17" s="13">
        <x:v>48</x:v>
      </x:c>
      <x:c r="G17" s="13">
        <x:v>48</x:v>
      </x:c>
      <x:c r="H17" s="13">
        <x:v>48</x:v>
      </x:c>
      <x:c r="I17" s="13">
        <x:v>48</x:v>
      </x:c>
      <x:c r="J17" s="13">
        <x:f t="shared" si="0"/>
        <x:v>205</x:v>
      </x:c>
    </x:row>
    <x:row r="18" ht="15" customHeight="1">
      <x:c r="B18" s="12" t="s">
        <x:v>150</x:v>
      </x:c>
      <x:c r="C18" s="12" t="s">
        <x:v>66</x:v>
      </x:c>
      <x:c r="D18" s="12" t="s">
        <x:v>73</x:v>
      </x:c>
      <x:c r="E18" s="13">
        <x:v>13</x:v>
      </x:c>
      <x:c r="F18" s="13">
        <x:v>64</x:v>
      </x:c>
      <x:c r="G18" s="13">
        <x:v>64</x:v>
      </x:c>
      <x:c r="H18" s="13">
        <x:v>64</x:v>
      </x:c>
      <x:c r="I18" s="13">
        <x:v>64</x:v>
      </x:c>
      <x:c r="J18" s="13">
        <x:f t="shared" si="0"/>
        <x:v>269</x:v>
      </x:c>
    </x:row>
    <x:row r="19" ht="15" customHeight="1">
      <x:c r="B19" s="12" t="s">
        <x:v>151</x:v>
      </x:c>
      <x:c r="C19" s="12" t="s">
        <x:v>68</x:v>
      </x:c>
      <x:c r="D19" s="12" t="s">
        <x:v>73</x:v>
      </x:c>
      <x:c r="E19" s="13">
        <x:v>13</x:v>
      </x:c>
      <x:c r="F19" s="13">
        <x:v>80</x:v>
      </x:c>
      <x:c r="G19" s="13">
        <x:v>80</x:v>
      </x:c>
      <x:c r="H19" s="13">
        <x:v>80</x:v>
      </x:c>
      <x:c r="I19" s="13">
        <x:v>80</x:v>
      </x:c>
      <x:c r="J19" s="13">
        <x:f t="shared" si="0"/>
        <x:v>333</x:v>
      </x:c>
    </x:row>
    <x:row r="20" ht="15" customHeight="1">
      <x:c r="B20" s="12" t="s">
        <x:v>152</x:v>
      </x:c>
      <x:c r="C20" s="12" t="s">
        <x:v>56</x:v>
      </x:c>
      <x:c r="D20" s="12" t="s">
        <x:v>75</x:v>
      </x:c>
      <x:c r="E20" s="13">
        <x:v>17.333300000000001</x:v>
      </x:c>
      <x:c r="F20" s="13">
        <x:v>6</x:v>
      </x:c>
      <x:c r="G20" s="13">
        <x:v>6</x:v>
      </x:c>
      <x:c r="H20" s="13">
        <x:v>6</x:v>
      </x:c>
      <x:c r="I20" s="13">
        <x:v>6</x:v>
      </x:c>
      <x:c r="J20" s="13">
        <x:f t="shared" si="0"/>
        <x:v>41.333300000000001</x:v>
      </x:c>
    </x:row>
    <x:row r="21" ht="15" customHeight="1">
      <x:c r="B21" s="12" t="s">
        <x:v>153</x:v>
      </x:c>
      <x:c r="C21" s="12" t="s">
        <x:v>58</x:v>
      </x:c>
      <x:c r="D21" s="12" t="s">
        <x:v>75</x:v>
      </x:c>
      <x:c r="E21" s="13">
        <x:v>17.333300000000001</x:v>
      </x:c>
      <x:c r="F21" s="13">
        <x:v>12</x:v>
      </x:c>
      <x:c r="G21" s="13">
        <x:v>12</x:v>
      </x:c>
      <x:c r="H21" s="13">
        <x:v>12</x:v>
      </x:c>
      <x:c r="I21" s="13">
        <x:v>12</x:v>
      </x:c>
      <x:c r="J21" s="13">
        <x:f t="shared" si="0"/>
        <x:v>65.333300000000008</x:v>
      </x:c>
    </x:row>
    <x:row r="22" ht="15" customHeight="1">
      <x:c r="B22" s="12" t="s">
        <x:v>154</x:v>
      </x:c>
      <x:c r="C22" s="12" t="s">
        <x:v>60</x:v>
      </x:c>
      <x:c r="D22" s="12" t="s">
        <x:v>75</x:v>
      </x:c>
      <x:c r="E22" s="13">
        <x:v>17.333300000000001</x:v>
      </x:c>
      <x:c r="F22" s="13">
        <x:v>24</x:v>
      </x:c>
      <x:c r="G22" s="13">
        <x:v>24</x:v>
      </x:c>
      <x:c r="H22" s="13">
        <x:v>24</x:v>
      </x:c>
      <x:c r="I22" s="13">
        <x:v>24</x:v>
      </x:c>
      <x:c r="J22" s="13">
        <x:f t="shared" si="0"/>
        <x:v>113.33330000000001</x:v>
      </x:c>
    </x:row>
    <x:row r="23" ht="15" customHeight="1">
      <x:c r="B23" s="12" t="s">
        <x:v>155</x:v>
      </x:c>
      <x:c r="C23" s="12" t="s">
        <x:v>62</x:v>
      </x:c>
      <x:c r="D23" s="12" t="s">
        <x:v>75</x:v>
      </x:c>
      <x:c r="E23" s="13">
        <x:v>17.333300000000001</x:v>
      </x:c>
      <x:c r="F23" s="13">
        <x:v>48</x:v>
      </x:c>
      <x:c r="G23" s="13">
        <x:v>48</x:v>
      </x:c>
      <x:c r="H23" s="13">
        <x:v>48</x:v>
      </x:c>
      <x:c r="I23" s="13">
        <x:v>48</x:v>
      </x:c>
      <x:c r="J23" s="13">
        <x:f t="shared" si="0"/>
        <x:v>209.33330000000001</x:v>
      </x:c>
    </x:row>
    <x:row r="24" ht="15" customHeight="1">
      <x:c r="B24" s="12" t="s">
        <x:v>156</x:v>
      </x:c>
      <x:c r="C24" s="12" t="s">
        <x:v>64</x:v>
      </x:c>
      <x:c r="D24" s="12" t="s">
        <x:v>75</x:v>
      </x:c>
      <x:c r="E24" s="13">
        <x:v>17.333300000000001</x:v>
      </x:c>
      <x:c r="F24" s="13">
        <x:v>72</x:v>
      </x:c>
      <x:c r="G24" s="13">
        <x:v>72</x:v>
      </x:c>
      <x:c r="H24" s="13">
        <x:v>72</x:v>
      </x:c>
      <x:c r="I24" s="13">
        <x:v>72</x:v>
      </x:c>
      <x:c r="J24" s="13">
        <x:f t="shared" si="0"/>
        <x:v>305.33330000000001</x:v>
      </x:c>
    </x:row>
    <x:row r="25" ht="15" customHeight="1">
      <x:c r="B25" s="12" t="s">
        <x:v>157</x:v>
      </x:c>
      <x:c r="C25" s="12" t="s">
        <x:v>66</x:v>
      </x:c>
      <x:c r="D25" s="12" t="s">
        <x:v>75</x:v>
      </x:c>
      <x:c r="E25" s="13">
        <x:v>17.333300000000001</x:v>
      </x:c>
      <x:c r="F25" s="13">
        <x:v>96</x:v>
      </x:c>
      <x:c r="G25" s="13">
        <x:v>96</x:v>
      </x:c>
      <x:c r="H25" s="13">
        <x:v>96</x:v>
      </x:c>
      <x:c r="I25" s="13">
        <x:v>96</x:v>
      </x:c>
      <x:c r="J25" s="13">
        <x:f t="shared" si="0"/>
        <x:v>401.33330000000001</x:v>
      </x:c>
    </x:row>
    <x:row r="26" ht="15" customHeight="1">
      <x:c r="B26" s="12" t="s">
        <x:v>158</x:v>
      </x:c>
      <x:c r="C26" s="12" t="s">
        <x:v>68</x:v>
      </x:c>
      <x:c r="D26" s="12" t="s">
        <x:v>75</x:v>
      </x:c>
      <x:c r="E26" s="13">
        <x:v>17.333300000000001</x:v>
      </x:c>
      <x:c r="F26" s="13">
        <x:v>120</x:v>
      </x:c>
      <x:c r="G26" s="13">
        <x:v>120</x:v>
      </x:c>
      <x:c r="H26" s="13">
        <x:v>120</x:v>
      </x:c>
      <x:c r="I26" s="13">
        <x:v>120</x:v>
      </x:c>
      <x:c r="J26" s="13">
        <x:f t="shared" si="0"/>
        <x:v>497.33330000000001</x:v>
      </x:c>
    </x:row>
    <x:row r="27" ht="15" customHeight="1">
      <x:c r="B27" s="12" t="s">
        <x:v>159</x:v>
      </x:c>
      <x:c r="C27" s="12" t="s">
        <x:v>56</x:v>
      </x:c>
      <x:c r="D27" s="12" t="s">
        <x:v>77</x:v>
      </x:c>
      <x:c r="E27" s="13">
        <x:v>17.333300000000001</x:v>
      </x:c>
      <x:c r="F27" s="13">
        <x:v>8</x:v>
      </x:c>
      <x:c r="G27" s="13">
        <x:v>8</x:v>
      </x:c>
      <x:c r="H27" s="13">
        <x:v>8</x:v>
      </x:c>
      <x:c r="I27" s="13">
        <x:v>8</x:v>
      </x:c>
      <x:c r="J27" s="13">
        <x:f t="shared" si="0"/>
        <x:v>49.333300000000001</x:v>
      </x:c>
    </x:row>
    <x:row r="28" ht="15" customHeight="1">
      <x:c r="B28" s="12" t="s">
        <x:v>160</x:v>
      </x:c>
      <x:c r="C28" s="12" t="s">
        <x:v>58</x:v>
      </x:c>
      <x:c r="D28" s="12" t="s">
        <x:v>77</x:v>
      </x:c>
      <x:c r="E28" s="13">
        <x:v>17.333300000000001</x:v>
      </x:c>
      <x:c r="F28" s="13">
        <x:v>16</x:v>
      </x:c>
      <x:c r="G28" s="13">
        <x:v>16</x:v>
      </x:c>
      <x:c r="H28" s="13">
        <x:v>16</x:v>
      </x:c>
      <x:c r="I28" s="13">
        <x:v>16</x:v>
      </x:c>
      <x:c r="J28" s="13">
        <x:f t="shared" si="0"/>
        <x:v>81.333300000000008</x:v>
      </x:c>
    </x:row>
    <x:row r="29" ht="15" customHeight="1">
      <x:c r="B29" s="12" t="s">
        <x:v>161</x:v>
      </x:c>
      <x:c r="C29" s="12" t="s">
        <x:v>60</x:v>
      </x:c>
      <x:c r="D29" s="12" t="s">
        <x:v>77</x:v>
      </x:c>
      <x:c r="E29" s="13">
        <x:v>17.333300000000001</x:v>
      </x:c>
      <x:c r="F29" s="13">
        <x:v>32</x:v>
      </x:c>
      <x:c r="G29" s="13">
        <x:v>32</x:v>
      </x:c>
      <x:c r="H29" s="13">
        <x:v>32</x:v>
      </x:c>
      <x:c r="I29" s="13">
        <x:v>32</x:v>
      </x:c>
      <x:c r="J29" s="13">
        <x:f t="shared" si="0"/>
        <x:v>145.33330000000001</x:v>
      </x:c>
    </x:row>
    <x:row r="30" ht="15" customHeight="1">
      <x:c r="B30" s="12" t="s">
        <x:v>162</x:v>
      </x:c>
      <x:c r="C30" s="12" t="s">
        <x:v>62</x:v>
      </x:c>
      <x:c r="D30" s="12" t="s">
        <x:v>77</x:v>
      </x:c>
      <x:c r="E30" s="13">
        <x:v>17.333300000000001</x:v>
      </x:c>
      <x:c r="F30" s="13">
        <x:v>64</x:v>
      </x:c>
      <x:c r="G30" s="13">
        <x:v>64</x:v>
      </x:c>
      <x:c r="H30" s="13">
        <x:v>64</x:v>
      </x:c>
      <x:c r="I30" s="13">
        <x:v>64</x:v>
      </x:c>
      <x:c r="J30" s="13">
        <x:f t="shared" si="0"/>
        <x:v>273.33330000000001</x:v>
      </x:c>
    </x:row>
    <x:row r="31" ht="15" customHeight="1">
      <x:c r="B31" s="12" t="s">
        <x:v>163</x:v>
      </x:c>
      <x:c r="C31" s="12" t="s">
        <x:v>64</x:v>
      </x:c>
      <x:c r="D31" s="12" t="s">
        <x:v>77</x:v>
      </x:c>
      <x:c r="E31" s="13">
        <x:v>17.333300000000001</x:v>
      </x:c>
      <x:c r="F31" s="13">
        <x:v>96</x:v>
      </x:c>
      <x:c r="G31" s="13">
        <x:v>96</x:v>
      </x:c>
      <x:c r="H31" s="13">
        <x:v>96</x:v>
      </x:c>
      <x:c r="I31" s="13">
        <x:v>96</x:v>
      </x:c>
      <x:c r="J31" s="13">
        <x:f t="shared" si="0"/>
        <x:v>401.33330000000001</x:v>
      </x:c>
    </x:row>
    <x:row r="32" ht="15" customHeight="1">
      <x:c r="B32" s="12" t="s">
        <x:v>164</x:v>
      </x:c>
      <x:c r="C32" s="12" t="s">
        <x:v>66</x:v>
      </x:c>
      <x:c r="D32" s="12" t="s">
        <x:v>77</x:v>
      </x:c>
      <x:c r="E32" s="13">
        <x:v>17.333300000000001</x:v>
      </x:c>
      <x:c r="F32" s="13">
        <x:v>128</x:v>
      </x:c>
      <x:c r="G32" s="13">
        <x:v>128</x:v>
      </x:c>
      <x:c r="H32" s="13">
        <x:v>128</x:v>
      </x:c>
      <x:c r="I32" s="13">
        <x:v>128</x:v>
      </x:c>
      <x:c r="J32" s="13">
        <x:f t="shared" si="0"/>
        <x:v>529.33330000000001</x:v>
      </x:c>
    </x:row>
    <x:row r="33" ht="15" customHeight="1">
      <x:c r="B33" s="12" t="s">
        <x:v>165</x:v>
      </x:c>
      <x:c r="C33" s="12" t="s">
        <x:v>68</x:v>
      </x:c>
      <x:c r="D33" s="12" t="s">
        <x:v>77</x:v>
      </x:c>
      <x:c r="E33" s="13">
        <x:v>17.333300000000001</x:v>
      </x:c>
      <x:c r="F33" s="13">
        <x:v>160</x:v>
      </x:c>
      <x:c r="G33" s="13">
        <x:v>160</x:v>
      </x:c>
      <x:c r="H33" s="13">
        <x:v>160</x:v>
      </x:c>
      <x:c r="I33" s="13">
        <x:v>160</x:v>
      </x:c>
      <x:c r="J33" s="13">
        <x:f t="shared" si="0"/>
        <x:v>657.33330000000001</x:v>
      </x:c>
    </x:row>
    <x:row r="35" ht="15" customHeight="1">
      <x:c r="B35" s="14" t="s">
        <x:v>166</x:v>
      </x:c>
    </x:row>
    <x:row r="36" ht="15" customHeight="1">
      <x:c r="B36" s="5" t="s">
        <x:v>167</x:v>
      </x:c>
      <x:c r="C36" s="15">
        <x:v>80</x:v>
      </x:c>
    </x:row>
    <x:row r="37" ht="15" customHeight="1">
      <x:c r="B37" s="5" t="s">
        <x:v>168</x:v>
      </x:c>
      <x:c r="C37" s="15">
        <x:v>80</x:v>
      </x:c>
    </x:row>
    <x:row r="38" ht="15" customHeight="1">
      <x:c r="B38" s="5" t="s">
        <x:v>169</x:v>
      </x:c>
      <x:c r="C38" s="15">
        <x:v>160</x:v>
      </x:c>
    </x:row>
    <x:row r="39" ht="15" customHeight="1">
      <x:c r="B39" s="5" t="s">
        <x:v>170</x:v>
      </x:c>
      <x:c r="C39" s="15">
        <x:v>40</x:v>
      </x:c>
    </x:row>
    <x:row r="40" ht="15" customHeight="1">
      <x:c r="B40" s="5" t="s">
        <x:v>171</x:v>
      </x:c>
      <x:c r="C40" s="15">
        <x:v>80</x:v>
      </x:c>
    </x:row>
    <x:row r="41" ht="15" customHeight="1">
      <x:c r="B41" s="5" t="s">
        <x:v>172</x:v>
      </x:c>
      <x:c r="C41" s="15">
        <x:v>80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640625" defaultRowHeight="14.399999618530273"/>
  <x:cols>
    <x:col min="2" max="2" width="40" customWidth="1"/>
    <x:col min="3" max="3" width="24" customWidth="1"/>
    <x:col min="4" max="4" width="70" customWidth="1"/>
  </x:cols>
  <x:sheetData>
    <x:row r="2" ht="17.25" customHeight="1">
      <x:c r="B2" s="1" t="s">
        <x:v>173</x:v>
      </x:c>
    </x:row>
    <x:row r="3" ht="15" customHeight="1">
      <x:c r="B3" s="10" t="s">
        <x:v>174</x:v>
      </x:c>
    </x:row>
    <x:row r="5" ht="15" customHeight="1">
      <x:c r="B5" s="16" t="s">
        <x:v>175</x:v>
      </x:c>
      <x:c r="C5" s="16" t="s">
        <x:v>176</x:v>
      </x:c>
      <x:c r="D5" s="16" t="s">
        <x:v>177</x:v>
      </x:c>
    </x:row>
    <x:row r="6" ht="15" customHeight="1">
      <x:c r="B6" s="12" t="s">
        <x:v>178</x:v>
      </x:c>
      <x:c r="C6" s="17" t="s">
        <x:v>179</x:v>
      </x:c>
      <x:c r="D6" s="18" t="s">
        <x:v>180</x:v>
      </x:c>
    </x:row>
    <x:row r="7" ht="15" customHeight="1">
      <x:c r="B7" s="12" t="s">
        <x:v>181</x:v>
      </x:c>
      <x:c r="C7" s="17" t="s">
        <x:v>182</x:v>
      </x:c>
      <x:c r="D7" s="18" t="s">
        <x:v>183</x:v>
      </x:c>
    </x:row>
    <x:row r="8" ht="15" customHeight="1">
      <x:c r="B8" s="12" t="s">
        <x:v>184</x:v>
      </x:c>
      <x:c r="C8" s="19">
        <x:v>3</x:v>
      </x:c>
      <x:c r="D8" s="18" t="s">
        <x:v>185</x:v>
      </x:c>
    </x:row>
    <x:row r="9" ht="15" customHeight="1">
      <x:c r="B9" s="12" t="s">
        <x:v>186</x:v>
      </x:c>
      <x:c r="C9" s="19">
        <x:v>3</x:v>
      </x:c>
      <x:c r="D9" s="18" t="s">
        <x:v>187</x:v>
      </x:c>
    </x:row>
    <x:row r="10" ht="15" customHeight="1">
      <x:c r="B10" s="12" t="s">
        <x:v>188</x:v>
      </x:c>
      <x:c r="C10" s="19">
        <x:v>9</x:v>
      </x:c>
      <x:c r="D10" s="18" t="s">
        <x:v>189</x:v>
      </x:c>
    </x:row>
    <x:row r="11" ht="15" customHeight="1">
      <x:c r="B11" s="12" t="s">
        <x:v>190</x:v>
      </x:c>
      <x:c r="C11" s="19">
        <x:v>25</x:v>
      </x:c>
      <x:c r="D11" s="18" t="s">
        <x:v>191</x:v>
      </x:c>
    </x:row>
    <x:row r="12" ht="15" customHeight="1">
      <x:c r="B12" s="12" t="s">
        <x:v>192</x:v>
      </x:c>
      <x:c r="C12" s="19">
        <x:v>4000</x:v>
      </x:c>
      <x:c r="D12" s="18" t="s">
        <x:v>193</x:v>
      </x:c>
    </x:row>
    <x:row r="13" ht="15" customHeight="1">
      <x:c r="B13" s="12" t="s">
        <x:v>194</x:v>
      </x:c>
      <x:c r="C13" s="19">
        <x:v>3</x:v>
      </x:c>
      <x:c r="D13" s="18" t="s">
        <x:v>195</x:v>
      </x:c>
    </x:row>
    <x:row r="14" ht="15" customHeight="1">
      <x:c r="B14" s="12" t="s">
        <x:v>196</x:v>
      </x:c>
      <x:c r="C14" s="19">
        <x:v>2</x:v>
      </x:c>
      <x:c r="D14" s="18" t="s">
        <x:v>197</x:v>
      </x:c>
    </x:row>
    <x:row r="15" ht="15" customHeight="1">
      <x:c r="B15" s="12" t="s">
        <x:v>198</x:v>
      </x:c>
      <x:c r="C15" s="19">
        <x:v>4</x:v>
      </x:c>
      <x:c r="D15" s="18" t="s">
        <x:v>199</x:v>
      </x:c>
    </x:row>
    <x:row r="16" ht="15" customHeight="1">
      <x:c r="B16" s="12" t="s">
        <x:v>200</x:v>
      </x:c>
      <x:c r="C16" s="20">
        <x:v>0.4</x:v>
      </x:c>
      <x:c r="D16" s="18" t="s">
        <x:v>201</x:v>
      </x:c>
    </x:row>
    <x:row r="17" ht="15" customHeight="1">
      <x:c r="B17" s="12" t="s">
        <x:v>202</x:v>
      </x:c>
      <x:c r="C17" s="17" t="s">
        <x:v>203</x:v>
      </x:c>
      <x:c r="D17" s="18" t="s">
        <x:v>204</x:v>
      </x:c>
    </x:row>
    <x:row r="18" ht="15" customHeight="1">
      <x:c r="B18" s="12" t="s">
        <x:v>205</x:v>
      </x:c>
      <x:c r="C18" s="17" t="s">
        <x:v>206</x:v>
      </x:c>
      <x:c r="D18" s="18"/>
    </x:row>
    <x:row r="19" ht="15" customHeight="1">
      <x:c r="B19" s="12" t="s">
        <x:v>207</x:v>
      </x:c>
      <x:c r="C19" s="17"/>
      <x:c r="D19" s="18" t="s">
        <x:v>208</x:v>
      </x:c>
    </x:row>
    <x:row r="20" ht="15" customHeight="1">
      <x:c r="B20" s="12" t="s">
        <x:v>209</x:v>
      </x:c>
      <x:c r="C20" s="17"/>
      <x:c r="D20" s="18"/>
    </x:row>
    <x:row r="21" ht="15" customHeight="1">
      <x:c r="B21" s="12" t="s">
        <x:v>210</x:v>
      </x:c>
      <x:c r="C21" s="17" t="s">
        <x:v>118</x:v>
      </x:c>
      <x:c r="D21" s="18" t="s">
        <x:v>211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640625" defaultRowHeight="14.399999618530273"/>
  <x:cols>
    <x:col min="2" max="2" width="34" customWidth="1"/>
    <x:col min="3" max="3" width="16" customWidth="1"/>
    <x:col min="4" max="4" width="74" customWidth="1"/>
  </x:cols>
  <x:sheetData>
    <x:row r="2" ht="17.25" customHeight="1">
      <x:c r="B2" s="1" t="s">
        <x:v>212</x:v>
      </x:c>
    </x:row>
    <x:row r="3" ht="15" customHeight="1">
      <x:c r="B3" s="10" t="s">
        <x:v>213</x:v>
      </x:c>
    </x:row>
    <x:row r="5" ht="15" customHeight="1">
      <x:c r="B5" s="16" t="s">
        <x:v>214</x:v>
      </x:c>
      <x:c r="C5" s="16" t="s">
        <x:v>215</x:v>
      </x:c>
      <x:c r="D5" s="16" t="s">
        <x:v>216</x:v>
      </x:c>
    </x:row>
    <x:row r="6" ht="15" customHeight="1">
      <x:c r="B6" s="12" t="s">
        <x:v>217</x:v>
      </x:c>
      <x:c r="C6" s="20">
        <x:v>0.25</x:v>
      </x:c>
      <x:c r="D6" s="18" t="s">
        <x:v>218</x:v>
      </x:c>
    </x:row>
    <x:row r="7" ht="15" customHeight="1">
      <x:c r="B7" s="12" t="s">
        <x:v>219</x:v>
      </x:c>
      <x:c r="C7" s="20">
        <x:v>0.2</x:v>
      </x:c>
      <x:c r="D7" s="18" t="s">
        <x:v>220</x:v>
      </x:c>
    </x:row>
    <x:row r="8" ht="15" customHeight="1">
      <x:c r="B8" s="12" t="s">
        <x:v>221</x:v>
      </x:c>
      <x:c r="C8" s="20">
        <x:v>0.2</x:v>
      </x:c>
      <x:c r="D8" s="18" t="s">
        <x:v>222</x:v>
      </x:c>
    </x:row>
    <x:row r="9" ht="15" customHeight="1">
      <x:c r="B9" s="12" t="s">
        <x:v>223</x:v>
      </x:c>
      <x:c r="C9" s="20">
        <x:v>0.15</x:v>
      </x:c>
      <x:c r="D9" s="18" t="s">
        <x:v>224</x:v>
      </x:c>
    </x:row>
    <x:row r="10" ht="15" customHeight="1">
      <x:c r="B10" s="12" t="s">
        <x:v>225</x:v>
      </x:c>
      <x:c r="C10" s="20">
        <x:v>0.15</x:v>
      </x:c>
      <x:c r="D10" s="18" t="s">
        <x:v>226</x:v>
      </x:c>
    </x:row>
    <x:row r="11" ht="15" customHeight="1">
      <x:c r="B11" s="12" t="s">
        <x:v>227</x:v>
      </x:c>
      <x:c r="C11" s="20">
        <x:v>0.05</x:v>
      </x:c>
      <x:c r="D11" s="18" t="s">
        <x:v>228</x:v>
      </x:c>
    </x:row>
    <x:row r="12" ht="15" customHeight="1">
      <x:c r="B12" s="14" t="s">
        <x:v>229</x:v>
      </x:c>
      <x:c r="C12" s="21" t="n">
        <x:f>SUM(C6:C11)</x:f>
        <x:v>1</x:v>
      </x:c>
      <x:c r="D12" s="22" t="s">
        <x:v>230</x:v>
      </x:c>
    </x:row>
    <x:row r="15" ht="15" customHeight="1">
      <x:c r="B15" s="3" t="s">
        <x:v>231</x:v>
      </x:c>
      <x:c r="C15" s="3" t="s">
        <x:v>232</x:v>
      </x:c>
    </x:row>
    <x:row r="16" ht="15" customHeight="1">
      <x:c r="B16" s="12" t="s">
        <x:v>98</x:v>
      </x:c>
      <x:c r="C16" s="23">
        <x:v>100</x:v>
      </x:c>
    </x:row>
    <x:row r="17" ht="15" customHeight="1">
      <x:c r="B17" s="12" t="s">
        <x:v>73</x:v>
      </x:c>
      <x:c r="C17" s="23">
        <x:v>70</x:v>
      </x:c>
    </x:row>
    <x:row r="18" ht="15" customHeight="1">
      <x:c r="B18" s="12" t="s">
        <x:v>101</x:v>
      </x:c>
      <x:c r="C18" s="23">
        <x:v>35</x:v>
      </x:c>
    </x:row>
    <x:row r="19" ht="15" customHeight="1">
      <x:c r="B19" s="12" t="s">
        <x:v>109</x:v>
      </x:c>
      <x:c r="C19" s="23">
        <x:v>0</x:v>
      </x:c>
    </x:row>
    <x:row r="21" ht="15" customHeight="1">
      <x:c r="B21" s="3" t="s">
        <x:v>233</x:v>
      </x:c>
      <x:c r="C21" s="3" t="s">
        <x:v>232</x:v>
      </x:c>
    </x:row>
    <x:row r="22" ht="15" customHeight="1">
      <x:c r="B22" s="12" t="s">
        <x:v>98</x:v>
      </x:c>
      <x:c r="C22" s="23">
        <x:v>100</x:v>
      </x:c>
    </x:row>
    <x:row r="23" ht="15" customHeight="1">
      <x:c r="B23" s="12" t="s">
        <x:v>73</x:v>
      </x:c>
      <x:c r="C23" s="23">
        <x:v>70</x:v>
      </x:c>
    </x:row>
    <x:row r="24" ht="15" customHeight="1">
      <x:c r="B24" s="12" t="s">
        <x:v>101</x:v>
      </x:c>
      <x:c r="C24" s="23">
        <x:v>35</x:v>
      </x:c>
    </x:row>
    <x:row r="25" ht="15" customHeight="1">
      <x:c r="B25" s="12" t="s">
        <x:v>103</x:v>
      </x:c>
      <x:c r="C25" s="23">
        <x:v>0</x:v>
      </x:c>
    </x:row>
    <x:row r="27" ht="15" customHeight="1">
      <x:c r="B27" s="3" t="s">
        <x:v>234</x:v>
      </x:c>
      <x:c r="C27" s="3" t="s">
        <x:v>232</x:v>
      </x:c>
    </x:row>
    <x:row r="28" ht="15" customHeight="1">
      <x:c r="B28" s="12" t="s">
        <x:v>98</x:v>
      </x:c>
      <x:c r="C28" s="23">
        <x:v>100</x:v>
      </x:c>
    </x:row>
    <x:row r="29" ht="15" customHeight="1">
      <x:c r="B29" s="12" t="s">
        <x:v>73</x:v>
      </x:c>
      <x:c r="C29" s="23">
        <x:v>70</x:v>
      </x:c>
    </x:row>
    <x:row r="30" ht="15" customHeight="1">
      <x:c r="B30" s="12" t="s">
        <x:v>101</x:v>
      </x:c>
      <x:c r="C30" s="23">
        <x:v>35</x:v>
      </x:c>
    </x:row>
    <x:row r="31" ht="15" customHeight="1">
      <x:c r="B31" s="12" t="s">
        <x:v>115</x:v>
      </x:c>
      <x:c r="C31" s="23">
        <x:v>0</x:v>
      </x:c>
    </x:row>
    <x:row r="33" ht="15" customHeight="1">
      <x:c r="B33" s="3" t="s">
        <x:v>235</x:v>
      </x:c>
      <x:c r="C33" s="3" t="s">
        <x:v>232</x:v>
      </x:c>
    </x:row>
    <x:row r="34" ht="15" customHeight="1">
      <x:c r="B34" s="12" t="s">
        <x:v>56</x:v>
      </x:c>
      <x:c r="C34" s="23">
        <x:v>100</x:v>
      </x:c>
    </x:row>
    <x:row r="35" ht="15" customHeight="1">
      <x:c r="B35" s="12" t="s">
        <x:v>58</x:v>
      </x:c>
      <x:c r="C35" s="23">
        <x:v>90</x:v>
      </x:c>
    </x:row>
    <x:row r="36" ht="15" customHeight="1">
      <x:c r="B36" s="12" t="s">
        <x:v>60</x:v>
      </x:c>
      <x:c r="C36" s="23">
        <x:v>75</x:v>
      </x:c>
    </x:row>
    <x:row r="37" ht="15" customHeight="1">
      <x:c r="B37" s="12" t="s">
        <x:v>62</x:v>
      </x:c>
      <x:c r="C37" s="23">
        <x:v>55</x:v>
      </x:c>
    </x:row>
    <x:row r="38" ht="15" customHeight="1">
      <x:c r="B38" s="12" t="s">
        <x:v>64</x:v>
      </x:c>
      <x:c r="C38" s="23">
        <x:v>35</x:v>
      </x:c>
    </x:row>
    <x:row r="39" ht="15" customHeight="1">
      <x:c r="B39" s="12" t="s">
        <x:v>66</x:v>
      </x:c>
      <x:c r="C39" s="23">
        <x:v>20</x:v>
      </x:c>
    </x:row>
    <x:row r="40" ht="15" customHeight="1">
      <x:c r="B40" s="12" t="s">
        <x:v>68</x:v>
      </x:c>
      <x:c r="C40" s="23">
        <x:v>0</x:v>
      </x:c>
    </x:row>
    <x:row r="42" ht="15" customHeight="1">
      <x:c r="B42" s="3" t="s">
        <x:v>236</x:v>
      </x:c>
      <x:c r="C42" s="3" t="s">
        <x:v>232</x:v>
      </x:c>
    </x:row>
    <x:row r="43" ht="15" customHeight="1">
      <x:c r="B43" s="12" t="s">
        <x:v>118</x:v>
      </x:c>
      <x:c r="C43" s="23">
        <x:v>100</x:v>
      </x:c>
    </x:row>
    <x:row r="44" ht="15" customHeight="1">
      <x:c r="B44" s="12" t="s">
        <x:v>120</x:v>
      </x:c>
      <x:c r="C44" s="23">
        <x:v>0</x:v>
      </x:c>
    </x:row>
    <x:row r="46" ht="15" customHeight="1">
      <x:c r="B46" s="3" t="s">
        <x:v>237</x:v>
      </x:c>
      <x:c r="C46" s="3" t="s">
        <x:v>232</x:v>
      </x:c>
    </x:row>
    <x:row r="47" ht="15" customHeight="1">
      <x:c r="B47" s="12" t="s">
        <x:v>238</x:v>
      </x:c>
      <x:c r="C47" s="23">
        <x:v>100</x:v>
      </x:c>
    </x:row>
    <x:row r="48" ht="15" customHeight="1">
      <x:c r="B48" s="12" t="s">
        <x:v>239</x:v>
      </x:c>
      <x:c r="C48" s="23">
        <x:v>70</x:v>
      </x:c>
    </x:row>
    <x:row r="49" ht="15" customHeight="1">
      <x:c r="B49" s="12" t="s">
        <x:v>240</x:v>
      </x:c>
      <x:c r="C49" s="23">
        <x:v>30</x:v>
      </x:c>
    </x:row>
    <x:row r="50" ht="15" customHeight="1">
      <x:c r="B50" s="12" t="s">
        <x:v>241</x:v>
      </x:c>
      <x:c r="C50" s="23">
        <x:v>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6640625" defaultRowHeight="14.399999618530273"/>
  <x:cols>
    <x:col min="1" max="1" width="14" customWidth="1"/>
    <x:col min="2" max="2" width="34" customWidth="1"/>
    <x:col min="3" max="3" width="32" customWidth="1"/>
    <x:col min="4" max="4" width="40" customWidth="1"/>
    <x:col min="5" max="5" width="18.44140625" customWidth="1"/>
    <x:col min="6" max="6" width="16" customWidth="1"/>
    <x:col min="7" max="7" width="44" customWidth="1"/>
    <x:col min="8" max="8" width="16" customWidth="1"/>
    <x:col min="9" max="9" width="24" customWidth="1"/>
    <x:col min="10" max="10" width="20" customWidth="1"/>
    <x:col min="11" max="11" width="13" customWidth="1"/>
    <x:col min="12" max="12" width="15" customWidth="1"/>
    <x:col min="13" max="13" width="10" customWidth="1"/>
    <x:col min="14" max="14" width="16" customWidth="1"/>
    <x:col min="15" max="15" width="15" customWidth="1"/>
    <x:col min="16" max="17" width="12" customWidth="1"/>
    <x:col min="18" max="18" width="17" customWidth="1"/>
    <x:col min="19" max="19" width="14" customWidth="1"/>
    <x:col min="20" max="20" width="20" customWidth="1"/>
    <x:col min="21" max="21" width="14" customWidth="1"/>
    <x:col min="22" max="22" width="16" customWidth="1"/>
    <x:col min="23" max="23" width="26" customWidth="1"/>
    <x:col min="24" max="24" width="22" customWidth="1"/>
    <x:col min="25" max="26" width="13" customWidth="1"/>
    <x:col min="27" max="27" width="14" customWidth="1"/>
    <x:col min="28" max="29" width="16" customWidth="1"/>
    <x:col min="30" max="30" width="15" customWidth="1"/>
    <x:col min="31" max="31" width="17" customWidth="1"/>
    <x:col min="32" max="32" width="13" customWidth="1"/>
    <x:col min="33" max="33" width="20" customWidth="1"/>
    <x:col min="34" max="34" width="13" customWidth="1"/>
    <x:col min="35" max="35" width="17" customWidth="1"/>
    <x:col min="36" max="36" width="40" customWidth="1"/>
  </x:cols>
  <x:sheetData>
    <x:row r="1" ht="43.5" customHeight="1">
      <x:c r="A1" s="11" t="s">
        <x:v>242</x:v>
      </x:c>
      <x:c r="B1" s="11" t="s">
        <x:v>243</x:v>
      </x:c>
      <x:c r="C1" s="11" t="s">
        <x:v>244</x:v>
      </x:c>
      <x:c r="D1" s="11" t="s">
        <x:v>245</x:v>
      </x:c>
      <x:c r="E1" s="11" t="s">
        <x:v>79</x:v>
      </x:c>
      <x:c r="F1" s="11" t="s">
        <x:v>246</x:v>
      </x:c>
      <x:c r="G1" s="11" t="s">
        <x:v>247</x:v>
      </x:c>
      <x:c r="H1" s="11" t="s">
        <x:v>86</x:v>
      </x:c>
      <x:c r="I1" s="11" t="s">
        <x:v>248</x:v>
      </x:c>
      <x:c r="J1" s="11" t="s">
        <x:v>79</x:v>
      </x:c>
      <x:c r="K1" s="11" t="s">
        <x:v>54</x:v>
      </x:c>
      <x:c r="L1" s="11" t="s">
        <x:v>70</x:v>
      </x:c>
      <x:c r="M1" s="11" t="s">
        <x:v>249</x:v>
      </x:c>
      <x:c r="N1" s="11" t="s">
        <x:v>250</x:v>
      </x:c>
      <x:c r="O1" s="11" t="s">
        <x:v>97</x:v>
      </x:c>
      <x:c r="P1" s="11" t="s">
        <x:v>105</x:v>
      </x:c>
      <x:c r="Q1" s="11" t="s">
        <x:v>117</x:v>
      </x:c>
      <x:c r="R1" s="11" t="s">
        <x:v>111</x:v>
      </x:c>
      <x:c r="S1" s="11" t="s">
        <x:v>251</x:v>
      </x:c>
      <x:c r="T1" s="11" t="s">
        <x:v>252</x:v>
      </x:c>
      <x:c r="U1" s="11" t="s">
        <x:v>253</x:v>
      </x:c>
      <x:c r="V1" s="11" t="s">
        <x:v>254</x:v>
      </x:c>
      <x:c r="W1" s="11" t="s">
        <x:v>255</x:v>
      </x:c>
      <x:c r="X1" s="11" t="s">
        <x:v>256</x:v>
      </x:c>
      <x:c r="Y1" s="11" t="s">
        <x:v>257</x:v>
      </x:c>
      <x:c r="Z1" s="11" t="s">
        <x:v>258</x:v>
      </x:c>
      <x:c r="AA1" s="11" t="s">
        <x:v>259</x:v>
      </x:c>
      <x:c r="AB1" s="11" t="s">
        <x:v>260</x:v>
      </x:c>
      <x:c r="AC1" s="11" t="s">
        <x:v>261</x:v>
      </x:c>
      <x:c r="AD1" s="11" t="s">
        <x:v>262</x:v>
      </x:c>
      <x:c r="AE1" s="11" t="s">
        <x:v>263</x:v>
      </x:c>
      <x:c r="AF1" s="11" t="s">
        <x:v>264</x:v>
      </x:c>
      <x:c r="AG1" s="11" t="s">
        <x:v>265</x:v>
      </x:c>
      <x:c r="AH1" s="11" t="s">
        <x:v>266</x:v>
      </x:c>
      <x:c r="AI1" s="11" t="s">
        <x:v>123</x:v>
      </x:c>
      <x:c r="AJ1" s="11" t="s">
        <x:v>267</x:v>
      </x:c>
    </x:row>
    <x:row r="2" ht="25.5" customHeight="1">
      <x:c r="A2" s="24" t="s">
        <x:v>268</x:v>
      </x:c>
      <x:c r="B2" s="24" t="s">
        <x:v>269</x:v>
      </x:c>
      <x:c r="C2" s="24" t="s">
        <x:v>270</x:v>
      </x:c>
      <x:c r="D2" s="25" t="s">
        <x:v>271</x:v>
      </x:c>
      <x:c r="E2" s="25" t="str">
        <x:v>Functional Migration Only</x:v>
      </x:c>
      <x:c r="F2" s="26" t="s">
        <x:v>118</x:v>
      </x:c>
      <x:c r="G2" s="27" t="s">
        <x:v>272</x:v>
      </x:c>
      <x:c r="H2" s="26" t="s">
        <x:v>87</x:v>
      </x:c>
      <x:c r="I2" s="26" t="s">
        <x:v>273</x:v>
      </x:c>
      <x:c r="J2" s="26" t="s">
        <x:v>82</x:v>
      </x:c>
      <x:c r="K2" s="26" t="s">
        <x:v>62</x:v>
      </x:c>
      <x:c r="L2" s="26" t="s">
        <x:v>73</x:v>
      </x:c>
      <x:c r="M2" s="28">
        <x:v>60</x:v>
      </x:c>
      <x:c r="N2" s="28">
        <x:v>100000000</x:v>
      </x:c>
      <x:c r="O2" s="26" t="s">
        <x:v>101</x:v>
      </x:c>
      <x:c r="P2" s="26" t="s">
        <x:v>73</x:v>
      </x:c>
      <x:c r="Q2" s="26" t="s">
        <x:v>120</x:v>
      </x:c>
      <x:c r="R2" s="26" t="s">
        <x:v>101</x:v>
      </x:c>
      <x:c r="S2" s="24" t="s">
        <x:v>274</x:v>
      </x:c>
      <x:c r="T2" s="24" t="s">
        <x:v>275</x:v>
      </x:c>
      <x:c r="U2" s="24" t="s">
        <x:v>276</x:v>
      </x:c>
      <x:c r="V2" s="26" t="s">
        <x:v>277</x:v>
      </x:c>
      <x:c r="W2" s="26" t="s">
        <x:v>278</x:v>
      </x:c>
      <x:c r="X2" s="26" t="s">
        <x:v>239</x:v>
      </x:c>
      <x:c r="Y2" s="29"/>
      <x:c r="Z2" s="29"/>
      <x:c r="AA2" s="26" t="s">
        <x:v>120</x:v>
      </x:c>
      <x:c r="AB2" s="30" t="n">
        <x:f>IFERROR(INDEX(Effort_Model!$J$6:$J$33,MATCH(K2&amp;"|"&amp;L2,Effort_Model!$B$6:$B$33,0)),"")</x:f>
        <x:v>74.4</x:v>
      </x:c>
      <x:c r="AC2" s="28">
        <x:v>320</x:v>
      </x:c>
      <x:c r="AD2" s="30" t="n">
        <x:f t="shared" ref="AD2:AD65" si="0">IFERROR(AB2+N(AC2),"")</x:f>
        <x:v>394.4</x:v>
      </x:c>
      <x:c r="AE2" s="30" t="n">
        <x:f>IFERROR(ROUND(IFERROR(INDEX(Scoring_Rules!$C$43:$C$44,MATCH(Q2,Scoring_Rules!$B$43:$B$44,0)),0)*Scoring_Rules!$C$6+IFERROR(INDEX(Scoring_Rules!$C$34:$C$40,MATCH(K2,Scoring_Rules!$B$34:$B$40,0)),0)*Scoring_Rules!$C$7+IFERROR(INDEX(Scoring_Rules!$C$16:$C$19,MATCH(P2,Scoring_Rules!$B$16:$B$19,0)),0)*Scoring_Rules!$C$8+IFERROR(INDEX(Scoring_Rules!$C$22:$C$25,MATCH(O2,Scoring_Rules!$B$22:$B$25,0)),0)*Scoring_Rules!$C$9+IFERROR(INDEX(Scoring_Rules!$C$47:$C$50,MATCH(X2,Scoring_Rules!$B$47:$B$50,0)),0)*Scoring_Rules!$C$10+IFERROR(INDEX(Scoring_Rules!$C$28:$C$31,MATCH(R2,Scoring_Rules!$B$28:$B$31,0)),0)*Scoring_Rules!$C$11,1),"")</x:f>
        <x:v>42.5</x:v>
      </x:c>
      <x:c r="AF2" s="28">
        <x:v>3</x:v>
      </x:c>
      <x:c r="AG2" s="26" t="s">
        <x:v>279</x:v>
      </x:c>
      <x:c r="AH2" s="29"/>
      <x:c r="AI2" s="26" t="s">
        <x:v>124</x:v>
      </x:c>
      <x:c r="AJ2" s="27" t="s">
        <x:v>280</x:v>
      </x:c>
    </x:row>
    <x:row r="3" ht="15" customHeight="1">
      <x:c r="A3" s="31" t="s">
        <x:v>281</x:v>
      </x:c>
      <x:c r="B3" s="31" t="s">
        <x:v>282</x:v>
      </x:c>
      <x:c r="C3" s="31" t="s">
        <x:v>283</x:v>
      </x:c>
      <x:c r="D3" s="32" t="s">
        <x:v>284</x:v>
      </x:c>
      <x:c r="E3" s="32" t="str">
        <x:v>Data Migration Only</x:v>
      </x:c>
      <x:c r="F3" s="33" t="s">
        <x:v>118</x:v>
      </x:c>
      <x:c r="G3" s="34" t="s">
        <x:v>285</x:v>
      </x:c>
      <x:c r="H3" s="33" t="s">
        <x:v>91</x:v>
      </x:c>
      <x:c r="I3" s="33" t="s">
        <x:v>286</x:v>
      </x:c>
      <x:c r="J3" s="33" t="s">
        <x:v>80</x:v>
      </x:c>
      <x:c r="K3" s="33" t="s">
        <x:v>60</x:v>
      </x:c>
      <x:c r="L3" s="33" t="s">
        <x:v>71</x:v>
      </x:c>
      <x:c r="M3" s="35">
        <x:v>37</x:v>
      </x:c>
      <x:c r="N3" s="35">
        <x:v>3558151</x:v>
      </x:c>
      <x:c r="O3" s="33" t="s">
        <x:v>73</x:v>
      </x:c>
      <x:c r="P3" s="33" t="s">
        <x:v>73</x:v>
      </x:c>
      <x:c r="Q3" s="33" t="s">
        <x:v>120</x:v>
      </x:c>
      <x:c r="R3" s="33" t="s">
        <x:v>98</x:v>
      </x:c>
      <x:c r="S3" s="31" t="s">
        <x:v>287</x:v>
      </x:c>
      <x:c r="T3" s="31" t="s">
        <x:v>288</x:v>
      </x:c>
      <x:c r="U3" s="31" t="s">
        <x:v>276</x:v>
      </x:c>
      <x:c r="V3" s="33" t="s">
        <x:v>289</x:v>
      </x:c>
      <x:c r="W3" s="33"/>
      <x:c r="X3" s="33" t="s">
        <x:v>238</x:v>
      </x:c>
      <x:c r="Y3" s="36">
        <x:v>46415</x:v>
      </x:c>
      <x:c r="Z3" s="36"/>
      <x:c r="AA3" s="33" t="s">
        <x:v>120</x:v>
      </x:c>
      <x:c r="AB3" s="37" t="n">
        <x:f>IFERROR(INDEX(Effort_Model!$J$6:$J$33,MATCH(K3&amp;"|"&amp;L3,Effort_Model!$B$6:$B$33,0)),"")</x:f>
        <x:v>18.4</x:v>
      </x:c>
      <x:c r="AC3" s="38">
        <x:v>168.4</x:v>
      </x:c>
      <x:c r="AD3" s="37">
        <x:f t="shared" si="0"/>
        <x:v>210.8</x:v>
      </x:c>
      <x:c r="AE3" s="37" t="n">
        <x:f>IFERROR(ROUND(IFERROR(INDEX(Scoring_Rules!$C$43:$C$44,MATCH(Q3,Scoring_Rules!$B$43:$B$44,0)),0)*Scoring_Rules!$C$6+IFERROR(INDEX(Scoring_Rules!$C$34:$C$40,MATCH(K3,Scoring_Rules!$B$34:$B$40,0)),0)*Scoring_Rules!$C$7+IFERROR(INDEX(Scoring_Rules!$C$16:$C$19,MATCH(P3,Scoring_Rules!$B$16:$B$19,0)),0)*Scoring_Rules!$C$8+IFERROR(INDEX(Scoring_Rules!$C$22:$C$25,MATCH(O3,Scoring_Rules!$B$22:$B$25,0)),0)*Scoring_Rules!$C$9+IFERROR(INDEX(Scoring_Rules!$C$47:$C$50,MATCH(X3,Scoring_Rules!$B$47:$B$50,0)),0)*Scoring_Rules!$C$10+IFERROR(INDEX(Scoring_Rules!$C$28:$C$31,MATCH(R3,Scoring_Rules!$B$28:$B$31,0)),0)*Scoring_Rules!$C$11,1),"")</x:f>
        <x:v>59.5</x:v>
      </x:c>
      <x:c r="AF3" s="35"/>
      <x:c r="AG3" s="33" t="s">
        <x:v>290</x:v>
      </x:c>
      <x:c r="AH3" s="36">
        <x:v>46383</x:v>
      </x:c>
      <x:c r="AI3" s="33" t="s">
        <x:v>125</x:v>
      </x:c>
      <x:c r="AJ3" s="34"/>
    </x:row>
    <x:row r="4" ht="23.25" customHeight="1">
      <x:c r="A4" s="31" t="s">
        <x:v>291</x:v>
      </x:c>
      <x:c r="B4" s="31" t="s">
        <x:v>292</x:v>
      </x:c>
      <x:c r="C4" s="31" t="s">
        <x:v>283</x:v>
      </x:c>
      <x:c r="D4" s="32" t="s">
        <x:v>293</x:v>
      </x:c>
      <x:c r="E4" s="32" t="str">
        <x:v>Data Migration Only</x:v>
      </x:c>
      <x:c r="F4" s="33" t="s">
        <x:v>118</x:v>
      </x:c>
      <x:c r="G4" s="34" t="s">
        <x:v>294</x:v>
      </x:c>
      <x:c r="H4" s="33" t="s">
        <x:v>91</x:v>
      </x:c>
      <x:c r="I4" s="33" t="s">
        <x:v>286</x:v>
      </x:c>
      <x:c r="J4" s="33" t="s">
        <x:v>80</x:v>
      </x:c>
      <x:c r="K4" s="33" t="s">
        <x:v>58</x:v>
      </x:c>
      <x:c r="L4" s="33" t="s">
        <x:v>73</x:v>
      </x:c>
      <x:c r="M4" s="35">
        <x:v>10</x:v>
      </x:c>
      <x:c r="N4" s="35">
        <x:v>1258807</x:v>
      </x:c>
      <x:c r="O4" s="33" t="s">
        <x:v>98</x:v>
      </x:c>
      <x:c r="P4" s="33" t="s">
        <x:v>73</x:v>
      </x:c>
      <x:c r="Q4" s="33" t="s">
        <x:v>120</x:v>
      </x:c>
      <x:c r="R4" s="33" t="s">
        <x:v>98</x:v>
      </x:c>
      <x:c r="S4" s="31" t="s">
        <x:v>295</x:v>
      </x:c>
      <x:c r="T4" s="31" t="s">
        <x:v>296</x:v>
      </x:c>
      <x:c r="U4" s="31" t="s">
        <x:v>276</x:v>
      </x:c>
      <x:c r="V4" s="33" t="s">
        <x:v>277</x:v>
      </x:c>
      <x:c r="W4" s="33"/>
      <x:c r="X4" s="33" t="s">
        <x:v>238</x:v>
      </x:c>
      <x:c r="Y4" s="36"/>
      <x:c r="Z4" s="36"/>
      <x:c r="AA4" s="33" t="s">
        <x:v>120</x:v>
      </x:c>
      <x:c r="AB4" s="37" t="n">
        <x:f>IFERROR(INDEX(Effort_Model!$J$6:$J$33,MATCH(K4&amp;"|"&amp;L4,Effort_Model!$B$6:$B$33,0)),"")</x:f>
        <x:v>26.4</x:v>
      </x:c>
      <x:c r="AC4" s="38">
        <x:v>142.9</x:v>
      </x:c>
      <x:c r="AD4" s="37">
        <x:f t="shared" si="0"/>
        <x:v>187.9</x:v>
      </x:c>
      <x:c r="AE4" s="37" t="n">
        <x:f>IFERROR(ROUND(IFERROR(INDEX(Scoring_Rules!$C$43:$C$44,MATCH(Q4,Scoring_Rules!$B$43:$B$44,0)),0)*Scoring_Rules!$C$6+IFERROR(INDEX(Scoring_Rules!$C$34:$C$40,MATCH(K4,Scoring_Rules!$B$34:$B$40,0)),0)*Scoring_Rules!$C$7+IFERROR(INDEX(Scoring_Rules!$C$16:$C$19,MATCH(P4,Scoring_Rules!$B$16:$B$19,0)),0)*Scoring_Rules!$C$8+IFERROR(INDEX(Scoring_Rules!$C$22:$C$25,MATCH(O4,Scoring_Rules!$B$22:$B$25,0)),0)*Scoring_Rules!$C$9+IFERROR(INDEX(Scoring_Rules!$C$47:$C$50,MATCH(X4,Scoring_Rules!$B$47:$B$50,0)),0)*Scoring_Rules!$C$10+IFERROR(INDEX(Scoring_Rules!$C$28:$C$31,MATCH(R4,Scoring_Rules!$B$28:$B$31,0)),0)*Scoring_Rules!$C$11,1),"")</x:f>
        <x:v>67</x:v>
      </x:c>
      <x:c r="AF4" s="35"/>
      <x:c r="AG4" s="33" t="s">
        <x:v>297</x:v>
      </x:c>
      <x:c r="AH4" s="36">
        <x:v>46305</x:v>
      </x:c>
      <x:c r="AI4" s="33" t="s">
        <x:v>125</x:v>
      </x:c>
      <x:c r="AJ4" s="34"/>
    </x:row>
    <x:row r="5" ht="23.25" customHeight="1">
      <x:c r="A5" s="31" t="s">
        <x:v>298</x:v>
      </x:c>
      <x:c r="B5" s="31" t="s">
        <x:v>299</x:v>
      </x:c>
      <x:c r="C5" s="31" t="s">
        <x:v>283</x:v>
      </x:c>
      <x:c r="D5" s="32" t="s">
        <x:v>300</x:v>
      </x:c>
      <x:c r="E5" s="32" t="str">
        <x:v>Data Migration Only</x:v>
      </x:c>
      <x:c r="F5" s="33" t="s">
        <x:v>118</x:v>
      </x:c>
      <x:c r="G5" s="34" t="s">
        <x:v>294</x:v>
      </x:c>
      <x:c r="H5" s="33" t="s">
        <x:v>91</x:v>
      </x:c>
      <x:c r="I5" s="33" t="s">
        <x:v>286</x:v>
      </x:c>
      <x:c r="J5" s="33" t="s">
        <x:v>80</x:v>
      </x:c>
      <x:c r="K5" s="33" t="s">
        <x:v>64</x:v>
      </x:c>
      <x:c r="L5" s="33" t="s">
        <x:v>71</x:v>
      </x:c>
      <x:c r="M5" s="35">
        <x:v>121</x:v>
      </x:c>
      <x:c r="N5" s="35">
        <x:v>1077352145</x:v>
      </x:c>
      <x:c r="O5" s="33" t="s">
        <x:v>73</x:v>
      </x:c>
      <x:c r="P5" s="33" t="s">
        <x:v>98</x:v>
      </x:c>
      <x:c r="Q5" s="33" t="s">
        <x:v>120</x:v>
      </x:c>
      <x:c r="R5" s="33" t="s">
        <x:v>73</x:v>
      </x:c>
      <x:c r="S5" s="31" t="s">
        <x:v>301</x:v>
      </x:c>
      <x:c r="T5" s="31" t="s">
        <x:v>302</x:v>
      </x:c>
      <x:c r="U5" s="31" t="s">
        <x:v>276</x:v>
      </x:c>
      <x:c r="V5" s="33" t="s">
        <x:v>303</x:v>
      </x:c>
      <x:c r="W5" s="33" t="s">
        <x:v>281</x:v>
      </x:c>
      <x:c r="X5" s="33" t="s">
        <x:v>239</x:v>
      </x:c>
      <x:c r="Y5" s="36"/>
      <x:c r="Z5" s="36"/>
      <x:c r="AA5" s="33" t="s">
        <x:v>120</x:v>
      </x:c>
      <x:c r="AB5" s="37" t="n">
        <x:f>IFERROR(INDEX(Effort_Model!$J$6:$J$33,MATCH(K5&amp;"|"&amp;L5,Effort_Model!$B$6:$B$33,0)),"")</x:f>
        <x:v>18.4</x:v>
      </x:c>
      <x:c r="AC5" s="38">
        <x:v>540.5</x:v>
      </x:c>
      <x:c r="AD5" s="37">
        <x:f t="shared" si="0"/>
        <x:v>646.9</x:v>
      </x:c>
      <x:c r="AE5" s="37" t="n">
        <x:f>IFERROR(ROUND(IFERROR(INDEX(Scoring_Rules!$C$43:$C$44,MATCH(Q5,Scoring_Rules!$B$43:$B$44,0)),0)*Scoring_Rules!$C$6+IFERROR(INDEX(Scoring_Rules!$C$34:$C$40,MATCH(K5,Scoring_Rules!$B$34:$B$40,0)),0)*Scoring_Rules!$C$7+IFERROR(INDEX(Scoring_Rules!$C$16:$C$19,MATCH(P5,Scoring_Rules!$B$16:$B$19,0)),0)*Scoring_Rules!$C$8+IFERROR(INDEX(Scoring_Rules!$C$22:$C$25,MATCH(O5,Scoring_Rules!$B$22:$B$25,0)),0)*Scoring_Rules!$C$9+IFERROR(INDEX(Scoring_Rules!$C$47:$C$50,MATCH(X5,Scoring_Rules!$B$47:$B$50,0)),0)*Scoring_Rules!$C$10+IFERROR(INDEX(Scoring_Rules!$C$28:$C$31,MATCH(R5,Scoring_Rules!$B$28:$B$31,0)),0)*Scoring_Rules!$C$11,1),"")</x:f>
        <x:v>51.5</x:v>
      </x:c>
      <x:c r="AF5" s="35"/>
      <x:c r="AG5" s="33" t="s">
        <x:v>304</x:v>
      </x:c>
      <x:c r="AH5" s="36">
        <x:v>46389</x:v>
      </x:c>
      <x:c r="AI5" s="33" t="s">
        <x:v>124</x:v>
      </x:c>
      <x:c r="AJ5" s="34"/>
    </x:row>
    <x:row r="6" ht="15" customHeight="1">
      <x:c r="A6" s="31" t="s">
        <x:v>305</x:v>
      </x:c>
      <x:c r="B6" s="31" t="s">
        <x:v>306</x:v>
      </x:c>
      <x:c r="C6" s="31" t="s">
        <x:v>283</x:v>
      </x:c>
      <x:c r="D6" s="32" t="s">
        <x:v>307</x:v>
      </x:c>
      <x:c r="E6" s="32" t="str">
        <x:v>Data Migration Only</x:v>
      </x:c>
      <x:c r="F6" s="33" t="s">
        <x:v>118</x:v>
      </x:c>
      <x:c r="G6" s="34" t="s">
        <x:v>285</x:v>
      </x:c>
      <x:c r="H6" s="33" t="s">
        <x:v>91</x:v>
      </x:c>
      <x:c r="I6" s="33" t="s">
        <x:v>286</x:v>
      </x:c>
      <x:c r="J6" s="33" t="s">
        <x:v>80</x:v>
      </x:c>
      <x:c r="K6" s="33" t="s">
        <x:v>60</x:v>
      </x:c>
      <x:c r="L6" s="33" t="s">
        <x:v>71</x:v>
      </x:c>
      <x:c r="M6" s="35">
        <x:v>35</x:v>
      </x:c>
      <x:c r="N6" s="35">
        <x:v>4849040</x:v>
      </x:c>
      <x:c r="O6" s="33" t="s">
        <x:v>73</x:v>
      </x:c>
      <x:c r="P6" s="33" t="s">
        <x:v>101</x:v>
      </x:c>
      <x:c r="Q6" s="33" t="s">
        <x:v>120</x:v>
      </x:c>
      <x:c r="R6" s="33" t="s">
        <x:v>98</x:v>
      </x:c>
      <x:c r="S6" s="31" t="s">
        <x:v>308</x:v>
      </x:c>
      <x:c r="T6" s="31" t="s">
        <x:v>309</x:v>
      </x:c>
      <x:c r="U6" s="31" t="s">
        <x:v>276</x:v>
      </x:c>
      <x:c r="V6" s="33" t="s">
        <x:v>277</x:v>
      </x:c>
      <x:c r="W6" s="33" t="s">
        <x:v>310</x:v>
      </x:c>
      <x:c r="X6" s="33" t="s">
        <x:v>240</x:v>
      </x:c>
      <x:c r="Y6" s="36"/>
      <x:c r="Z6" s="36">
        <x:v>46890</x:v>
      </x:c>
      <x:c r="AA6" s="33" t="s">
        <x:v>120</x:v>
      </x:c>
      <x:c r="AB6" s="37" t="n">
        <x:f>IFERROR(INDEX(Effort_Model!$J$6:$J$33,MATCH(K6&amp;"|"&amp;L6,Effort_Model!$B$6:$B$33,0)),"")</x:f>
        <x:v>18.4</x:v>
      </x:c>
      <x:c r="AC6" s="38">
        <x:v>176.9</x:v>
      </x:c>
      <x:c r="AD6" s="37">
        <x:f t="shared" si="0"/>
        <x:v>219.3</x:v>
      </x:c>
      <x:c r="AE6" s="37" t="n">
        <x:f>IFERROR(ROUND(IFERROR(INDEX(Scoring_Rules!$C$43:$C$44,MATCH(Q6,Scoring_Rules!$B$43:$B$44,0)),0)*Scoring_Rules!$C$6+IFERROR(INDEX(Scoring_Rules!$C$34:$C$40,MATCH(K6,Scoring_Rules!$B$34:$B$40,0)),0)*Scoring_Rules!$C$7+IFERROR(INDEX(Scoring_Rules!$C$16:$C$19,MATCH(P6,Scoring_Rules!$B$16:$B$19,0)),0)*Scoring_Rules!$C$8+IFERROR(INDEX(Scoring_Rules!$C$22:$C$25,MATCH(O6,Scoring_Rules!$B$22:$B$25,0)),0)*Scoring_Rules!$C$9+IFERROR(INDEX(Scoring_Rules!$C$47:$C$50,MATCH(X6,Scoring_Rules!$B$47:$B$50,0)),0)*Scoring_Rules!$C$10+IFERROR(INDEX(Scoring_Rules!$C$28:$C$31,MATCH(R6,Scoring_Rules!$B$28:$B$31,0)),0)*Scoring_Rules!$C$11,1),"")</x:f>
        <x:v>42</x:v>
      </x:c>
      <x:c r="AF6" s="35"/>
      <x:c r="AG6" s="33" t="s">
        <x:v>311</x:v>
      </x:c>
      <x:c r="AH6" s="36">
        <x:v>46382</x:v>
      </x:c>
      <x:c r="AI6" s="33" t="s">
        <x:v>127</x:v>
      </x:c>
      <x:c r="AJ6" s="34" t="s">
        <x:v>312</x:v>
      </x:c>
    </x:row>
    <x:row r="7" ht="15" customHeight="1">
      <x:c r="A7" s="31" t="s">
        <x:v>313</x:v>
      </x:c>
      <x:c r="B7" s="31" t="s">
        <x:v>314</x:v>
      </x:c>
      <x:c r="C7" s="31" t="s">
        <x:v>283</x:v>
      </x:c>
      <x:c r="D7" s="32" t="s">
        <x:v>315</x:v>
      </x:c>
      <x:c r="E7" s="32" t="str">
        <x:v>Data Migration Only</x:v>
      </x:c>
      <x:c r="F7" s="33" t="s">
        <x:v>118</x:v>
      </x:c>
      <x:c r="G7" s="34" t="s">
        <x:v>294</x:v>
      </x:c>
      <x:c r="H7" s="33" t="s">
        <x:v>91</x:v>
      </x:c>
      <x:c r="I7" s="33" t="s">
        <x:v>286</x:v>
      </x:c>
      <x:c r="J7" s="33" t="s">
        <x:v>80</x:v>
      </x:c>
      <x:c r="K7" s="33" t="s">
        <x:v>56</x:v>
      </x:c>
      <x:c r="L7" s="33" t="s">
        <x:v>73</x:v>
      </x:c>
      <x:c r="M7" s="35">
        <x:v>9</x:v>
      </x:c>
      <x:c r="N7" s="35">
        <x:v>76274</x:v>
      </x:c>
      <x:c r="O7" s="33" t="s">
        <x:v>98</x:v>
      </x:c>
      <x:c r="P7" s="33" t="s">
        <x:v>101</x:v>
      </x:c>
      <x:c r="Q7" s="33" t="s">
        <x:v>120</x:v>
      </x:c>
      <x:c r="R7" s="33" t="s">
        <x:v>73</x:v>
      </x:c>
      <x:c r="S7" s="31" t="s">
        <x:v>316</x:v>
      </x:c>
      <x:c r="T7" s="31" t="s">
        <x:v>317</x:v>
      </x:c>
      <x:c r="U7" s="31" t="s">
        <x:v>276</x:v>
      </x:c>
      <x:c r="V7" s="33" t="s">
        <x:v>277</x:v>
      </x:c>
      <x:c r="W7" s="33"/>
      <x:c r="X7" s="33" t="s">
        <x:v>238</x:v>
      </x:c>
      <x:c r="Y7" s="36">
        <x:v>46320</x:v>
      </x:c>
      <x:c r="Z7" s="36"/>
      <x:c r="AA7" s="33" t="s">
        <x:v>120</x:v>
      </x:c>
      <x:c r="AB7" s="37" t="n">
        <x:f>IFERROR(INDEX(Effort_Model!$J$6:$J$33,MATCH(K7&amp;"|"&amp;L7,Effort_Model!$B$6:$B$33,0)),"")</x:f>
        <x:v>18.4</x:v>
      </x:c>
      <x:c r="AC7" s="38">
        <x:v>74.3</x:v>
      </x:c>
      <x:c r="AD7" s="37">
        <x:f t="shared" si="0"/>
        <x:v>103.3</x:v>
      </x:c>
      <x:c r="AE7" s="37" t="n">
        <x:f>IFERROR(ROUND(IFERROR(INDEX(Scoring_Rules!$C$43:$C$44,MATCH(Q7,Scoring_Rules!$B$43:$B$44,0)),0)*Scoring_Rules!$C$6+IFERROR(INDEX(Scoring_Rules!$C$34:$C$40,MATCH(K7,Scoring_Rules!$B$34:$B$40,0)),0)*Scoring_Rules!$C$7+IFERROR(INDEX(Scoring_Rules!$C$16:$C$19,MATCH(P7,Scoring_Rules!$B$16:$B$19,0)),0)*Scoring_Rules!$C$8+IFERROR(INDEX(Scoring_Rules!$C$22:$C$25,MATCH(O7,Scoring_Rules!$B$22:$B$25,0)),0)*Scoring_Rules!$C$9+IFERROR(INDEX(Scoring_Rules!$C$47:$C$50,MATCH(X7,Scoring_Rules!$B$47:$B$50,0)),0)*Scoring_Rules!$C$10+IFERROR(INDEX(Scoring_Rules!$C$28:$C$31,MATCH(R7,Scoring_Rules!$B$28:$B$31,0)),0)*Scoring_Rules!$C$11,1),"")</x:f>
        <x:v>60.5</x:v>
      </x:c>
      <x:c r="AF7" s="35"/>
      <x:c r="AG7" s="33" t="s">
        <x:v>290</x:v>
      </x:c>
      <x:c r="AH7" s="36">
        <x:v>46387</x:v>
      </x:c>
      <x:c r="AI7" s="33" t="s">
        <x:v>127</x:v>
      </x:c>
      <x:c r="AJ7" s="34"/>
    </x:row>
    <x:row r="8" ht="15" customHeight="1">
      <x:c r="A8" s="31" t="s">
        <x:v>318</x:v>
      </x:c>
      <x:c r="B8" s="31" t="s">
        <x:v>319</x:v>
      </x:c>
      <x:c r="C8" s="31" t="s">
        <x:v>283</x:v>
      </x:c>
      <x:c r="D8" s="32" t="s">
        <x:v>320</x:v>
      </x:c>
      <x:c r="E8" s="32" t="str">
        <x:v>Data Migration Only</x:v>
      </x:c>
      <x:c r="F8" s="33" t="s">
        <x:v>118</x:v>
      </x:c>
      <x:c r="G8" s="34" t="s">
        <x:v>285</x:v>
      </x:c>
      <x:c r="H8" s="33" t="s">
        <x:v>91</x:v>
      </x:c>
      <x:c r="I8" s="33" t="s">
        <x:v>286</x:v>
      </x:c>
      <x:c r="J8" s="33" t="s">
        <x:v>80</x:v>
      </x:c>
      <x:c r="K8" s="33" t="s">
        <x:v>58</x:v>
      </x:c>
      <x:c r="L8" s="33" t="s">
        <x:v>73</x:v>
      </x:c>
      <x:c r="M8" s="35">
        <x:v>24</x:v>
      </x:c>
      <x:c r="N8" s="35">
        <x:v>1029114</x:v>
      </x:c>
      <x:c r="O8" s="33" t="s">
        <x:v>98</x:v>
      </x:c>
      <x:c r="P8" s="33" t="s">
        <x:v>109</x:v>
      </x:c>
      <x:c r="Q8" s="33" t="s">
        <x:v>120</x:v>
      </x:c>
      <x:c r="R8" s="33" t="s">
        <x:v>115</x:v>
      </x:c>
      <x:c r="S8" s="31" t="s">
        <x:v>321</x:v>
      </x:c>
      <x:c r="T8" s="31" t="s">
        <x:v>322</x:v>
      </x:c>
      <x:c r="U8" s="31" t="s">
        <x:v>276</x:v>
      </x:c>
      <x:c r="V8" s="33" t="s">
        <x:v>323</x:v>
      </x:c>
      <x:c r="W8" s="33"/>
      <x:c r="X8" s="33" t="s">
        <x:v>238</x:v>
      </x:c>
      <x:c r="Y8" s="36"/>
      <x:c r="Z8" s="36"/>
      <x:c r="AA8" s="33" t="s">
        <x:v>120</x:v>
      </x:c>
      <x:c r="AB8" s="37" t="n">
        <x:f>IFERROR(INDEX(Effort_Model!$J$6:$J$33,MATCH(K8&amp;"|"&amp;L8,Effort_Model!$B$6:$B$33,0)),"")</x:f>
        <x:v>26.4</x:v>
      </x:c>
      <x:c r="AC8" s="38">
        <x:v>134.69999999999999</x:v>
      </x:c>
      <x:c r="AD8" s="37">
        <x:f t="shared" si="0"/>
        <x:v>179.7</x:v>
      </x:c>
      <x:c r="AE8" s="37" t="n">
        <x:f>IFERROR(ROUND(IFERROR(INDEX(Scoring_Rules!$C$43:$C$44,MATCH(Q8,Scoring_Rules!$B$43:$B$44,0)),0)*Scoring_Rules!$C$6+IFERROR(INDEX(Scoring_Rules!$C$34:$C$40,MATCH(K8,Scoring_Rules!$B$34:$B$40,0)),0)*Scoring_Rules!$C$7+IFERROR(INDEX(Scoring_Rules!$C$16:$C$19,MATCH(P8,Scoring_Rules!$B$16:$B$19,0)),0)*Scoring_Rules!$C$8+IFERROR(INDEX(Scoring_Rules!$C$22:$C$25,MATCH(O8,Scoring_Rules!$B$22:$B$25,0)),0)*Scoring_Rules!$C$9+IFERROR(INDEX(Scoring_Rules!$C$47:$C$50,MATCH(X8,Scoring_Rules!$B$47:$B$50,0)),0)*Scoring_Rules!$C$10+IFERROR(INDEX(Scoring_Rules!$C$28:$C$31,MATCH(R8,Scoring_Rules!$B$28:$B$31,0)),0)*Scoring_Rules!$C$11,1),"")</x:f>
        <x:v>48</x:v>
      </x:c>
      <x:c r="AF8" s="35"/>
      <x:c r="AG8" s="33" t="s">
        <x:v>297</x:v>
      </x:c>
      <x:c r="AH8" s="36">
        <x:v>46358</x:v>
      </x:c>
      <x:c r="AI8" s="33" t="s">
        <x:v>127</x:v>
      </x:c>
      <x:c r="AJ8" s="34"/>
    </x:row>
    <x:row r="9" ht="34.5" customHeight="1">
      <x:c r="A9" s="31" t="s">
        <x:v>324</x:v>
      </x:c>
      <x:c r="B9" s="31" t="s">
        <x:v>325</x:v>
      </x:c>
      <x:c r="C9" s="31" t="s">
        <x:v>283</x:v>
      </x:c>
      <x:c r="D9" s="32" t="s">
        <x:v>326</x:v>
      </x:c>
      <x:c r="E9" s="32" t="str">
        <x:v>Data Migration Only</x:v>
      </x:c>
      <x:c r="F9" s="33" t="s">
        <x:v>118</x:v>
      </x:c>
      <x:c r="G9" s="34" t="s">
        <x:v>294</x:v>
      </x:c>
      <x:c r="H9" s="33" t="s">
        <x:v>91</x:v>
      </x:c>
      <x:c r="I9" s="33" t="s">
        <x:v>286</x:v>
      </x:c>
      <x:c r="J9" s="33" t="s">
        <x:v>80</x:v>
      </x:c>
      <x:c r="K9" s="33" t="s">
        <x:v>64</x:v>
      </x:c>
      <x:c r="L9" s="33" t="s">
        <x:v>73</x:v>
      </x:c>
      <x:c r="M9" s="35">
        <x:v>139</x:v>
      </x:c>
      <x:c r="N9" s="35">
        <x:v>1412627839</x:v>
      </x:c>
      <x:c r="O9" s="33" t="s">
        <x:v>101</x:v>
      </x:c>
      <x:c r="P9" s="33" t="s">
        <x:v>98</x:v>
      </x:c>
      <x:c r="Q9" s="33" t="s">
        <x:v>120</x:v>
      </x:c>
      <x:c r="R9" s="33" t="s">
        <x:v>101</x:v>
      </x:c>
      <x:c r="S9" s="31" t="s">
        <x:v>327</x:v>
      </x:c>
      <x:c r="T9" s="31" t="s">
        <x:v>328</x:v>
      </x:c>
      <x:c r="U9" s="31" t="s">
        <x:v>276</x:v>
      </x:c>
      <x:c r="V9" s="33" t="s">
        <x:v>329</x:v>
      </x:c>
      <x:c r="W9" s="33" t="s">
        <x:v>330</x:v>
      </x:c>
      <x:c r="X9" s="33" t="s">
        <x:v>240</x:v>
      </x:c>
      <x:c r="Y9" s="36"/>
      <x:c r="Z9" s="36">
        <x:v>46939</x:v>
      </x:c>
      <x:c r="AA9" s="33" t="s">
        <x:v>120</x:v>
      </x:c>
      <x:c r="AB9" s="37" t="n">
        <x:f>IFERROR(INDEX(Effort_Model!$J$6:$J$33,MATCH(K9&amp;"|"&amp;L9,Effort_Model!$B$6:$B$33,0)),"")</x:f>
        <x:v>106.4</x:v>
      </x:c>
      <x:c r="AC9" s="38">
        <x:v>824.7</x:v>
      </x:c>
      <x:c r="AD9" s="37">
        <x:f t="shared" si="0"/>
        <x:v>1029.7</x:v>
      </x:c>
      <x:c r="AE9" s="37" t="n">
        <x:f>IFERROR(ROUND(IFERROR(INDEX(Scoring_Rules!$C$43:$C$44,MATCH(Q9,Scoring_Rules!$B$43:$B$44,0)),0)*Scoring_Rules!$C$6+IFERROR(INDEX(Scoring_Rules!$C$34:$C$40,MATCH(K9,Scoring_Rules!$B$34:$B$40,0)),0)*Scoring_Rules!$C$7+IFERROR(INDEX(Scoring_Rules!$C$16:$C$19,MATCH(P9,Scoring_Rules!$B$16:$B$19,0)),0)*Scoring_Rules!$C$8+IFERROR(INDEX(Scoring_Rules!$C$22:$C$25,MATCH(O9,Scoring_Rules!$B$22:$B$25,0)),0)*Scoring_Rules!$C$9+IFERROR(INDEX(Scoring_Rules!$C$47:$C$50,MATCH(X9,Scoring_Rules!$B$47:$B$50,0)),0)*Scoring_Rules!$C$10+IFERROR(INDEX(Scoring_Rules!$C$28:$C$31,MATCH(R9,Scoring_Rules!$B$28:$B$31,0)),0)*Scoring_Rules!$C$11,1),"")</x:f>
        <x:v>38.5</x:v>
      </x:c>
      <x:c r="AF9" s="35"/>
      <x:c r="AG9" s="33" t="s">
        <x:v>304</x:v>
      </x:c>
      <x:c r="AH9" s="36">
        <x:v>46339</x:v>
      </x:c>
      <x:c r="AI9" s="33" t="s">
        <x:v>127</x:v>
      </x:c>
      <x:c r="AJ9" s="34"/>
    </x:row>
    <x:row r="10" ht="15" customHeight="1">
      <x:c r="A10" s="31" t="s">
        <x:v>331</x:v>
      </x:c>
      <x:c r="B10" s="31" t="s">
        <x:v>332</x:v>
      </x:c>
      <x:c r="C10" s="31" t="s">
        <x:v>283</x:v>
      </x:c>
      <x:c r="D10" s="32" t="s">
        <x:v>333</x:v>
      </x:c>
      <x:c r="E10" s="32" t="str">
        <x:v>Data Migration Only</x:v>
      </x:c>
      <x:c r="F10" s="33" t="s">
        <x:v>118</x:v>
      </x:c>
      <x:c r="G10" s="34" t="s">
        <x:v>294</x:v>
      </x:c>
      <x:c r="H10" s="33" t="s">
        <x:v>91</x:v>
      </x:c>
      <x:c r="I10" s="33" t="s">
        <x:v>286</x:v>
      </x:c>
      <x:c r="J10" s="33" t="s">
        <x:v>80</x:v>
      </x:c>
      <x:c r="K10" s="33" t="s">
        <x:v>62</x:v>
      </x:c>
      <x:c r="L10" s="33" t="s">
        <x:v>75</x:v>
      </x:c>
      <x:c r="M10" s="35">
        <x:v>52</x:v>
      </x:c>
      <x:c r="N10" s="35">
        <x:v>123190759</x:v>
      </x:c>
      <x:c r="O10" s="33" t="s">
        <x:v>101</x:v>
      </x:c>
      <x:c r="P10" s="33" t="s">
        <x:v>109</x:v>
      </x:c>
      <x:c r="Q10" s="33" t="s">
        <x:v>120</x:v>
      </x:c>
      <x:c r="R10" s="33" t="s">
        <x:v>101</x:v>
      </x:c>
      <x:c r="S10" s="31" t="s">
        <x:v>334</x:v>
      </x:c>
      <x:c r="T10" s="31" t="s">
        <x:v>335</x:v>
      </x:c>
      <x:c r="U10" s="31" t="s">
        <x:v>276</x:v>
      </x:c>
      <x:c r="V10" s="33" t="s">
        <x:v>277</x:v>
      </x:c>
      <x:c r="W10" s="33"/>
      <x:c r="X10" s="33" t="s">
        <x:v>238</x:v>
      </x:c>
      <x:c r="Y10" s="36">
        <x:v>46566</x:v>
      </x:c>
      <x:c r="Z10" s="36"/>
      <x:c r="AA10" s="33" t="s">
        <x:v>120</x:v>
      </x:c>
      <x:c r="AB10" s="37" t="n">
        <x:f>IFERROR(INDEX(Effort_Model!$J$6:$J$33,MATCH(K10&amp;"|"&amp;L10,Effort_Model!$B$6:$B$33,0)),"")</x:f>
        <x:v>74.4</x:v>
      </x:c>
      <x:c r="AC10" s="38">
        <x:v>600.70000000000005</x:v>
      </x:c>
      <x:c r="AD10" s="37">
        <x:f t="shared" si="0"/>
        <x:v>810.03330000000005</x:v>
      </x:c>
      <x:c r="AE10" s="37" t="n">
        <x:f>IFERROR(ROUND(IFERROR(INDEX(Scoring_Rules!$C$43:$C$44,MATCH(Q10,Scoring_Rules!$B$43:$B$44,0)),0)*Scoring_Rules!$C$6+IFERROR(INDEX(Scoring_Rules!$C$34:$C$40,MATCH(K10,Scoring_Rules!$B$34:$B$40,0)),0)*Scoring_Rules!$C$7+IFERROR(INDEX(Scoring_Rules!$C$16:$C$19,MATCH(P10,Scoring_Rules!$B$16:$B$19,0)),0)*Scoring_Rules!$C$8+IFERROR(INDEX(Scoring_Rules!$C$22:$C$25,MATCH(O10,Scoring_Rules!$B$22:$B$25,0)),0)*Scoring_Rules!$C$9+IFERROR(INDEX(Scoring_Rules!$C$47:$C$50,MATCH(X10,Scoring_Rules!$B$47:$B$50,0)),0)*Scoring_Rules!$C$10+IFERROR(INDEX(Scoring_Rules!$C$28:$C$31,MATCH(R10,Scoring_Rules!$B$28:$B$31,0)),0)*Scoring_Rules!$C$11,1),"")</x:f>
        <x:v>33</x:v>
      </x:c>
      <x:c r="AF10" s="35"/>
      <x:c r="AG10" s="33" t="s">
        <x:v>311</x:v>
      </x:c>
      <x:c r="AH10" s="36">
        <x:v>46369</x:v>
      </x:c>
      <x:c r="AI10" s="33" t="s">
        <x:v>125</x:v>
      </x:c>
      <x:c r="AJ10" s="34" t="s">
        <x:v>336</x:v>
      </x:c>
    </x:row>
    <x:row r="11" ht="15" customHeight="1">
      <x:c r="A11" s="31" t="s">
        <x:v>337</x:v>
      </x:c>
      <x:c r="B11" s="31" t="s">
        <x:v>338</x:v>
      </x:c>
      <x:c r="C11" s="31" t="s">
        <x:v>283</x:v>
      </x:c>
      <x:c r="D11" s="32" t="s">
        <x:v>339</x:v>
      </x:c>
      <x:c r="E11" s="32" t="str">
        <x:v>Data Migration Only</x:v>
      </x:c>
      <x:c r="F11" s="33" t="s">
        <x:v>120</x:v>
      </x:c>
      <x:c r="G11" s="34" t="s">
        <x:v>294</x:v>
      </x:c>
      <x:c r="H11" s="33" t="s">
        <x:v>91</x:v>
      </x:c>
      <x:c r="I11" s="33" t="s">
        <x:v>286</x:v>
      </x:c>
      <x:c r="J11" s="33" t="s">
        <x:v>80</x:v>
      </x:c>
      <x:c r="K11" s="33" t="s">
        <x:v>60</x:v>
      </x:c>
      <x:c r="L11" s="33" t="s">
        <x:v>71</x:v>
      </x:c>
      <x:c r="M11" s="35">
        <x:v>41</x:v>
      </x:c>
      <x:c r="N11" s="35">
        <x:v>4752400</x:v>
      </x:c>
      <x:c r="O11" s="33" t="s">
        <x:v>98</x:v>
      </x:c>
      <x:c r="P11" s="33" t="s">
        <x:v>98</x:v>
      </x:c>
      <x:c r="Q11" s="33" t="s">
        <x:v>120</x:v>
      </x:c>
      <x:c r="R11" s="33" t="s">
        <x:v>73</x:v>
      </x:c>
      <x:c r="S11" s="31" t="s">
        <x:v>340</x:v>
      </x:c>
      <x:c r="T11" s="31" t="s">
        <x:v>341</x:v>
      </x:c>
      <x:c r="U11" s="31" t="s">
        <x:v>276</x:v>
      </x:c>
      <x:c r="V11" s="33" t="s">
        <x:v>303</x:v>
      </x:c>
      <x:c r="W11" s="33"/>
      <x:c r="X11" s="33" t="s">
        <x:v>238</x:v>
      </x:c>
      <x:c r="Y11" s="36"/>
      <x:c r="Z11" s="36">
        <x:v>46628</x:v>
      </x:c>
      <x:c r="AA11" s="33" t="s">
        <x:v>120</x:v>
      </x:c>
      <x:c r="AB11" s="37" t="n">
        <x:f>IFERROR(INDEX(Effort_Model!$J$6:$J$33,MATCH(K11&amp;"|"&amp;L11,Effort_Model!$B$6:$B$33,0)),"")</x:f>
        <x:v>18.4</x:v>
      </x:c>
      <x:c r="AC11" s="38">
        <x:v>177.6</x:v>
      </x:c>
      <x:c r="AD11" s="37">
        <x:f t="shared" si="0"/>
        <x:v>220</x:v>
      </x:c>
      <x:c r="AE11" s="37" t="n">
        <x:f>IFERROR(ROUND(IFERROR(INDEX(Scoring_Rules!$C$43:$C$44,MATCH(Q11,Scoring_Rules!$B$43:$B$44,0)),0)*Scoring_Rules!$C$6+IFERROR(INDEX(Scoring_Rules!$C$34:$C$40,MATCH(K11,Scoring_Rules!$B$34:$B$40,0)),0)*Scoring_Rules!$C$7+IFERROR(INDEX(Scoring_Rules!$C$16:$C$19,MATCH(P11,Scoring_Rules!$B$16:$B$19,0)),0)*Scoring_Rules!$C$8+IFERROR(INDEX(Scoring_Rules!$C$22:$C$25,MATCH(O11,Scoring_Rules!$B$22:$B$25,0)),0)*Scoring_Rules!$C$9+IFERROR(INDEX(Scoring_Rules!$C$47:$C$50,MATCH(X11,Scoring_Rules!$B$47:$B$50,0)),0)*Scoring_Rules!$C$10+IFERROR(INDEX(Scoring_Rules!$C$28:$C$31,MATCH(R11,Scoring_Rules!$B$28:$B$31,0)),0)*Scoring_Rules!$C$11,1),"")</x:f>
        <x:v>68.5</x:v>
      </x:c>
      <x:c r="AF11" s="35"/>
      <x:c r="AG11" s="33" t="s">
        <x:v>290</x:v>
      </x:c>
      <x:c r="AH11" s="36">
        <x:v>46410</x:v>
      </x:c>
      <x:c r="AI11" s="33" t="s">
        <x:v>127</x:v>
      </x:c>
      <x:c r="AJ11" s="34" t="s">
        <x:v>342</x:v>
      </x:c>
    </x:row>
    <x:row r="12" ht="15" customHeight="1">
      <x:c r="A12" s="31" t="s">
        <x:v>343</x:v>
      </x:c>
      <x:c r="B12" s="31" t="s">
        <x:v>344</x:v>
      </x:c>
      <x:c r="C12" s="31" t="s">
        <x:v>283</x:v>
      </x:c>
      <x:c r="D12" s="32" t="s">
        <x:v>339</x:v>
      </x:c>
      <x:c r="E12" s="32" t="str">
        <x:v>Data Migration Only</x:v>
      </x:c>
      <x:c r="F12" s="33" t="s">
        <x:v>120</x:v>
      </x:c>
      <x:c r="G12" s="34" t="s">
        <x:v>294</x:v>
      </x:c>
      <x:c r="H12" s="33" t="s">
        <x:v>91</x:v>
      </x:c>
      <x:c r="I12" s="33" t="s">
        <x:v>286</x:v>
      </x:c>
      <x:c r="J12" s="33" t="s">
        <x:v>80</x:v>
      </x:c>
      <x:c r="K12" s="33" t="s">
        <x:v>58</x:v>
      </x:c>
      <x:c r="L12" s="33" t="s">
        <x:v>73</x:v>
      </x:c>
      <x:c r="M12" s="35">
        <x:v>27</x:v>
      </x:c>
      <x:c r="N12" s="35">
        <x:v>632311</x:v>
      </x:c>
      <x:c r="O12" s="33" t="s">
        <x:v>73</x:v>
      </x:c>
      <x:c r="P12" s="33" t="s">
        <x:v>73</x:v>
      </x:c>
      <x:c r="Q12" s="33" t="s">
        <x:v>120</x:v>
      </x:c>
      <x:c r="R12" s="33" t="s">
        <x:v>101</x:v>
      </x:c>
      <x:c r="S12" s="31" t="s">
        <x:v>345</x:v>
      </x:c>
      <x:c r="T12" s="31" t="s">
        <x:v>346</x:v>
      </x:c>
      <x:c r="U12" s="31" t="s">
        <x:v>276</x:v>
      </x:c>
      <x:c r="V12" s="33" t="s">
        <x:v>347</x:v>
      </x:c>
      <x:c r="W12" s="33"/>
      <x:c r="X12" s="33" t="s">
        <x:v>238</x:v>
      </x:c>
      <x:c r="Y12" s="36">
        <x:v>46516</x:v>
      </x:c>
      <x:c r="Z12" s="36"/>
      <x:c r="AA12" s="33" t="s">
        <x:v>120</x:v>
      </x:c>
      <x:c r="AB12" s="37" t="n">
        <x:f>IFERROR(INDEX(Effort_Model!$J$6:$J$33,MATCH(K12&amp;"|"&amp;L12,Effort_Model!$B$6:$B$33,0)),"")</x:f>
        <x:v>26.4</x:v>
      </x:c>
      <x:c r="AC12" s="38">
        <x:v>145.30000000000001</x:v>
      </x:c>
      <x:c r="AD12" s="37">
        <x:f t="shared" si="0"/>
        <x:v>190.3</x:v>
      </x:c>
      <x:c r="AE12" s="37" t="n">
        <x:f>IFERROR(ROUND(IFERROR(INDEX(Scoring_Rules!$C$43:$C$44,MATCH(Q12,Scoring_Rules!$B$43:$B$44,0)),0)*Scoring_Rules!$C$6+IFERROR(INDEX(Scoring_Rules!$C$34:$C$40,MATCH(K12,Scoring_Rules!$B$34:$B$40,0)),0)*Scoring_Rules!$C$7+IFERROR(INDEX(Scoring_Rules!$C$16:$C$19,MATCH(P12,Scoring_Rules!$B$16:$B$19,0)),0)*Scoring_Rules!$C$8+IFERROR(INDEX(Scoring_Rules!$C$22:$C$25,MATCH(O12,Scoring_Rules!$B$22:$B$25,0)),0)*Scoring_Rules!$C$9+IFERROR(INDEX(Scoring_Rules!$C$47:$C$50,MATCH(X12,Scoring_Rules!$B$47:$B$50,0)),0)*Scoring_Rules!$C$10+IFERROR(INDEX(Scoring_Rules!$C$28:$C$31,MATCH(R12,Scoring_Rules!$B$28:$B$31,0)),0)*Scoring_Rules!$C$11,1),"")</x:f>
        <x:v>59.3</x:v>
      </x:c>
      <x:c r="AF12" s="35"/>
      <x:c r="AG12" s="33" t="s">
        <x:v>297</x:v>
      </x:c>
      <x:c r="AH12" s="36">
        <x:v>46306</x:v>
      </x:c>
      <x:c r="AI12" s="33" t="s">
        <x:v>126</x:v>
      </x:c>
      <x:c r="AJ12" s="34" t="s">
        <x:v>336</x:v>
      </x:c>
    </x:row>
    <x:row r="13" ht="15" customHeight="1">
      <x:c r="A13" s="31" t="s">
        <x:v>348</x:v>
      </x:c>
      <x:c r="B13" s="31" t="s">
        <x:v>349</x:v>
      </x:c>
      <x:c r="C13" s="31" t="s">
        <x:v>283</x:v>
      </x:c>
      <x:c r="D13" s="32" t="s">
        <x:v>350</x:v>
      </x:c>
      <x:c r="E13" s="32" t="str">
        <x:v>Data Migration Only</x:v>
      </x:c>
      <x:c r="F13" s="33" t="s">
        <x:v>118</x:v>
      </x:c>
      <x:c r="G13" s="34" t="s">
        <x:v>285</x:v>
      </x:c>
      <x:c r="H13" s="33" t="s">
        <x:v>91</x:v>
      </x:c>
      <x:c r="I13" s="33" t="s">
        <x:v>286</x:v>
      </x:c>
      <x:c r="J13" s="33" t="s">
        <x:v>80</x:v>
      </x:c>
      <x:c r="K13" s="33" t="s">
        <x:v>56</x:v>
      </x:c>
      <x:c r="L13" s="33" t="s">
        <x:v>73</x:v>
      </x:c>
      <x:c r="M13" s="35">
        <x:v>5</x:v>
      </x:c>
      <x:c r="N13" s="35">
        <x:v>74865</x:v>
      </x:c>
      <x:c r="O13" s="33" t="s">
        <x:v>98</x:v>
      </x:c>
      <x:c r="P13" s="33" t="s">
        <x:v>73</x:v>
      </x:c>
      <x:c r="Q13" s="33" t="s">
        <x:v>120</x:v>
      </x:c>
      <x:c r="R13" s="33" t="s">
        <x:v>98</x:v>
      </x:c>
      <x:c r="S13" s="31" t="s">
        <x:v>351</x:v>
      </x:c>
      <x:c r="T13" s="31" t="s">
        <x:v>352</x:v>
      </x:c>
      <x:c r="U13" s="31" t="s">
        <x:v>276</x:v>
      </x:c>
      <x:c r="V13" s="33" t="s">
        <x:v>303</x:v>
      </x:c>
      <x:c r="W13" s="33" t="s">
        <x:v>353</x:v>
      </x:c>
      <x:c r="X13" s="33" t="s">
        <x:v>239</x:v>
      </x:c>
      <x:c r="Y13" s="36"/>
      <x:c r="Z13" s="36"/>
      <x:c r="AA13" s="33" t="s">
        <x:v>120</x:v>
      </x:c>
      <x:c r="AB13" s="37" t="n">
        <x:f>IFERROR(INDEX(Effort_Model!$J$6:$J$33,MATCH(K13&amp;"|"&amp;L13,Effort_Model!$B$6:$B$33,0)),"")</x:f>
        <x:v>18.4</x:v>
      </x:c>
      <x:c r="AC13" s="38">
        <x:v>89.3</x:v>
      </x:c>
      <x:c r="AD13" s="37">
        <x:f t="shared" si="0"/>
        <x:v>118.3</x:v>
      </x:c>
      <x:c r="AE13" s="37" t="n">
        <x:f>IFERROR(ROUND(IFERROR(INDEX(Scoring_Rules!$C$43:$C$44,MATCH(Q13,Scoring_Rules!$B$43:$B$44,0)),0)*Scoring_Rules!$C$6+IFERROR(INDEX(Scoring_Rules!$C$34:$C$40,MATCH(K13,Scoring_Rules!$B$34:$B$40,0)),0)*Scoring_Rules!$C$7+IFERROR(INDEX(Scoring_Rules!$C$16:$C$19,MATCH(P13,Scoring_Rules!$B$16:$B$19,0)),0)*Scoring_Rules!$C$8+IFERROR(INDEX(Scoring_Rules!$C$22:$C$25,MATCH(O13,Scoring_Rules!$B$22:$B$25,0)),0)*Scoring_Rules!$C$9+IFERROR(INDEX(Scoring_Rules!$C$47:$C$50,MATCH(X13,Scoring_Rules!$B$47:$B$50,0)),0)*Scoring_Rules!$C$10+IFERROR(INDEX(Scoring_Rules!$C$28:$C$31,MATCH(R13,Scoring_Rules!$B$28:$B$31,0)),0)*Scoring_Rules!$C$11,1),"")</x:f>
        <x:v>64.5</x:v>
      </x:c>
      <x:c r="AF13" s="35"/>
      <x:c r="AG13" s="33" t="s">
        <x:v>304</x:v>
      </x:c>
      <x:c r="AH13" s="36">
        <x:v>46321</x:v>
      </x:c>
      <x:c r="AI13" s="33" t="s">
        <x:v>127</x:v>
      </x:c>
      <x:c r="AJ13" s="34" t="s">
        <x:v>354</x:v>
      </x:c>
    </x:row>
    <x:row r="14" ht="23.25" customHeight="1">
      <x:c r="A14" s="31" t="s">
        <x:v>355</x:v>
      </x:c>
      <x:c r="B14" s="31" t="s">
        <x:v>356</x:v>
      </x:c>
      <x:c r="C14" s="31" t="s">
        <x:v>283</x:v>
      </x:c>
      <x:c r="D14" s="32" t="s">
        <x:v>357</x:v>
      </x:c>
      <x:c r="E14" s="32" t="str">
        <x:v>Data Migration Only</x:v>
      </x:c>
      <x:c r="F14" s="33" t="s">
        <x:v>118</x:v>
      </x:c>
      <x:c r="G14" s="34" t="s">
        <x:v>294</x:v>
      </x:c>
      <x:c r="H14" s="33" t="s">
        <x:v>91</x:v>
      </x:c>
      <x:c r="I14" s="33" t="s">
        <x:v>286</x:v>
      </x:c>
      <x:c r="J14" s="33" t="s">
        <x:v>80</x:v>
      </x:c>
      <x:c r="K14" s="33" t="s">
        <x:v>58</x:v>
      </x:c>
      <x:c r="L14" s="33" t="s">
        <x:v>73</x:v>
      </x:c>
      <x:c r="M14" s="35">
        <x:v>22</x:v>
      </x:c>
      <x:c r="N14" s="35">
        <x:v>502155</x:v>
      </x:c>
      <x:c r="O14" s="33" t="s">
        <x:v>73</x:v>
      </x:c>
      <x:c r="P14" s="33" t="s">
        <x:v>101</x:v>
      </x:c>
      <x:c r="Q14" s="33" t="s">
        <x:v>120</x:v>
      </x:c>
      <x:c r="R14" s="33" t="s">
        <x:v>98</x:v>
      </x:c>
      <x:c r="S14" s="31" t="s">
        <x:v>358</x:v>
      </x:c>
      <x:c r="T14" s="31" t="s">
        <x:v>359</x:v>
      </x:c>
      <x:c r="U14" s="31" t="s">
        <x:v>276</x:v>
      </x:c>
      <x:c r="V14" s="33" t="s">
        <x:v>303</x:v>
      </x:c>
      <x:c r="W14" s="33"/>
      <x:c r="X14" s="33" t="s">
        <x:v>238</x:v>
      </x:c>
      <x:c r="Y14" s="36"/>
      <x:c r="Z14" s="36"/>
      <x:c r="AA14" s="33" t="s">
        <x:v>120</x:v>
      </x:c>
      <x:c r="AB14" s="37" t="n">
        <x:f>IFERROR(INDEX(Effort_Model!$J$6:$J$33,MATCH(K14&amp;"|"&amp;L14,Effort_Model!$B$6:$B$33,0)),"")</x:f>
        <x:v>26.4</x:v>
      </x:c>
      <x:c r="AC14" s="38">
        <x:v>148</x:v>
      </x:c>
      <x:c r="AD14" s="37">
        <x:f t="shared" si="0"/>
        <x:v>193</x:v>
      </x:c>
      <x:c r="AE14" s="37" t="n">
        <x:f>IFERROR(ROUND(IFERROR(INDEX(Scoring_Rules!$C$43:$C$44,MATCH(Q14,Scoring_Rules!$B$43:$B$44,0)),0)*Scoring_Rules!$C$6+IFERROR(INDEX(Scoring_Rules!$C$34:$C$40,MATCH(K14,Scoring_Rules!$B$34:$B$40,0)),0)*Scoring_Rules!$C$7+IFERROR(INDEX(Scoring_Rules!$C$16:$C$19,MATCH(P14,Scoring_Rules!$B$16:$B$19,0)),0)*Scoring_Rules!$C$8+IFERROR(INDEX(Scoring_Rules!$C$22:$C$25,MATCH(O14,Scoring_Rules!$B$22:$B$25,0)),0)*Scoring_Rules!$C$9+IFERROR(INDEX(Scoring_Rules!$C$47:$C$50,MATCH(X14,Scoring_Rules!$B$47:$B$50,0)),0)*Scoring_Rules!$C$10+IFERROR(INDEX(Scoring_Rules!$C$28:$C$31,MATCH(R14,Scoring_Rules!$B$28:$B$31,0)),0)*Scoring_Rules!$C$11,1),"")</x:f>
        <x:v>55.5</x:v>
      </x:c>
      <x:c r="AF14" s="35"/>
      <x:c r="AG14" s="33" t="s">
        <x:v>311</x:v>
      </x:c>
      <x:c r="AH14" s="36">
        <x:v>46327</x:v>
      </x:c>
      <x:c r="AI14" s="33" t="s">
        <x:v>124</x:v>
      </x:c>
      <x:c r="AJ14" s="34"/>
    </x:row>
    <x:row r="15" ht="15" customHeight="1">
      <x:c r="A15" s="31" t="s">
        <x:v>360</x:v>
      </x:c>
      <x:c r="B15" s="31" t="s">
        <x:v>361</x:v>
      </x:c>
      <x:c r="C15" s="31" t="s">
        <x:v>283</x:v>
      </x:c>
      <x:c r="D15" s="32" t="s">
        <x:v>362</x:v>
      </x:c>
      <x:c r="E15" s="32" t="str">
        <x:v>Data Migration Only</x:v>
      </x:c>
      <x:c r="F15" s="33" t="s">
        <x:v>118</x:v>
      </x:c>
      <x:c r="G15" s="34" t="s">
        <x:v>285</x:v>
      </x:c>
      <x:c r="H15" s="33" t="s">
        <x:v>91</x:v>
      </x:c>
      <x:c r="I15" s="33" t="s">
        <x:v>286</x:v>
      </x:c>
      <x:c r="J15" s="33" t="s">
        <x:v>80</x:v>
      </x:c>
      <x:c r="K15" s="33" t="s">
        <x:v>60</x:v>
      </x:c>
      <x:c r="L15" s="33" t="s">
        <x:v>71</x:v>
      </x:c>
      <x:c r="M15" s="35">
        <x:v>46</x:v>
      </x:c>
      <x:c r="N15" s="35">
        <x:v>6677548</x:v>
      </x:c>
      <x:c r="O15" s="33" t="s">
        <x:v>73</x:v>
      </x:c>
      <x:c r="P15" s="33" t="s">
        <x:v>98</x:v>
      </x:c>
      <x:c r="Q15" s="33" t="s">
        <x:v>120</x:v>
      </x:c>
      <x:c r="R15" s="33" t="s">
        <x:v>73</x:v>
      </x:c>
      <x:c r="S15" s="31" t="s">
        <x:v>363</x:v>
      </x:c>
      <x:c r="T15" s="31" t="s">
        <x:v>364</x:v>
      </x:c>
      <x:c r="U15" s="31" t="s">
        <x:v>276</x:v>
      </x:c>
      <x:c r="V15" s="33" t="s">
        <x:v>365</x:v>
      </x:c>
      <x:c r="W15" s="33" t="s">
        <x:v>305</x:v>
      </x:c>
      <x:c r="X15" s="33" t="s">
        <x:v>239</x:v>
      </x:c>
      <x:c r="Y15" s="36"/>
      <x:c r="Z15" s="36"/>
      <x:c r="AA15" s="33" t="s">
        <x:v>120</x:v>
      </x:c>
      <x:c r="AB15" s="37" t="n">
        <x:f>IFERROR(INDEX(Effort_Model!$J$6:$J$33,MATCH(K15&amp;"|"&amp;L15,Effort_Model!$B$6:$B$33,0)),"")</x:f>
        <x:v>18.4</x:v>
      </x:c>
      <x:c r="AC15" s="38">
        <x:v>169</x:v>
      </x:c>
      <x:c r="AD15" s="37">
        <x:f t="shared" si="0"/>
        <x:v>211.4</x:v>
      </x:c>
      <x:c r="AE15" s="37" t="n">
        <x:f>IFERROR(ROUND(IFERROR(INDEX(Scoring_Rules!$C$43:$C$44,MATCH(Q15,Scoring_Rules!$B$43:$B$44,0)),0)*Scoring_Rules!$C$6+IFERROR(INDEX(Scoring_Rules!$C$34:$C$40,MATCH(K15,Scoring_Rules!$B$34:$B$40,0)),0)*Scoring_Rules!$C$7+IFERROR(INDEX(Scoring_Rules!$C$16:$C$19,MATCH(P15,Scoring_Rules!$B$16:$B$19,0)),0)*Scoring_Rules!$C$8+IFERROR(INDEX(Scoring_Rules!$C$22:$C$25,MATCH(O15,Scoring_Rules!$B$22:$B$25,0)),0)*Scoring_Rules!$C$9+IFERROR(INDEX(Scoring_Rules!$C$47:$C$50,MATCH(X15,Scoring_Rules!$B$47:$B$50,0)),0)*Scoring_Rules!$C$10+IFERROR(INDEX(Scoring_Rules!$C$28:$C$31,MATCH(R15,Scoring_Rules!$B$28:$B$31,0)),0)*Scoring_Rules!$C$11,1),"")</x:f>
        <x:v>59.5</x:v>
      </x:c>
      <x:c r="AF15" s="35"/>
      <x:c r="AG15" s="33" t="s">
        <x:v>290</x:v>
      </x:c>
      <x:c r="AH15" s="36">
        <x:v>46384</x:v>
      </x:c>
      <x:c r="AI15" s="33" t="s">
        <x:v>126</x:v>
      </x:c>
      <x:c r="AJ15" s="34"/>
    </x:row>
    <x:row r="16" ht="45.75" customHeight="1">
      <x:c r="A16" s="31" t="s">
        <x:v>366</x:v>
      </x:c>
      <x:c r="B16" s="31" t="s">
        <x:v>367</x:v>
      </x:c>
      <x:c r="C16" s="31" t="s">
        <x:v>283</x:v>
      </x:c>
      <x:c r="D16" s="32" t="s">
        <x:v>368</x:v>
      </x:c>
      <x:c r="E16" s="32" t="str">
        <x:v>Data Migration Only</x:v>
      </x:c>
      <x:c r="F16" s="33" t="s">
        <x:v>118</x:v>
      </x:c>
      <x:c r="G16" s="34" t="s">
        <x:v>285</x:v>
      </x:c>
      <x:c r="H16" s="33" t="s">
        <x:v>91</x:v>
      </x:c>
      <x:c r="I16" s="33" t="s">
        <x:v>286</x:v>
      </x:c>
      <x:c r="J16" s="33" t="s">
        <x:v>80</x:v>
      </x:c>
      <x:c r="K16" s="33" t="s">
        <x:v>62</x:v>
      </x:c>
      <x:c r="L16" s="33" t="s">
        <x:v>71</x:v>
      </x:c>
      <x:c r="M16" s="35">
        <x:v>57</x:v>
      </x:c>
      <x:c r="N16" s="35">
        <x:v>76561451</x:v>
      </x:c>
      <x:c r="O16" s="33" t="s">
        <x:v>73</x:v>
      </x:c>
      <x:c r="P16" s="33" t="s">
        <x:v>73</x:v>
      </x:c>
      <x:c r="Q16" s="33" t="s">
        <x:v>120</x:v>
      </x:c>
      <x:c r="R16" s="33" t="s">
        <x:v>98</x:v>
      </x:c>
      <x:c r="S16" s="31" t="s">
        <x:v>369</x:v>
      </x:c>
      <x:c r="T16" s="31" t="s">
        <x:v>370</x:v>
      </x:c>
      <x:c r="U16" s="31" t="s">
        <x:v>276</x:v>
      </x:c>
      <x:c r="V16" s="33" t="s">
        <x:v>365</x:v>
      </x:c>
      <x:c r="W16" s="33"/>
      <x:c r="X16" s="33" t="s">
        <x:v>238</x:v>
      </x:c>
      <x:c r="Y16" s="36"/>
      <x:c r="Z16" s="36"/>
      <x:c r="AA16" s="33" t="s">
        <x:v>118</x:v>
      </x:c>
      <x:c r="AB16" s="37" t="n">
        <x:f>IFERROR(INDEX(Effort_Model!$J$6:$J$33,MATCH(K16&amp;"|"&amp;L16,Effort_Model!$B$6:$B$33,0)),"")</x:f>
        <x:v>18.4</x:v>
      </x:c>
      <x:c r="AC16" s="38">
        <x:v>307.39999999999998</x:v>
      </x:c>
      <x:c r="AD16" s="37">
        <x:f t="shared" si="0"/>
        <x:v>381.79999999999995</x:v>
      </x:c>
      <x:c r="AE16" s="37" t="n">
        <x:f>IFERROR(ROUND(IFERROR(INDEX(Scoring_Rules!$C$43:$C$44,MATCH(Q16,Scoring_Rules!$B$43:$B$44,0)),0)*Scoring_Rules!$C$6+IFERROR(INDEX(Scoring_Rules!$C$34:$C$40,MATCH(K16,Scoring_Rules!$B$34:$B$40,0)),0)*Scoring_Rules!$C$7+IFERROR(INDEX(Scoring_Rules!$C$16:$C$19,MATCH(P16,Scoring_Rules!$B$16:$B$19,0)),0)*Scoring_Rules!$C$8+IFERROR(INDEX(Scoring_Rules!$C$22:$C$25,MATCH(O16,Scoring_Rules!$B$22:$B$25,0)),0)*Scoring_Rules!$C$9+IFERROR(INDEX(Scoring_Rules!$C$47:$C$50,MATCH(X16,Scoring_Rules!$B$47:$B$50,0)),0)*Scoring_Rules!$C$10+IFERROR(INDEX(Scoring_Rules!$C$28:$C$31,MATCH(R16,Scoring_Rules!$B$28:$B$31,0)),0)*Scoring_Rules!$C$11,1),"")</x:f>
        <x:v>55.5</x:v>
      </x:c>
      <x:c r="AF16" s="35"/>
      <x:c r="AG16" s="33" t="s">
        <x:v>297</x:v>
      </x:c>
      <x:c r="AH16" s="36">
        <x:v>46364</x:v>
      </x:c>
      <x:c r="AI16" s="33" t="s">
        <x:v>127</x:v>
      </x:c>
      <x:c r="AJ16" s="34" t="s">
        <x:v>354</x:v>
      </x:c>
    </x:row>
    <x:row r="17" ht="23.25" customHeight="1">
      <x:c r="A17" s="31" t="s">
        <x:v>371</x:v>
      </x:c>
      <x:c r="B17" s="31" t="s">
        <x:v>372</x:v>
      </x:c>
      <x:c r="C17" s="31" t="s">
        <x:v>283</x:v>
      </x:c>
      <x:c r="D17" s="32" t="s">
        <x:v>373</x:v>
      </x:c>
      <x:c r="E17" s="32" t="str">
        <x:v>Data Migration Only</x:v>
      </x:c>
      <x:c r="F17" s="33" t="s">
        <x:v>118</x:v>
      </x:c>
      <x:c r="G17" s="34" t="s">
        <x:v>294</x:v>
      </x:c>
      <x:c r="H17" s="33" t="s">
        <x:v>91</x:v>
      </x:c>
      <x:c r="I17" s="33" t="s">
        <x:v>286</x:v>
      </x:c>
      <x:c r="J17" s="33" t="s">
        <x:v>80</x:v>
      </x:c>
      <x:c r="K17" s="33" t="s">
        <x:v>62</x:v>
      </x:c>
      <x:c r="L17" s="33" t="s">
        <x:v>75</x:v>
      </x:c>
      <x:c r="M17" s="35">
        <x:v>61</x:v>
      </x:c>
      <x:c r="N17" s="35">
        <x:v>78498739</x:v>
      </x:c>
      <x:c r="O17" s="33" t="s">
        <x:v>73</x:v>
      </x:c>
      <x:c r="P17" s="33" t="s">
        <x:v>101</x:v>
      </x:c>
      <x:c r="Q17" s="33" t="s">
        <x:v>120</x:v>
      </x:c>
      <x:c r="R17" s="33" t="s">
        <x:v>73</x:v>
      </x:c>
      <x:c r="S17" s="31" t="s">
        <x:v>363</x:v>
      </x:c>
      <x:c r="T17" s="31" t="s">
        <x:v>364</x:v>
      </x:c>
      <x:c r="U17" s="31" t="s">
        <x:v>276</x:v>
      </x:c>
      <x:c r="V17" s="33" t="s">
        <x:v>365</x:v>
      </x:c>
      <x:c r="W17" s="33"/>
      <x:c r="X17" s="33" t="s">
        <x:v>238</x:v>
      </x:c>
      <x:c r="Y17" s="36"/>
      <x:c r="Z17" s="36"/>
      <x:c r="AA17" s="33" t="s">
        <x:v>120</x:v>
      </x:c>
      <x:c r="AB17" s="37" t="n">
        <x:f>IFERROR(INDEX(Effort_Model!$J$6:$J$33,MATCH(K17&amp;"|"&amp;L17,Effort_Model!$B$6:$B$33,0)),"")</x:f>
        <x:v>74.4</x:v>
      </x:c>
      <x:c r="AC17" s="38">
        <x:v>675.4</x:v>
      </x:c>
      <x:c r="AD17" s="37">
        <x:f t="shared" si="0"/>
        <x:v>884.73329999999999</x:v>
      </x:c>
      <x:c r="AE17" s="37" t="n">
        <x:f>IFERROR(ROUND(IFERROR(INDEX(Scoring_Rules!$C$43:$C$44,MATCH(Q17,Scoring_Rules!$B$43:$B$44,0)),0)*Scoring_Rules!$C$6+IFERROR(INDEX(Scoring_Rules!$C$34:$C$40,MATCH(K17,Scoring_Rules!$B$34:$B$40,0)),0)*Scoring_Rules!$C$7+IFERROR(INDEX(Scoring_Rules!$C$16:$C$19,MATCH(P17,Scoring_Rules!$B$16:$B$19,0)),0)*Scoring_Rules!$C$8+IFERROR(INDEX(Scoring_Rules!$C$22:$C$25,MATCH(O17,Scoring_Rules!$B$22:$B$25,0)),0)*Scoring_Rules!$C$9+IFERROR(INDEX(Scoring_Rules!$C$47:$C$50,MATCH(X17,Scoring_Rules!$B$47:$B$50,0)),0)*Scoring_Rules!$C$10+IFERROR(INDEX(Scoring_Rules!$C$28:$C$31,MATCH(R17,Scoring_Rules!$B$28:$B$31,0)),0)*Scoring_Rules!$C$11,1),"")</x:f>
        <x:v>47</x:v>
      </x:c>
      <x:c r="AF17" s="35"/>
      <x:c r="AG17" s="33" t="s">
        <x:v>304</x:v>
      </x:c>
      <x:c r="AH17" s="36">
        <x:v>46317</x:v>
      </x:c>
      <x:c r="AI17" s="33" t="s">
        <x:v>127</x:v>
      </x:c>
      <x:c r="AJ17" s="34"/>
    </x:row>
    <x:row r="18" ht="23.25" customHeight="1">
      <x:c r="A18" s="31" t="s">
        <x:v>374</x:v>
      </x:c>
      <x:c r="B18" s="31" t="s">
        <x:v>375</x:v>
      </x:c>
      <x:c r="C18" s="31" t="s">
        <x:v>283</x:v>
      </x:c>
      <x:c r="D18" s="32" t="s">
        <x:v>376</x:v>
      </x:c>
      <x:c r="E18" s="32" t="str">
        <x:v>Data Migration Only</x:v>
      </x:c>
      <x:c r="F18" s="33" t="s">
        <x:v>118</x:v>
      </x:c>
      <x:c r="G18" s="34" t="s">
        <x:v>285</x:v>
      </x:c>
      <x:c r="H18" s="33" t="s">
        <x:v>91</x:v>
      </x:c>
      <x:c r="I18" s="33" t="s">
        <x:v>286</x:v>
      </x:c>
      <x:c r="J18" s="33" t="s">
        <x:v>80</x:v>
      </x:c>
      <x:c r="K18" s="33" t="s">
        <x:v>60</x:v>
      </x:c>
      <x:c r="L18" s="33" t="s">
        <x:v>71</x:v>
      </x:c>
      <x:c r="M18" s="35">
        <x:v>36</x:v>
      </x:c>
      <x:c r="N18" s="35">
        <x:v>5870448</x:v>
      </x:c>
      <x:c r="O18" s="33" t="s">
        <x:v>98</x:v>
      </x:c>
      <x:c r="P18" s="33" t="s">
        <x:v>73</x:v>
      </x:c>
      <x:c r="Q18" s="33" t="s">
        <x:v>120</x:v>
      </x:c>
      <x:c r="R18" s="33" t="s">
        <x:v>98</x:v>
      </x:c>
      <x:c r="S18" s="31" t="s">
        <x:v>377</x:v>
      </x:c>
      <x:c r="T18" s="31" t="s">
        <x:v>378</x:v>
      </x:c>
      <x:c r="U18" s="31" t="s">
        <x:v>276</x:v>
      </x:c>
      <x:c r="V18" s="33" t="s">
        <x:v>379</x:v>
      </x:c>
      <x:c r="W18" s="33"/>
      <x:c r="X18" s="33" t="s">
        <x:v>238</x:v>
      </x:c>
      <x:c r="Y18" s="36">
        <x:v>46512</x:v>
      </x:c>
      <x:c r="Z18" s="36"/>
      <x:c r="AA18" s="33" t="s">
        <x:v>120</x:v>
      </x:c>
      <x:c r="AB18" s="37" t="n">
        <x:f>IFERROR(INDEX(Effort_Model!$J$6:$J$33,MATCH(K18&amp;"|"&amp;L18,Effort_Model!$B$6:$B$33,0)),"")</x:f>
        <x:v>18.4</x:v>
      </x:c>
      <x:c r="AC18" s="38">
        <x:v>169.2</x:v>
      </x:c>
      <x:c r="AD18" s="37">
        <x:f t="shared" si="0"/>
        <x:v>211.6</x:v>
      </x:c>
      <x:c r="AE18" s="37" t="n">
        <x:f>IFERROR(ROUND(IFERROR(INDEX(Scoring_Rules!$C$43:$C$44,MATCH(Q18,Scoring_Rules!$B$43:$B$44,0)),0)*Scoring_Rules!$C$6+IFERROR(INDEX(Scoring_Rules!$C$34:$C$40,MATCH(K18,Scoring_Rules!$B$34:$B$40,0)),0)*Scoring_Rules!$C$7+IFERROR(INDEX(Scoring_Rules!$C$16:$C$19,MATCH(P18,Scoring_Rules!$B$16:$B$19,0)),0)*Scoring_Rules!$C$8+IFERROR(INDEX(Scoring_Rules!$C$22:$C$25,MATCH(O18,Scoring_Rules!$B$22:$B$25,0)),0)*Scoring_Rules!$C$9+IFERROR(INDEX(Scoring_Rules!$C$47:$C$50,MATCH(X18,Scoring_Rules!$B$47:$B$50,0)),0)*Scoring_Rules!$C$10+IFERROR(INDEX(Scoring_Rules!$C$28:$C$31,MATCH(R18,Scoring_Rules!$B$28:$B$31,0)),0)*Scoring_Rules!$C$11,1),"")</x:f>
        <x:v>64</x:v>
      </x:c>
      <x:c r="AF18" s="35"/>
      <x:c r="AG18" s="33" t="s">
        <x:v>311</x:v>
      </x:c>
      <x:c r="AH18" s="36">
        <x:v>46316</x:v>
      </x:c>
      <x:c r="AI18" s="33" t="s">
        <x:v>126</x:v>
      </x:c>
      <x:c r="AJ18" s="34" t="s">
        <x:v>342</x:v>
      </x:c>
    </x:row>
    <x:row r="19" ht="23.25" customHeight="1">
      <x:c r="A19" s="31" t="s">
        <x:v>380</x:v>
      </x:c>
      <x:c r="B19" s="31" t="s">
        <x:v>381</x:v>
      </x:c>
      <x:c r="C19" s="31" t="s">
        <x:v>283</x:v>
      </x:c>
      <x:c r="D19" s="32" t="s">
        <x:v>382</x:v>
      </x:c>
      <x:c r="E19" s="32" t="str">
        <x:v>Data Migration Only</x:v>
      </x:c>
      <x:c r="F19" s="33" t="s">
        <x:v>118</x:v>
      </x:c>
      <x:c r="G19" s="34" t="s">
        <x:v>294</x:v>
      </x:c>
      <x:c r="H19" s="33" t="s">
        <x:v>91</x:v>
      </x:c>
      <x:c r="I19" s="33" t="s">
        <x:v>286</x:v>
      </x:c>
      <x:c r="J19" s="33" t="s">
        <x:v>80</x:v>
      </x:c>
      <x:c r="K19" s="33" t="s">
        <x:v>56</x:v>
      </x:c>
      <x:c r="L19" s="33" t="s">
        <x:v>73</x:v>
      </x:c>
      <x:c r="M19" s="35">
        <x:v>10</x:v>
      </x:c>
      <x:c r="N19" s="35">
        <x:v>92768</x:v>
      </x:c>
      <x:c r="O19" s="33" t="s">
        <x:v>73</x:v>
      </x:c>
      <x:c r="P19" s="33" t="s">
        <x:v>98</x:v>
      </x:c>
      <x:c r="Q19" s="33" t="s">
        <x:v>120</x:v>
      </x:c>
      <x:c r="R19" s="33" t="s">
        <x:v>98</x:v>
      </x:c>
      <x:c r="S19" s="31" t="s">
        <x:v>363</x:v>
      </x:c>
      <x:c r="T19" s="31" t="s">
        <x:v>364</x:v>
      </x:c>
      <x:c r="U19" s="31" t="s">
        <x:v>276</x:v>
      </x:c>
      <x:c r="V19" s="33" t="s">
        <x:v>365</x:v>
      </x:c>
      <x:c r="W19" s="33"/>
      <x:c r="X19" s="33" t="s">
        <x:v>238</x:v>
      </x:c>
      <x:c r="Y19" s="36"/>
      <x:c r="Z19" s="36"/>
      <x:c r="AA19" s="33" t="s">
        <x:v>120</x:v>
      </x:c>
      <x:c r="AB19" s="37" t="n">
        <x:f>IFERROR(INDEX(Effort_Model!$J$6:$J$33,MATCH(K19&amp;"|"&amp;L19,Effort_Model!$B$6:$B$33,0)),"")</x:f>
        <x:v>18.4</x:v>
      </x:c>
      <x:c r="AC19" s="38">
        <x:v>73.8</x:v>
      </x:c>
      <x:c r="AD19" s="37">
        <x:f t="shared" si="0"/>
        <x:v>102.8</x:v>
      </x:c>
      <x:c r="AE19" s="37" t="n">
        <x:f>IFERROR(ROUND(IFERROR(INDEX(Scoring_Rules!$C$43:$C$44,MATCH(Q19,Scoring_Rules!$B$43:$B$44,0)),0)*Scoring_Rules!$C$6+IFERROR(INDEX(Scoring_Rules!$C$34:$C$40,MATCH(K19,Scoring_Rules!$B$34:$B$40,0)),0)*Scoring_Rules!$C$7+IFERROR(INDEX(Scoring_Rules!$C$16:$C$19,MATCH(P19,Scoring_Rules!$B$16:$B$19,0)),0)*Scoring_Rules!$C$8+IFERROR(INDEX(Scoring_Rules!$C$22:$C$25,MATCH(O19,Scoring_Rules!$B$22:$B$25,0)),0)*Scoring_Rules!$C$9+IFERROR(INDEX(Scoring_Rules!$C$47:$C$50,MATCH(X19,Scoring_Rules!$B$47:$B$50,0)),0)*Scoring_Rules!$C$10+IFERROR(INDEX(Scoring_Rules!$C$28:$C$31,MATCH(R19,Scoring_Rules!$B$28:$B$31,0)),0)*Scoring_Rules!$C$11,1),"")</x:f>
        <x:v>70.5</x:v>
      </x:c>
      <x:c r="AF19" s="35"/>
      <x:c r="AG19" s="33" t="s">
        <x:v>290</x:v>
      </x:c>
      <x:c r="AH19" s="36">
        <x:v>46401</x:v>
      </x:c>
      <x:c r="AI19" s="33" t="s">
        <x:v>128</x:v>
      </x:c>
      <x:c r="AJ19" s="34" t="s">
        <x:v>383</x:v>
      </x:c>
    </x:row>
    <x:row r="20" ht="23.25" customHeight="1">
      <x:c r="A20" s="31" t="s">
        <x:v>384</x:v>
      </x:c>
      <x:c r="B20" s="31" t="s">
        <x:v>385</x:v>
      </x:c>
      <x:c r="C20" s="31" t="s">
        <x:v>283</x:v>
      </x:c>
      <x:c r="D20" s="32" t="s">
        <x:v>386</x:v>
      </x:c>
      <x:c r="E20" s="32" t="str">
        <x:v>Data Migration Only</x:v>
      </x:c>
      <x:c r="F20" s="33" t="s">
        <x:v>118</x:v>
      </x:c>
      <x:c r="G20" s="34" t="s">
        <x:v>285</x:v>
      </x:c>
      <x:c r="H20" s="33" t="s">
        <x:v>91</x:v>
      </x:c>
      <x:c r="I20" s="33" t="s">
        <x:v>286</x:v>
      </x:c>
      <x:c r="J20" s="33" t="s">
        <x:v>80</x:v>
      </x:c>
      <x:c r="K20" s="33" t="s">
        <x:v>62</x:v>
      </x:c>
      <x:c r="L20" s="33" t="s">
        <x:v>73</x:v>
      </x:c>
      <x:c r="M20" s="35">
        <x:v>53</x:v>
      </x:c>
      <x:c r="N20" s="35">
        <x:v>85367863</x:v>
      </x:c>
      <x:c r="O20" s="33" t="s">
        <x:v>103</x:v>
      </x:c>
      <x:c r="P20" s="33" t="s">
        <x:v>101</x:v>
      </x:c>
      <x:c r="Q20" s="33" t="s">
        <x:v>120</x:v>
      </x:c>
      <x:c r="R20" s="33" t="s">
        <x:v>73</x:v>
      </x:c>
      <x:c r="S20" s="31" t="s">
        <x:v>387</x:v>
      </x:c>
      <x:c r="T20" s="31" t="s">
        <x:v>388</x:v>
      </x:c>
      <x:c r="U20" s="31" t="s">
        <x:v>276</x:v>
      </x:c>
      <x:c r="V20" s="33" t="s">
        <x:v>347</x:v>
      </x:c>
      <x:c r="W20" s="33"/>
      <x:c r="X20" s="33" t="s">
        <x:v>238</x:v>
      </x:c>
      <x:c r="Y20" s="36">
        <x:v>46705</x:v>
      </x:c>
      <x:c r="Z20" s="36"/>
      <x:c r="AA20" s="33" t="s">
        <x:v>120</x:v>
      </x:c>
      <x:c r="AB20" s="37" t="n">
        <x:f>IFERROR(INDEX(Effort_Model!$J$6:$J$33,MATCH(K20&amp;"|"&amp;L20,Effort_Model!$B$6:$B$33,0)),"")</x:f>
        <x:v>74.4</x:v>
      </x:c>
      <x:c r="AC20" s="38">
        <x:v>501</x:v>
      </x:c>
      <x:c r="AD20" s="37">
        <x:f t="shared" si="0"/>
        <x:v>642</x:v>
      </x:c>
      <x:c r="AE20" s="37" t="n">
        <x:f>IFERROR(ROUND(IFERROR(INDEX(Scoring_Rules!$C$43:$C$44,MATCH(Q20,Scoring_Rules!$B$43:$B$44,0)),0)*Scoring_Rules!$C$6+IFERROR(INDEX(Scoring_Rules!$C$34:$C$40,MATCH(K20,Scoring_Rules!$B$34:$B$40,0)),0)*Scoring_Rules!$C$7+IFERROR(INDEX(Scoring_Rules!$C$16:$C$19,MATCH(P20,Scoring_Rules!$B$16:$B$19,0)),0)*Scoring_Rules!$C$8+IFERROR(INDEX(Scoring_Rules!$C$22:$C$25,MATCH(O20,Scoring_Rules!$B$22:$B$25,0)),0)*Scoring_Rules!$C$9+IFERROR(INDEX(Scoring_Rules!$C$47:$C$50,MATCH(X20,Scoring_Rules!$B$47:$B$50,0)),0)*Scoring_Rules!$C$10+IFERROR(INDEX(Scoring_Rules!$C$28:$C$31,MATCH(R20,Scoring_Rules!$B$28:$B$31,0)),0)*Scoring_Rules!$C$11,1),"")</x:f>
        <x:v>36.5</x:v>
      </x:c>
      <x:c r="AF20" s="35"/>
      <x:c r="AG20" s="33" t="s">
        <x:v>297</x:v>
      </x:c>
      <x:c r="AH20" s="36">
        <x:v>46394</x:v>
      </x:c>
      <x:c r="AI20" s="33" t="s">
        <x:v>124</x:v>
      </x:c>
      <x:c r="AJ20" s="34"/>
    </x:row>
    <x:row r="21" ht="15" customHeight="1">
      <x:c r="A21" s="31" t="s">
        <x:v>389</x:v>
      </x:c>
      <x:c r="B21" s="31" t="s">
        <x:v>390</x:v>
      </x:c>
      <x:c r="C21" s="31" t="s">
        <x:v>283</x:v>
      </x:c>
      <x:c r="D21" s="32" t="s">
        <x:v>391</x:v>
      </x:c>
      <x:c r="E21" s="32" t="str">
        <x:v>Data Migration Only</x:v>
      </x:c>
      <x:c r="F21" s="33" t="s">
        <x:v>118</x:v>
      </x:c>
      <x:c r="G21" s="34" t="s">
        <x:v>285</x:v>
      </x:c>
      <x:c r="H21" s="33" t="s">
        <x:v>91</x:v>
      </x:c>
      <x:c r="I21" s="33" t="s">
        <x:v>286</x:v>
      </x:c>
      <x:c r="J21" s="33" t="s">
        <x:v>80</x:v>
      </x:c>
      <x:c r="K21" s="33" t="s">
        <x:v>60</x:v>
      </x:c>
      <x:c r="L21" s="33" t="s">
        <x:v>75</x:v>
      </x:c>
      <x:c r="M21" s="35">
        <x:v>37</x:v>
      </x:c>
      <x:c r="N21" s="35">
        <x:v>4067222</x:v>
      </x:c>
      <x:c r="O21" s="33" t="s">
        <x:v>101</x:v>
      </x:c>
      <x:c r="P21" s="33" t="s">
        <x:v>73</x:v>
      </x:c>
      <x:c r="Q21" s="33" t="s">
        <x:v>120</x:v>
      </x:c>
      <x:c r="R21" s="33" t="s">
        <x:v>73</x:v>
      </x:c>
      <x:c r="S21" s="31" t="s">
        <x:v>392</x:v>
      </x:c>
      <x:c r="T21" s="31" t="s">
        <x:v>393</x:v>
      </x:c>
      <x:c r="U21" s="31" t="s">
        <x:v>276</x:v>
      </x:c>
      <x:c r="V21" s="33" t="s">
        <x:v>365</x:v>
      </x:c>
      <x:c r="W21" s="33" t="s">
        <x:v>394</x:v>
      </x:c>
      <x:c r="X21" s="33" t="s">
        <x:v>239</x:v>
      </x:c>
      <x:c r="Y21" s="36"/>
      <x:c r="Z21" s="36">
        <x:v>46765</x:v>
      </x:c>
      <x:c r="AA21" s="33" t="s">
        <x:v>120</x:v>
      </x:c>
      <x:c r="AB21" s="37" t="n">
        <x:f>IFERROR(INDEX(Effort_Model!$J$6:$J$33,MATCH(K21&amp;"|"&amp;L21,Effort_Model!$B$6:$B$33,0)),"")</x:f>
        <x:v>42.4</x:v>
      </x:c>
      <x:c r="AC21" s="38">
        <x:v>333.7</x:v>
      </x:c>
      <x:c r="AD21" s="37">
        <x:f t="shared" si="0"/>
        <x:v>447.0333</x:v>
      </x:c>
      <x:c r="AE21" s="37" t="n">
        <x:f>IFERROR(ROUND(IFERROR(INDEX(Scoring_Rules!$C$43:$C$44,MATCH(Q21,Scoring_Rules!$B$43:$B$44,0)),0)*Scoring_Rules!$C$6+IFERROR(INDEX(Scoring_Rules!$C$34:$C$40,MATCH(K21,Scoring_Rules!$B$34:$B$40,0)),0)*Scoring_Rules!$C$7+IFERROR(INDEX(Scoring_Rules!$C$16:$C$19,MATCH(P21,Scoring_Rules!$B$16:$B$19,0)),0)*Scoring_Rules!$C$8+IFERROR(INDEX(Scoring_Rules!$C$22:$C$25,MATCH(O21,Scoring_Rules!$B$22:$B$25,0)),0)*Scoring_Rules!$C$9+IFERROR(INDEX(Scoring_Rules!$C$47:$C$50,MATCH(X21,Scoring_Rules!$B$47:$B$50,0)),0)*Scoring_Rules!$C$10+IFERROR(INDEX(Scoring_Rules!$C$28:$C$31,MATCH(R21,Scoring_Rules!$B$28:$B$31,0)),0)*Scoring_Rules!$C$11,1),"")</x:f>
        <x:v>48.3</x:v>
      </x:c>
      <x:c r="AF21" s="35"/>
      <x:c r="AG21" s="33" t="s">
        <x:v>304</x:v>
      </x:c>
      <x:c r="AH21" s="36">
        <x:v>46308</x:v>
      </x:c>
      <x:c r="AI21" s="33" t="s">
        <x:v>124</x:v>
      </x:c>
      <x:c r="AJ21" s="34" t="s">
        <x:v>395</x:v>
      </x:c>
    </x:row>
    <x:row r="22" ht="23.25" customHeight="1">
      <x:c r="A22" s="31" t="s">
        <x:v>396</x:v>
      </x:c>
      <x:c r="B22" s="31" t="s">
        <x:v>397</x:v>
      </x:c>
      <x:c r="C22" s="31" t="s">
        <x:v>283</x:v>
      </x:c>
      <x:c r="D22" s="32" t="s">
        <x:v>398</x:v>
      </x:c>
      <x:c r="E22" s="32" t="str">
        <x:v>Data Migration Only</x:v>
      </x:c>
      <x:c r="F22" s="33" t="s">
        <x:v>118</x:v>
      </x:c>
      <x:c r="G22" s="34" t="s">
        <x:v>294</x:v>
      </x:c>
      <x:c r="H22" s="33" t="s">
        <x:v>91</x:v>
      </x:c>
      <x:c r="I22" s="33" t="s">
        <x:v>286</x:v>
      </x:c>
      <x:c r="J22" s="33" t="s">
        <x:v>80</x:v>
      </x:c>
      <x:c r="K22" s="33" t="s">
        <x:v>58</x:v>
      </x:c>
      <x:c r="L22" s="33" t="s">
        <x:v>73</x:v>
      </x:c>
      <x:c r="M22" s="35">
        <x:v>27</x:v>
      </x:c>
      <x:c r="N22" s="35">
        <x:v>831149</x:v>
      </x:c>
      <x:c r="O22" s="33" t="s">
        <x:v>98</x:v>
      </x:c>
      <x:c r="P22" s="33" t="s">
        <x:v>101</x:v>
      </x:c>
      <x:c r="Q22" s="33" t="s">
        <x:v>120</x:v>
      </x:c>
      <x:c r="R22" s="33" t="s">
        <x:v>98</x:v>
      </x:c>
      <x:c r="S22" s="31" t="s">
        <x:v>399</x:v>
      </x:c>
      <x:c r="T22" s="31" t="s">
        <x:v>400</x:v>
      </x:c>
      <x:c r="U22" s="31" t="s">
        <x:v>276</x:v>
      </x:c>
      <x:c r="V22" s="33" t="s">
        <x:v>289</x:v>
      </x:c>
      <x:c r="W22" s="33"/>
      <x:c r="X22" s="33" t="s">
        <x:v>238</x:v>
      </x:c>
      <x:c r="Y22" s="36"/>
      <x:c r="Z22" s="36"/>
      <x:c r="AA22" s="33" t="s">
        <x:v>120</x:v>
      </x:c>
      <x:c r="AB22" s="37" t="n">
        <x:f>IFERROR(INDEX(Effort_Model!$J$6:$J$33,MATCH(K22&amp;"|"&amp;L22,Effort_Model!$B$6:$B$33,0)),"")</x:f>
        <x:v>26.4</x:v>
      </x:c>
      <x:c r="AC22" s="38">
        <x:v>158.69999999999999</x:v>
      </x:c>
      <x:c r="AD22" s="37">
        <x:f t="shared" si="0"/>
        <x:v>203.7</x:v>
      </x:c>
      <x:c r="AE22" s="37" t="n">
        <x:f>IFERROR(ROUND(IFERROR(INDEX(Scoring_Rules!$C$43:$C$44,MATCH(Q22,Scoring_Rules!$B$43:$B$44,0)),0)*Scoring_Rules!$C$6+IFERROR(INDEX(Scoring_Rules!$C$34:$C$40,MATCH(K22,Scoring_Rules!$B$34:$B$40,0)),0)*Scoring_Rules!$C$7+IFERROR(INDEX(Scoring_Rules!$C$16:$C$19,MATCH(P22,Scoring_Rules!$B$16:$B$19,0)),0)*Scoring_Rules!$C$8+IFERROR(INDEX(Scoring_Rules!$C$22:$C$25,MATCH(O22,Scoring_Rules!$B$22:$B$25,0)),0)*Scoring_Rules!$C$9+IFERROR(INDEX(Scoring_Rules!$C$47:$C$50,MATCH(X22,Scoring_Rules!$B$47:$B$50,0)),0)*Scoring_Rules!$C$10+IFERROR(INDEX(Scoring_Rules!$C$28:$C$31,MATCH(R22,Scoring_Rules!$B$28:$B$31,0)),0)*Scoring_Rules!$C$11,1),"")</x:f>
        <x:v>60</x:v>
      </x:c>
      <x:c r="AF22" s="35"/>
      <x:c r="AG22" s="33" t="s">
        <x:v>311</x:v>
      </x:c>
      <x:c r="AH22" s="36">
        <x:v>46365</x:v>
      </x:c>
      <x:c r="AI22" s="33" t="s">
        <x:v>127</x:v>
      </x:c>
      <x:c r="AJ22" s="34" t="s">
        <x:v>354</x:v>
      </x:c>
    </x:row>
    <x:row r="23" ht="15" customHeight="1">
      <x:c r="A23" s="31" t="s">
        <x:v>401</x:v>
      </x:c>
      <x:c r="B23" s="31" t="s">
        <x:v>402</x:v>
      </x:c>
      <x:c r="C23" s="31" t="s">
        <x:v>283</x:v>
      </x:c>
      <x:c r="D23" s="32" t="s">
        <x:v>403</x:v>
      </x:c>
      <x:c r="E23" s="32" t="str">
        <x:v>Data Migration Only</x:v>
      </x:c>
      <x:c r="F23" s="33" t="s">
        <x:v>118</x:v>
      </x:c>
      <x:c r="G23" s="34" t="s">
        <x:v>294</x:v>
      </x:c>
      <x:c r="H23" s="33" t="s">
        <x:v>91</x:v>
      </x:c>
      <x:c r="I23" s="33" t="s">
        <x:v>286</x:v>
      </x:c>
      <x:c r="J23" s="33" t="s">
        <x:v>80</x:v>
      </x:c>
      <x:c r="K23" s="33" t="s">
        <x:v>58</x:v>
      </x:c>
      <x:c r="L23" s="33" t="s">
        <x:v>73</x:v>
      </x:c>
      <x:c r="M23" s="35">
        <x:v>10</x:v>
      </x:c>
      <x:c r="N23" s="35">
        <x:v>1019920</x:v>
      </x:c>
      <x:c r="O23" s="33" t="s">
        <x:v>103</x:v>
      </x:c>
      <x:c r="P23" s="33" t="s">
        <x:v>73</x:v>
      </x:c>
      <x:c r="Q23" s="33" t="s">
        <x:v>120</x:v>
      </x:c>
      <x:c r="R23" s="33" t="s">
        <x:v>101</x:v>
      </x:c>
      <x:c r="S23" s="31" t="s">
        <x:v>404</x:v>
      </x:c>
      <x:c r="T23" s="31" t="s">
        <x:v>405</x:v>
      </x:c>
      <x:c r="U23" s="31" t="s">
        <x:v>276</x:v>
      </x:c>
      <x:c r="V23" s="33" t="s">
        <x:v>347</x:v>
      </x:c>
      <x:c r="W23" s="33" t="s">
        <x:v>348</x:v>
      </x:c>
      <x:c r="X23" s="33" t="s">
        <x:v>239</x:v>
      </x:c>
      <x:c r="Y23" s="36">
        <x:v>46449</x:v>
      </x:c>
      <x:c r="Z23" s="36"/>
      <x:c r="AA23" s="33" t="s">
        <x:v>120</x:v>
      </x:c>
      <x:c r="AB23" s="37" t="n">
        <x:f>IFERROR(INDEX(Effort_Model!$J$6:$J$33,MATCH(K23&amp;"|"&amp;L23,Effort_Model!$B$6:$B$33,0)),"")</x:f>
        <x:v>26.4</x:v>
      </x:c>
      <x:c r="AC23" s="38">
        <x:v>154.4</x:v>
      </x:c>
      <x:c r="AD23" s="37">
        <x:f t="shared" si="0"/>
        <x:v>199.4</x:v>
      </x:c>
      <x:c r="AE23" s="37" t="n">
        <x:f>IFERROR(ROUND(IFERROR(INDEX(Scoring_Rules!$C$43:$C$44,MATCH(Q23,Scoring_Rules!$B$43:$B$44,0)),0)*Scoring_Rules!$C$6+IFERROR(INDEX(Scoring_Rules!$C$34:$C$40,MATCH(K23,Scoring_Rules!$B$34:$B$40,0)),0)*Scoring_Rules!$C$7+IFERROR(INDEX(Scoring_Rules!$C$16:$C$19,MATCH(P23,Scoring_Rules!$B$16:$B$19,0)),0)*Scoring_Rules!$C$8+IFERROR(INDEX(Scoring_Rules!$C$22:$C$25,MATCH(O23,Scoring_Rules!$B$22:$B$25,0)),0)*Scoring_Rules!$C$9+IFERROR(INDEX(Scoring_Rules!$C$47:$C$50,MATCH(X23,Scoring_Rules!$B$47:$B$50,0)),0)*Scoring_Rules!$C$10+IFERROR(INDEX(Scoring_Rules!$C$28:$C$31,MATCH(R23,Scoring_Rules!$B$28:$B$31,0)),0)*Scoring_Rules!$C$11,1),"")</x:f>
        <x:v>44.3</x:v>
      </x:c>
      <x:c r="AF23" s="35"/>
      <x:c r="AG23" s="33" t="s">
        <x:v>290</x:v>
      </x:c>
      <x:c r="AH23" s="36">
        <x:v>46389</x:v>
      </x:c>
      <x:c r="AI23" s="33" t="s">
        <x:v>127</x:v>
      </x:c>
      <x:c r="AJ23" s="34" t="s">
        <x:v>395</x:v>
      </x:c>
    </x:row>
    <x:row r="24" ht="15" customHeight="1">
      <x:c r="A24" s="31" t="s">
        <x:v>406</x:v>
      </x:c>
      <x:c r="B24" s="31" t="s">
        <x:v>407</x:v>
      </x:c>
      <x:c r="C24" s="31" t="s">
        <x:v>283</x:v>
      </x:c>
      <x:c r="D24" s="32" t="s">
        <x:v>408</x:v>
      </x:c>
      <x:c r="E24" s="32" t="str">
        <x:v>Data Migration Only</x:v>
      </x:c>
      <x:c r="F24" s="33" t="s">
        <x:v>118</x:v>
      </x:c>
      <x:c r="G24" s="34" t="s">
        <x:v>294</x:v>
      </x:c>
      <x:c r="H24" s="33" t="s">
        <x:v>91</x:v>
      </x:c>
      <x:c r="I24" s="33" t="s">
        <x:v>286</x:v>
      </x:c>
      <x:c r="J24" s="33" t="s">
        <x:v>80</x:v>
      </x:c>
      <x:c r="K24" s="33" t="s">
        <x:v>56</x:v>
      </x:c>
      <x:c r="L24" s="33" t="s">
        <x:v>73</x:v>
      </x:c>
      <x:c r="M24" s="35">
        <x:v>8</x:v>
      </x:c>
      <x:c r="N24" s="35">
        <x:v>117731</x:v>
      </x:c>
      <x:c r="O24" s="33" t="s">
        <x:v>98</x:v>
      </x:c>
      <x:c r="P24" s="33" t="s">
        <x:v>73</x:v>
      </x:c>
      <x:c r="Q24" s="33" t="s">
        <x:v>120</x:v>
      </x:c>
      <x:c r="R24" s="33" t="s">
        <x:v>101</x:v>
      </x:c>
      <x:c r="S24" s="31" t="s">
        <x:v>409</x:v>
      </x:c>
      <x:c r="T24" s="31" t="s">
        <x:v>410</x:v>
      </x:c>
      <x:c r="U24" s="31" t="s">
        <x:v>276</x:v>
      </x:c>
      <x:c r="V24" s="33" t="s">
        <x:v>289</x:v>
      </x:c>
      <x:c r="W24" s="33" t="s">
        <x:v>366</x:v>
      </x:c>
      <x:c r="X24" s="33" t="s">
        <x:v>240</x:v>
      </x:c>
      <x:c r="Y24" s="36"/>
      <x:c r="Z24" s="36"/>
      <x:c r="AA24" s="33" t="s">
        <x:v>120</x:v>
      </x:c>
      <x:c r="AB24" s="37" t="n">
        <x:f>IFERROR(INDEX(Effort_Model!$J$6:$J$33,MATCH(K24&amp;"|"&amp;L24,Effort_Model!$B$6:$B$33,0)),"")</x:f>
        <x:v>18.4</x:v>
      </x:c>
      <x:c r="AC24" s="38">
        <x:v>84.4</x:v>
      </x:c>
      <x:c r="AD24" s="37">
        <x:f t="shared" si="0"/>
        <x:v>113.4</x:v>
      </x:c>
      <x:c r="AE24" s="37" t="n">
        <x:f>IFERROR(ROUND(IFERROR(INDEX(Scoring_Rules!$C$43:$C$44,MATCH(Q24,Scoring_Rules!$B$43:$B$44,0)),0)*Scoring_Rules!$C$6+IFERROR(INDEX(Scoring_Rules!$C$34:$C$40,MATCH(K24,Scoring_Rules!$B$34:$B$40,0)),0)*Scoring_Rules!$C$7+IFERROR(INDEX(Scoring_Rules!$C$16:$C$19,MATCH(P24,Scoring_Rules!$B$16:$B$19,0)),0)*Scoring_Rules!$C$8+IFERROR(INDEX(Scoring_Rules!$C$22:$C$25,MATCH(O24,Scoring_Rules!$B$22:$B$25,0)),0)*Scoring_Rules!$C$9+IFERROR(INDEX(Scoring_Rules!$C$47:$C$50,MATCH(X24,Scoring_Rules!$B$47:$B$50,0)),0)*Scoring_Rules!$C$10+IFERROR(INDEX(Scoring_Rules!$C$28:$C$31,MATCH(R24,Scoring_Rules!$B$28:$B$31,0)),0)*Scoring_Rules!$C$11,1),"")</x:f>
        <x:v>55.3</x:v>
      </x:c>
      <x:c r="AF24" s="35"/>
      <x:c r="AG24" s="33" t="s">
        <x:v>297</x:v>
      </x:c>
      <x:c r="AH24" s="36">
        <x:v>46401</x:v>
      </x:c>
      <x:c r="AI24" s="33" t="s">
        <x:v>124</x:v>
      </x:c>
      <x:c r="AJ24" s="34" t="s">
        <x:v>383</x:v>
      </x:c>
    </x:row>
    <x:row r="25" ht="15" customHeight="1">
      <x:c r="A25" s="31" t="s">
        <x:v>411</x:v>
      </x:c>
      <x:c r="B25" s="31" t="s">
        <x:v>412</x:v>
      </x:c>
      <x:c r="C25" s="31" t="s">
        <x:v>283</x:v>
      </x:c>
      <x:c r="D25" s="32" t="s">
        <x:v>408</x:v>
      </x:c>
      <x:c r="E25" s="32" t="str">
        <x:v>Data Migration Only</x:v>
      </x:c>
      <x:c r="F25" s="33" t="s">
        <x:v>118</x:v>
      </x:c>
      <x:c r="G25" s="34" t="s">
        <x:v>285</x:v>
      </x:c>
      <x:c r="H25" s="33" t="s">
        <x:v>91</x:v>
      </x:c>
      <x:c r="I25" s="33" t="s">
        <x:v>286</x:v>
      </x:c>
      <x:c r="J25" s="33" t="s">
        <x:v>80</x:v>
      </x:c>
      <x:c r="K25" s="33" t="s">
        <x:v>60</x:v>
      </x:c>
      <x:c r="L25" s="33" t="s">
        <x:v>71</x:v>
      </x:c>
      <x:c r="M25" s="35">
        <x:v>49</x:v>
      </x:c>
      <x:c r="N25" s="35">
        <x:v>4340753</x:v>
      </x:c>
      <x:c r="O25" s="33" t="s">
        <x:v>101</x:v>
      </x:c>
      <x:c r="P25" s="33" t="s">
        <x:v>73</x:v>
      </x:c>
      <x:c r="Q25" s="33" t="s">
        <x:v>120</x:v>
      </x:c>
      <x:c r="R25" s="33" t="s">
        <x:v>101</x:v>
      </x:c>
      <x:c r="S25" s="31" t="s">
        <x:v>409</x:v>
      </x:c>
      <x:c r="T25" s="31" t="s">
        <x:v>410</x:v>
      </x:c>
      <x:c r="U25" s="31" t="s">
        <x:v>276</x:v>
      </x:c>
      <x:c r="V25" s="33" t="s">
        <x:v>303</x:v>
      </x:c>
      <x:c r="W25" s="33" t="s">
        <x:v>331</x:v>
      </x:c>
      <x:c r="X25" s="33" t="s">
        <x:v>241</x:v>
      </x:c>
      <x:c r="Y25" s="36"/>
      <x:c r="Z25" s="36"/>
      <x:c r="AA25" s="33" t="s">
        <x:v>120</x:v>
      </x:c>
      <x:c r="AB25" s="37" t="n">
        <x:f>IFERROR(INDEX(Effort_Model!$J$6:$J$33,MATCH(K25&amp;"|"&amp;L25,Effort_Model!$B$6:$B$33,0)),"")</x:f>
        <x:v>18.4</x:v>
      </x:c>
      <x:c r="AC25" s="38">
        <x:v>207.6</x:v>
      </x:c>
      <x:c r="AD25" s="37">
        <x:f t="shared" si="0"/>
        <x:v>250</x:v>
      </x:c>
      <x:c r="AE25" s="37" t="n">
        <x:f>IFERROR(ROUND(IFERROR(INDEX(Scoring_Rules!$C$43:$C$44,MATCH(Q25,Scoring_Rules!$B$43:$B$44,0)),0)*Scoring_Rules!$C$6+IFERROR(INDEX(Scoring_Rules!$C$34:$C$40,MATCH(K25,Scoring_Rules!$B$34:$B$40,0)),0)*Scoring_Rules!$C$7+IFERROR(INDEX(Scoring_Rules!$C$16:$C$19,MATCH(P25,Scoring_Rules!$B$16:$B$19,0)),0)*Scoring_Rules!$C$8+IFERROR(INDEX(Scoring_Rules!$C$22:$C$25,MATCH(O25,Scoring_Rules!$B$22:$B$25,0)),0)*Scoring_Rules!$C$9+IFERROR(INDEX(Scoring_Rules!$C$47:$C$50,MATCH(X25,Scoring_Rules!$B$47:$B$50,0)),0)*Scoring_Rules!$C$10+IFERROR(INDEX(Scoring_Rules!$C$28:$C$31,MATCH(R25,Scoring_Rules!$B$28:$B$31,0)),0)*Scoring_Rules!$C$11,1),"")</x:f>
        <x:v>36</x:v>
      </x:c>
      <x:c r="AF25" s="35"/>
      <x:c r="AG25" s="33" t="s">
        <x:v>304</x:v>
      </x:c>
      <x:c r="AH25" s="36">
        <x:v>46391</x:v>
      </x:c>
      <x:c r="AI25" s="33" t="s">
        <x:v>126</x:v>
      </x:c>
      <x:c r="AJ25" s="34"/>
    </x:row>
    <x:row r="26" ht="15" customHeight="1">
      <x:c r="A26" s="31" t="s">
        <x:v>413</x:v>
      </x:c>
      <x:c r="B26" s="31" t="s">
        <x:v>414</x:v>
      </x:c>
      <x:c r="C26" s="31" t="s">
        <x:v>283</x:v>
      </x:c>
      <x:c r="D26" s="32" t="s">
        <x:v>408</x:v>
      </x:c>
      <x:c r="E26" s="32" t="str">
        <x:v>Data Migration Only</x:v>
      </x:c>
      <x:c r="F26" s="33" t="s">
        <x:v>120</x:v>
      </x:c>
      <x:c r="G26" s="34" t="s">
        <x:v>285</x:v>
      </x:c>
      <x:c r="H26" s="33" t="s">
        <x:v>91</x:v>
      </x:c>
      <x:c r="I26" s="33" t="s">
        <x:v>286</x:v>
      </x:c>
      <x:c r="J26" s="33" t="s">
        <x:v>80</x:v>
      </x:c>
      <x:c r="K26" s="33" t="s">
        <x:v>58</x:v>
      </x:c>
      <x:c r="L26" s="33" t="s">
        <x:v>71</x:v>
      </x:c>
      <x:c r="M26" s="35">
        <x:v>13</x:v>
      </x:c>
      <x:c r="N26" s="35">
        <x:v>1278420</x:v>
      </x:c>
      <x:c r="O26" s="33" t="s">
        <x:v>73</x:v>
      </x:c>
      <x:c r="P26" s="33" t="s">
        <x:v>73</x:v>
      </x:c>
      <x:c r="Q26" s="33" t="s">
        <x:v>120</x:v>
      </x:c>
      <x:c r="R26" s="33" t="s">
        <x:v>98</x:v>
      </x:c>
      <x:c r="S26" s="31" t="s">
        <x:v>409</x:v>
      </x:c>
      <x:c r="T26" s="31" t="s">
        <x:v>410</x:v>
      </x:c>
      <x:c r="U26" s="31" t="s">
        <x:v>276</x:v>
      </x:c>
      <x:c r="V26" s="33" t="s">
        <x:v>379</x:v>
      </x:c>
      <x:c r="W26" s="33"/>
      <x:c r="X26" s="33" t="s">
        <x:v>238</x:v>
      </x:c>
      <x:c r="Y26" s="36">
        <x:v>46364</x:v>
      </x:c>
      <x:c r="Z26" s="36"/>
      <x:c r="AA26" s="33" t="s">
        <x:v>120</x:v>
      </x:c>
      <x:c r="AB26" s="37" t="n">
        <x:f>IFERROR(INDEX(Effort_Model!$J$6:$J$33,MATCH(K26&amp;"|"&amp;L26,Effort_Model!$B$6:$B$33,0)),"")</x:f>
        <x:v>18.4</x:v>
      </x:c>
      <x:c r="AC26" s="38">
        <x:v>114.4</x:v>
      </x:c>
      <x:c r="AD26" s="37">
        <x:f t="shared" si="0"/>
        <x:v>140.80000000000001</x:v>
      </x:c>
      <x:c r="AE26" s="37" t="n">
        <x:f>IFERROR(ROUND(IFERROR(INDEX(Scoring_Rules!$C$43:$C$44,MATCH(Q26,Scoring_Rules!$B$43:$B$44,0)),0)*Scoring_Rules!$C$6+IFERROR(INDEX(Scoring_Rules!$C$34:$C$40,MATCH(K26,Scoring_Rules!$B$34:$B$40,0)),0)*Scoring_Rules!$C$7+IFERROR(INDEX(Scoring_Rules!$C$16:$C$19,MATCH(P26,Scoring_Rules!$B$16:$B$19,0)),0)*Scoring_Rules!$C$8+IFERROR(INDEX(Scoring_Rules!$C$22:$C$25,MATCH(O26,Scoring_Rules!$B$22:$B$25,0)),0)*Scoring_Rules!$C$9+IFERROR(INDEX(Scoring_Rules!$C$47:$C$50,MATCH(X26,Scoring_Rules!$B$47:$B$50,0)),0)*Scoring_Rules!$C$10+IFERROR(INDEX(Scoring_Rules!$C$28:$C$31,MATCH(R26,Scoring_Rules!$B$28:$B$31,0)),0)*Scoring_Rules!$C$11,1),"")</x:f>
        <x:v>62.5</x:v>
      </x:c>
      <x:c r="AF26" s="35"/>
      <x:c r="AG26" s="33" t="s">
        <x:v>311</x:v>
      </x:c>
      <x:c r="AH26" s="36">
        <x:v>46376</x:v>
      </x:c>
      <x:c r="AI26" s="33" t="s">
        <x:v>127</x:v>
      </x:c>
      <x:c r="AJ26" s="34"/>
    </x:row>
    <x:row r="27" ht="23.25" customHeight="1">
      <x:c r="A27" s="31" t="s">
        <x:v>415</x:v>
      </x:c>
      <x:c r="B27" s="31" t="s">
        <x:v>416</x:v>
      </x:c>
      <x:c r="C27" s="31" t="s">
        <x:v>283</x:v>
      </x:c>
      <x:c r="D27" s="32" t="s">
        <x:v>417</x:v>
      </x:c>
      <x:c r="E27" s="32" t="str">
        <x:v>Data Migration Only</x:v>
      </x:c>
      <x:c r="F27" s="33" t="s">
        <x:v>118</x:v>
      </x:c>
      <x:c r="G27" s="34" t="s">
        <x:v>294</x:v>
      </x:c>
      <x:c r="H27" s="33" t="s">
        <x:v>91</x:v>
      </x:c>
      <x:c r="I27" s="33" t="s">
        <x:v>286</x:v>
      </x:c>
      <x:c r="J27" s="33" t="s">
        <x:v>80</x:v>
      </x:c>
      <x:c r="K27" s="33" t="s">
        <x:v>60</x:v>
      </x:c>
      <x:c r="L27" s="33" t="s">
        <x:v>73</x:v>
      </x:c>
      <x:c r="M27" s="35">
        <x:v>46</x:v>
      </x:c>
      <x:c r="N27" s="35">
        <x:v>4706963</x:v>
      </x:c>
      <x:c r="O27" s="33" t="s">
        <x:v>98</x:v>
      </x:c>
      <x:c r="P27" s="33" t="s">
        <x:v>73</x:v>
      </x:c>
      <x:c r="Q27" s="33" t="s">
        <x:v>120</x:v>
      </x:c>
      <x:c r="R27" s="33" t="s">
        <x:v>101</x:v>
      </x:c>
      <x:c r="S27" s="31" t="s">
        <x:v>409</x:v>
      </x:c>
      <x:c r="T27" s="31" t="s">
        <x:v>410</x:v>
      </x:c>
      <x:c r="U27" s="31" t="s">
        <x:v>276</x:v>
      </x:c>
      <x:c r="V27" s="33" t="s">
        <x:v>365</x:v>
      </x:c>
      <x:c r="W27" s="33"/>
      <x:c r="X27" s="33" t="s">
        <x:v>238</x:v>
      </x:c>
      <x:c r="Y27" s="36"/>
      <x:c r="Z27" s="36"/>
      <x:c r="AA27" s="33" t="s">
        <x:v>120</x:v>
      </x:c>
      <x:c r="AB27" s="37" t="n">
        <x:f>IFERROR(INDEX(Effort_Model!$J$6:$J$33,MATCH(K27&amp;"|"&amp;L27,Effort_Model!$B$6:$B$33,0)),"")</x:f>
        <x:v>42.4</x:v>
      </x:c>
      <x:c r="AC27" s="38">
        <x:v>273.60000000000002</x:v>
      </x:c>
      <x:c r="AD27" s="37">
        <x:f t="shared" si="0"/>
        <x:v>350.6</x:v>
      </x:c>
      <x:c r="AE27" s="37" t="n">
        <x:f>IFERROR(ROUND(IFERROR(INDEX(Scoring_Rules!$C$43:$C$44,MATCH(Q27,Scoring_Rules!$B$43:$B$44,0)),0)*Scoring_Rules!$C$6+IFERROR(INDEX(Scoring_Rules!$C$34:$C$40,MATCH(K27,Scoring_Rules!$B$34:$B$40,0)),0)*Scoring_Rules!$C$7+IFERROR(INDEX(Scoring_Rules!$C$16:$C$19,MATCH(P27,Scoring_Rules!$B$16:$B$19,0)),0)*Scoring_Rules!$C$8+IFERROR(INDEX(Scoring_Rules!$C$22:$C$25,MATCH(O27,Scoring_Rules!$B$22:$B$25,0)),0)*Scoring_Rules!$C$9+IFERROR(INDEX(Scoring_Rules!$C$47:$C$50,MATCH(X27,Scoring_Rules!$B$47:$B$50,0)),0)*Scoring_Rules!$C$10+IFERROR(INDEX(Scoring_Rules!$C$28:$C$31,MATCH(R27,Scoring_Rules!$B$28:$B$31,0)),0)*Scoring_Rules!$C$11,1),"")</x:f>
        <x:v>60.8</x:v>
      </x:c>
      <x:c r="AF27" s="35"/>
      <x:c r="AG27" s="33" t="s">
        <x:v>290</x:v>
      </x:c>
      <x:c r="AH27" s="36">
        <x:v>46330</x:v>
      </x:c>
      <x:c r="AI27" s="33" t="s">
        <x:v>127</x:v>
      </x:c>
      <x:c r="AJ27" s="34" t="s">
        <x:v>354</x:v>
      </x:c>
    </x:row>
    <x:row r="28" ht="15" customHeight="1">
      <x:c r="A28" s="31" t="s">
        <x:v>418</x:v>
      </x:c>
      <x:c r="B28" s="31" t="s">
        <x:v>419</x:v>
      </x:c>
      <x:c r="C28" s="31" t="s">
        <x:v>283</x:v>
      </x:c>
      <x:c r="D28" s="32" t="s">
        <x:v>320</x:v>
      </x:c>
      <x:c r="E28" s="32" t="str">
        <x:v>Data Migration Only</x:v>
      </x:c>
      <x:c r="F28" s="33" t="s">
        <x:v>118</x:v>
      </x:c>
      <x:c r="G28" s="34" t="s">
        <x:v>285</x:v>
      </x:c>
      <x:c r="H28" s="33" t="s">
        <x:v>91</x:v>
      </x:c>
      <x:c r="I28" s="33" t="s">
        <x:v>286</x:v>
      </x:c>
      <x:c r="J28" s="33" t="s">
        <x:v>80</x:v>
      </x:c>
      <x:c r="K28" s="33" t="s">
        <x:v>60</x:v>
      </x:c>
      <x:c r="L28" s="33" t="s">
        <x:v>71</x:v>
      </x:c>
      <x:c r="M28" s="35">
        <x:v>47</x:v>
      </x:c>
      <x:c r="N28" s="35">
        <x:v>3322310</x:v>
      </x:c>
      <x:c r="O28" s="33" t="s">
        <x:v>98</x:v>
      </x:c>
      <x:c r="P28" s="33" t="s">
        <x:v>98</x:v>
      </x:c>
      <x:c r="Q28" s="33" t="s">
        <x:v>120</x:v>
      </x:c>
      <x:c r="R28" s="33" t="s">
        <x:v>98</x:v>
      </x:c>
      <x:c r="S28" s="31" t="s">
        <x:v>420</x:v>
      </x:c>
      <x:c r="T28" s="31" t="s">
        <x:v>421</x:v>
      </x:c>
      <x:c r="U28" s="31" t="s">
        <x:v>276</x:v>
      </x:c>
      <x:c r="V28" s="33" t="s">
        <x:v>277</x:v>
      </x:c>
      <x:c r="W28" s="33"/>
      <x:c r="X28" s="33" t="s">
        <x:v>238</x:v>
      </x:c>
      <x:c r="Y28" s="36"/>
      <x:c r="Z28" s="36">
        <x:v>46998</x:v>
      </x:c>
      <x:c r="AA28" s="33" t="s">
        <x:v>120</x:v>
      </x:c>
      <x:c r="AB28" s="37" t="n">
        <x:f>IFERROR(INDEX(Effort_Model!$J$6:$J$33,MATCH(K28&amp;"|"&amp;L28,Effort_Model!$B$6:$B$33,0)),"")</x:f>
        <x:v>18.4</x:v>
      </x:c>
      <x:c r="AC28" s="38">
        <x:v>185</x:v>
      </x:c>
      <x:c r="AD28" s="37">
        <x:f t="shared" si="0"/>
        <x:v>227.4</x:v>
      </x:c>
      <x:c r="AE28" s="37" t="n">
        <x:f>IFERROR(ROUND(IFERROR(INDEX(Scoring_Rules!$C$43:$C$44,MATCH(Q28,Scoring_Rules!$B$43:$B$44,0)),0)*Scoring_Rules!$C$6+IFERROR(INDEX(Scoring_Rules!$C$34:$C$40,MATCH(K28,Scoring_Rules!$B$34:$B$40,0)),0)*Scoring_Rules!$C$7+IFERROR(INDEX(Scoring_Rules!$C$16:$C$19,MATCH(P28,Scoring_Rules!$B$16:$B$19,0)),0)*Scoring_Rules!$C$8+IFERROR(INDEX(Scoring_Rules!$C$22:$C$25,MATCH(O28,Scoring_Rules!$B$22:$B$25,0)),0)*Scoring_Rules!$C$9+IFERROR(INDEX(Scoring_Rules!$C$47:$C$50,MATCH(X28,Scoring_Rules!$B$47:$B$50,0)),0)*Scoring_Rules!$C$10+IFERROR(INDEX(Scoring_Rules!$C$28:$C$31,MATCH(R28,Scoring_Rules!$B$28:$B$31,0)),0)*Scoring_Rules!$C$11,1),"")</x:f>
        <x:v>70</x:v>
      </x:c>
      <x:c r="AF28" s="35"/>
      <x:c r="AG28" s="33" t="s">
        <x:v>297</x:v>
      </x:c>
      <x:c r="AH28" s="36">
        <x:v>46389</x:v>
      </x:c>
      <x:c r="AI28" s="33" t="s">
        <x:v>127</x:v>
      </x:c>
      <x:c r="AJ28" s="34" t="s">
        <x:v>354</x:v>
      </x:c>
    </x:row>
    <x:row r="29" ht="34.5" customHeight="1">
      <x:c r="A29" s="31" t="s">
        <x:v>422</x:v>
      </x:c>
      <x:c r="B29" s="31" t="s">
        <x:v>423</x:v>
      </x:c>
      <x:c r="C29" s="31" t="s">
        <x:v>283</x:v>
      </x:c>
      <x:c r="D29" s="32" t="s">
        <x:v>424</x:v>
      </x:c>
      <x:c r="E29" s="32" t="str">
        <x:v>Data Migration Only</x:v>
      </x:c>
      <x:c r="F29" s="33" t="s">
        <x:v>118</x:v>
      </x:c>
      <x:c r="G29" s="34" t="s">
        <x:v>285</x:v>
      </x:c>
      <x:c r="H29" s="33" t="s">
        <x:v>91</x:v>
      </x:c>
      <x:c r="I29" s="33" t="s">
        <x:v>286</x:v>
      </x:c>
      <x:c r="J29" s="33" t="s">
        <x:v>80</x:v>
      </x:c>
      <x:c r="K29" s="33" t="s">
        <x:v>58</x:v>
      </x:c>
      <x:c r="L29" s="33" t="s">
        <x:v>75</x:v>
      </x:c>
      <x:c r="M29" s="35">
        <x:v>19</x:v>
      </x:c>
      <x:c r="N29" s="35">
        <x:v>1253475</x:v>
      </x:c>
      <x:c r="O29" s="33" t="s">
        <x:v>73</x:v>
      </x:c>
      <x:c r="P29" s="33" t="s">
        <x:v>109</x:v>
      </x:c>
      <x:c r="Q29" s="33" t="s">
        <x:v>120</x:v>
      </x:c>
      <x:c r="R29" s="33" t="s">
        <x:v>101</x:v>
      </x:c>
      <x:c r="S29" s="31" t="s">
        <x:v>425</x:v>
      </x:c>
      <x:c r="T29" s="31" t="s">
        <x:v>426</x:v>
      </x:c>
      <x:c r="U29" s="31" t="s">
        <x:v>276</x:v>
      </x:c>
      <x:c r="V29" s="33" t="s">
        <x:v>347</x:v>
      </x:c>
      <x:c r="W29" s="33"/>
      <x:c r="X29" s="33" t="s">
        <x:v>238</x:v>
      </x:c>
      <x:c r="Y29" s="36"/>
      <x:c r="Z29" s="36"/>
      <x:c r="AA29" s="33" t="s">
        <x:v>120</x:v>
      </x:c>
      <x:c r="AB29" s="37" t="n">
        <x:f>IFERROR(INDEX(Effort_Model!$J$6:$J$33,MATCH(K29&amp;"|"&amp;L29,Effort_Model!$B$6:$B$33,0)),"")</x:f>
        <x:v>26.4</x:v>
      </x:c>
      <x:c r="AC29" s="38">
        <x:v>195</x:v>
      </x:c>
      <x:c r="AD29" s="37">
        <x:f t="shared" si="0"/>
        <x:v>260.33330000000001</x:v>
      </x:c>
      <x:c r="AE29" s="37" t="n">
        <x:f>IFERROR(ROUND(IFERROR(INDEX(Scoring_Rules!$C$43:$C$44,MATCH(Q29,Scoring_Rules!$B$43:$B$44,0)),0)*Scoring_Rules!$C$6+IFERROR(INDEX(Scoring_Rules!$C$34:$C$40,MATCH(K29,Scoring_Rules!$B$34:$B$40,0)),0)*Scoring_Rules!$C$7+IFERROR(INDEX(Scoring_Rules!$C$16:$C$19,MATCH(P29,Scoring_Rules!$B$16:$B$19,0)),0)*Scoring_Rules!$C$8+IFERROR(INDEX(Scoring_Rules!$C$22:$C$25,MATCH(O29,Scoring_Rules!$B$22:$B$25,0)),0)*Scoring_Rules!$C$9+IFERROR(INDEX(Scoring_Rules!$C$47:$C$50,MATCH(X29,Scoring_Rules!$B$47:$B$50,0)),0)*Scoring_Rules!$C$10+IFERROR(INDEX(Scoring_Rules!$C$28:$C$31,MATCH(R29,Scoring_Rules!$B$28:$B$31,0)),0)*Scoring_Rules!$C$11,1),"")</x:f>
        <x:v>45.3</x:v>
      </x:c>
      <x:c r="AF29" s="35"/>
      <x:c r="AG29" s="33" t="s">
        <x:v>304</x:v>
      </x:c>
      <x:c r="AH29" s="36">
        <x:v>46343</x:v>
      </x:c>
      <x:c r="AI29" s="33" t="s">
        <x:v>126</x:v>
      </x:c>
      <x:c r="AJ29" s="34"/>
    </x:row>
    <x:row r="30" ht="23.25" customHeight="1">
      <x:c r="A30" s="31" t="s">
        <x:v>427</x:v>
      </x:c>
      <x:c r="B30" s="31" t="s">
        <x:v>428</x:v>
      </x:c>
      <x:c r="C30" s="31" t="s">
        <x:v>283</x:v>
      </x:c>
      <x:c r="D30" s="32" t="s">
        <x:v>293</x:v>
      </x:c>
      <x:c r="E30" s="32" t="str">
        <x:v>Data Migration Only</x:v>
      </x:c>
      <x:c r="F30" s="33" t="s">
        <x:v>120</x:v>
      </x:c>
      <x:c r="G30" s="34" t="s">
        <x:v>285</x:v>
      </x:c>
      <x:c r="H30" s="33" t="s">
        <x:v>91</x:v>
      </x:c>
      <x:c r="I30" s="33" t="s">
        <x:v>286</x:v>
      </x:c>
      <x:c r="J30" s="33" t="s">
        <x:v>80</x:v>
      </x:c>
      <x:c r="K30" s="33" t="s">
        <x:v>60</x:v>
      </x:c>
      <x:c r="L30" s="33" t="s">
        <x:v>75</x:v>
      </x:c>
      <x:c r="M30" s="35">
        <x:v>34</x:v>
      </x:c>
      <x:c r="N30" s="35">
        <x:v>6922887</x:v>
      </x:c>
      <x:c r="O30" s="33" t="s">
        <x:v>73</x:v>
      </x:c>
      <x:c r="P30" s="33" t="s">
        <x:v>109</x:v>
      </x:c>
      <x:c r="Q30" s="33" t="s">
        <x:v>120</x:v>
      </x:c>
      <x:c r="R30" s="33" t="s">
        <x:v>73</x:v>
      </x:c>
      <x:c r="S30" s="31" t="s">
        <x:v>429</x:v>
      </x:c>
      <x:c r="T30" s="31" t="s">
        <x:v>430</x:v>
      </x:c>
      <x:c r="U30" s="31" t="s">
        <x:v>276</x:v>
      </x:c>
      <x:c r="V30" s="33" t="s">
        <x:v>329</x:v>
      </x:c>
      <x:c r="W30" s="33" t="s">
        <x:v>371</x:v>
      </x:c>
      <x:c r="X30" s="33" t="s">
        <x:v>239</x:v>
      </x:c>
      <x:c r="Y30" s="36"/>
      <x:c r="Z30" s="36"/>
      <x:c r="AA30" s="33" t="s">
        <x:v>120</x:v>
      </x:c>
      <x:c r="AB30" s="37" t="n">
        <x:f>IFERROR(INDEX(Effort_Model!$J$6:$J$33,MATCH(K30&amp;"|"&amp;L30,Effort_Model!$B$6:$B$33,0)),"")</x:f>
        <x:v>42.4</x:v>
      </x:c>
      <x:c r="AC30" s="38">
        <x:v>328.7</x:v>
      </x:c>
      <x:c r="AD30" s="37">
        <x:f t="shared" si="0"/>
        <x:v>442.0333</x:v>
      </x:c>
      <x:c r="AE30" s="37" t="n">
        <x:f>IFERROR(ROUND(IFERROR(INDEX(Scoring_Rules!$C$43:$C$44,MATCH(Q30,Scoring_Rules!$B$43:$B$44,0)),0)*Scoring_Rules!$C$6+IFERROR(INDEX(Scoring_Rules!$C$34:$C$40,MATCH(K30,Scoring_Rules!$B$34:$B$40,0)),0)*Scoring_Rules!$C$7+IFERROR(INDEX(Scoring_Rules!$C$16:$C$19,MATCH(P30,Scoring_Rules!$B$16:$B$19,0)),0)*Scoring_Rules!$C$8+IFERROR(INDEX(Scoring_Rules!$C$22:$C$25,MATCH(O30,Scoring_Rules!$B$22:$B$25,0)),0)*Scoring_Rules!$C$9+IFERROR(INDEX(Scoring_Rules!$C$47:$C$50,MATCH(X30,Scoring_Rules!$B$47:$B$50,0)),0)*Scoring_Rules!$C$10+IFERROR(INDEX(Scoring_Rules!$C$28:$C$31,MATCH(R30,Scoring_Rules!$B$28:$B$31,0)),0)*Scoring_Rules!$C$11,1),"")</x:f>
        <x:v>39.5</x:v>
      </x:c>
      <x:c r="AF30" s="35"/>
      <x:c r="AG30" s="33" t="s">
        <x:v>311</x:v>
      </x:c>
      <x:c r="AH30" s="36">
        <x:v>46335</x:v>
      </x:c>
      <x:c r="AI30" s="33" t="s">
        <x:v>125</x:v>
      </x:c>
      <x:c r="AJ30" s="34"/>
    </x:row>
    <x:row r="31" ht="23.25" customHeight="1">
      <x:c r="A31" s="31" t="s">
        <x:v>431</x:v>
      </x:c>
      <x:c r="B31" s="31" t="s">
        <x:v>432</x:v>
      </x:c>
      <x:c r="C31" s="31" t="s">
        <x:v>283</x:v>
      </x:c>
      <x:c r="D31" s="32" t="s">
        <x:v>433</x:v>
      </x:c>
      <x:c r="E31" s="32" t="str">
        <x:v>Data Migration Only</x:v>
      </x:c>
      <x:c r="F31" s="33" t="s">
        <x:v>120</x:v>
      </x:c>
      <x:c r="G31" s="34" t="s">
        <x:v>285</x:v>
      </x:c>
      <x:c r="H31" s="33" t="s">
        <x:v>91</x:v>
      </x:c>
      <x:c r="I31" s="33" t="s">
        <x:v>286</x:v>
      </x:c>
      <x:c r="J31" s="33" t="s">
        <x:v>80</x:v>
      </x:c>
      <x:c r="K31" s="33" t="s">
        <x:v>58</x:v>
      </x:c>
      <x:c r="L31" s="33" t="s">
        <x:v>73</x:v>
      </x:c>
      <x:c r="M31" s="35">
        <x:v>27</x:v>
      </x:c>
      <x:c r="N31" s="35">
        <x:v>552085</x:v>
      </x:c>
      <x:c r="O31" s="33" t="s">
        <x:v>98</x:v>
      </x:c>
      <x:c r="P31" s="33" t="s">
        <x:v>98</x:v>
      </x:c>
      <x:c r="Q31" s="33" t="s">
        <x:v>120</x:v>
      </x:c>
      <x:c r="R31" s="33" t="s">
        <x:v>101</x:v>
      </x:c>
      <x:c r="S31" s="31" t="s">
        <x:v>434</x:v>
      </x:c>
      <x:c r="T31" s="31" t="s">
        <x:v>435</x:v>
      </x:c>
      <x:c r="U31" s="31" t="s">
        <x:v>276</x:v>
      </x:c>
      <x:c r="V31" s="33" t="s">
        <x:v>365</x:v>
      </x:c>
      <x:c r="W31" s="33" t="s">
        <x:v>331</x:v>
      </x:c>
      <x:c r="X31" s="33" t="s">
        <x:v>239</x:v>
      </x:c>
      <x:c r="Y31" s="36">
        <x:v>46360</x:v>
      </x:c>
      <x:c r="Z31" s="36"/>
      <x:c r="AA31" s="33" t="s">
        <x:v>118</x:v>
      </x:c>
      <x:c r="AB31" s="37" t="n">
        <x:f>IFERROR(INDEX(Effort_Model!$J$6:$J$33,MATCH(K31&amp;"|"&amp;L31,Effort_Model!$B$6:$B$33,0)),"")</x:f>
        <x:v>26.4</x:v>
      </x:c>
      <x:c r="AC31" s="38">
        <x:v>134.80000000000001</x:v>
      </x:c>
      <x:c r="AD31" s="37">
        <x:f t="shared" si="0"/>
        <x:v>179.8</x:v>
      </x:c>
      <x:c r="AE31" s="37" t="n">
        <x:f>IFERROR(ROUND(IFERROR(INDEX(Scoring_Rules!$C$43:$C$44,MATCH(Q31,Scoring_Rules!$B$43:$B$44,0)),0)*Scoring_Rules!$C$6+IFERROR(INDEX(Scoring_Rules!$C$34:$C$40,MATCH(K31,Scoring_Rules!$B$34:$B$40,0)),0)*Scoring_Rules!$C$7+IFERROR(INDEX(Scoring_Rules!$C$16:$C$19,MATCH(P31,Scoring_Rules!$B$16:$B$19,0)),0)*Scoring_Rules!$C$8+IFERROR(INDEX(Scoring_Rules!$C$22:$C$25,MATCH(O31,Scoring_Rules!$B$22:$B$25,0)),0)*Scoring_Rules!$C$9+IFERROR(INDEX(Scoring_Rules!$C$47:$C$50,MATCH(X31,Scoring_Rules!$B$47:$B$50,0)),0)*Scoring_Rules!$C$10+IFERROR(INDEX(Scoring_Rules!$C$28:$C$31,MATCH(R31,Scoring_Rules!$B$28:$B$31,0)),0)*Scoring_Rules!$C$11,1),"")</x:f>
        <x:v>65.3</x:v>
      </x:c>
      <x:c r="AF31" s="35"/>
      <x:c r="AG31" s="33" t="s">
        <x:v>290</x:v>
      </x:c>
      <x:c r="AH31" s="36">
        <x:v>46359</x:v>
      </x:c>
      <x:c r="AI31" s="33" t="s">
        <x:v>126</x:v>
      </x:c>
      <x:c r="AJ31" s="34" t="s">
        <x:v>342</x:v>
      </x:c>
    </x:row>
    <x:row r="32" ht="15" customHeight="1">
      <x:c r="A32" s="31" t="s">
        <x:v>436</x:v>
      </x:c>
      <x:c r="B32" s="31" t="s">
        <x:v>437</x:v>
      </x:c>
      <x:c r="C32" s="31" t="s">
        <x:v>283</x:v>
      </x:c>
      <x:c r="D32" s="32" t="s">
        <x:v>438</x:v>
      </x:c>
      <x:c r="E32" s="32" t="str">
        <x:v>Data Migration Only</x:v>
      </x:c>
      <x:c r="F32" s="33" t="s">
        <x:v>118</x:v>
      </x:c>
      <x:c r="G32" s="34" t="s">
        <x:v>294</x:v>
      </x:c>
      <x:c r="H32" s="33" t="s">
        <x:v>91</x:v>
      </x:c>
      <x:c r="I32" s="33" t="s">
        <x:v>286</x:v>
      </x:c>
      <x:c r="J32" s="33" t="s">
        <x:v>80</x:v>
      </x:c>
      <x:c r="K32" s="33" t="s">
        <x:v>56</x:v>
      </x:c>
      <x:c r="L32" s="33" t="s">
        <x:v>73</x:v>
      </x:c>
      <x:c r="M32" s="35">
        <x:v>10</x:v>
      </x:c>
      <x:c r="N32" s="35">
        <x:v>121835</x:v>
      </x:c>
      <x:c r="O32" s="33" t="s">
        <x:v>98</x:v>
      </x:c>
      <x:c r="P32" s="33" t="s">
        <x:v>98</x:v>
      </x:c>
      <x:c r="Q32" s="33" t="s">
        <x:v>120</x:v>
      </x:c>
      <x:c r="R32" s="33" t="s">
        <x:v>73</x:v>
      </x:c>
      <x:c r="S32" s="31" t="s">
        <x:v>420</x:v>
      </x:c>
      <x:c r="T32" s="31" t="s">
        <x:v>439</x:v>
      </x:c>
      <x:c r="U32" s="31" t="s">
        <x:v>276</x:v>
      </x:c>
      <x:c r="V32" s="33" t="s">
        <x:v>289</x:v>
      </x:c>
      <x:c r="W32" s="33"/>
      <x:c r="X32" s="33" t="s">
        <x:v>238</x:v>
      </x:c>
      <x:c r="Y32" s="36"/>
      <x:c r="Z32" s="36"/>
      <x:c r="AA32" s="33" t="s">
        <x:v>120</x:v>
      </x:c>
      <x:c r="AB32" s="37" t="n">
        <x:f>IFERROR(INDEX(Effort_Model!$J$6:$J$33,MATCH(K32&amp;"|"&amp;L32,Effort_Model!$B$6:$B$33,0)),"")</x:f>
        <x:v>18.4</x:v>
      </x:c>
      <x:c r="AC32" s="38">
        <x:v>89.6</x:v>
      </x:c>
      <x:c r="AD32" s="37">
        <x:f t="shared" si="0"/>
        <x:v>118.6</x:v>
      </x:c>
      <x:c r="AE32" s="37" t="n">
        <x:f>IFERROR(ROUND(IFERROR(INDEX(Scoring_Rules!$C$43:$C$44,MATCH(Q32,Scoring_Rules!$B$43:$B$44,0)),0)*Scoring_Rules!$C$6+IFERROR(INDEX(Scoring_Rules!$C$34:$C$40,MATCH(K32,Scoring_Rules!$B$34:$B$40,0)),0)*Scoring_Rules!$C$7+IFERROR(INDEX(Scoring_Rules!$C$16:$C$19,MATCH(P32,Scoring_Rules!$B$16:$B$19,0)),0)*Scoring_Rules!$C$8+IFERROR(INDEX(Scoring_Rules!$C$22:$C$25,MATCH(O32,Scoring_Rules!$B$22:$B$25,0)),0)*Scoring_Rules!$C$9+IFERROR(INDEX(Scoring_Rules!$C$47:$C$50,MATCH(X32,Scoring_Rules!$B$47:$B$50,0)),0)*Scoring_Rules!$C$10+IFERROR(INDEX(Scoring_Rules!$C$28:$C$31,MATCH(R32,Scoring_Rules!$B$28:$B$31,0)),0)*Scoring_Rules!$C$11,1),"")</x:f>
        <x:v>73.5</x:v>
      </x:c>
      <x:c r="AF32" s="35"/>
      <x:c r="AG32" s="33" t="s">
        <x:v>297</x:v>
      </x:c>
      <x:c r="AH32" s="36">
        <x:v>46375</x:v>
      </x:c>
      <x:c r="AI32" s="33" t="s">
        <x:v>126</x:v>
      </x:c>
      <x:c r="AJ32" s="34"/>
    </x:row>
    <x:row r="33" ht="15" customHeight="1">
      <x:c r="A33" s="31" t="s">
        <x:v>440</x:v>
      </x:c>
      <x:c r="B33" s="31" t="s">
        <x:v>441</x:v>
      </x:c>
      <x:c r="C33" s="31" t="s">
        <x:v>283</x:v>
      </x:c>
      <x:c r="D33" s="32" t="s">
        <x:v>333</x:v>
      </x:c>
      <x:c r="E33" s="32" t="str">
        <x:v>Data Migration Only</x:v>
      </x:c>
      <x:c r="F33" s="33" t="s">
        <x:v>118</x:v>
      </x:c>
      <x:c r="G33" s="34" t="s">
        <x:v>285</x:v>
      </x:c>
      <x:c r="H33" s="33" t="s">
        <x:v>91</x:v>
      </x:c>
      <x:c r="I33" s="33" t="s">
        <x:v>286</x:v>
      </x:c>
      <x:c r="J33" s="33" t="s">
        <x:v>80</x:v>
      </x:c>
      <x:c r="K33" s="33" t="s">
        <x:v>56</x:v>
      </x:c>
      <x:c r="L33" s="33" t="s">
        <x:v>73</x:v>
      </x:c>
      <x:c r="M33" s="35">
        <x:v>10</x:v>
      </x:c>
      <x:c r="N33" s="35">
        <x:v>110041</x:v>
      </x:c>
      <x:c r="O33" s="33" t="s">
        <x:v>73</x:v>
      </x:c>
      <x:c r="P33" s="33" t="s">
        <x:v>109</x:v>
      </x:c>
      <x:c r="Q33" s="33" t="s">
        <x:v>120</x:v>
      </x:c>
      <x:c r="R33" s="33" t="s">
        <x:v>98</x:v>
      </x:c>
      <x:c r="S33" s="31" t="s">
        <x:v>442</x:v>
      </x:c>
      <x:c r="T33" s="31" t="s">
        <x:v>443</x:v>
      </x:c>
      <x:c r="U33" s="31" t="s">
        <x:v>276</x:v>
      </x:c>
      <x:c r="V33" s="33" t="s">
        <x:v>444</x:v>
      </x:c>
      <x:c r="W33" s="33"/>
      <x:c r="X33" s="33" t="s">
        <x:v>238</x:v>
      </x:c>
      <x:c r="Y33" s="36"/>
      <x:c r="Z33" s="36"/>
      <x:c r="AA33" s="33" t="s">
        <x:v>120</x:v>
      </x:c>
      <x:c r="AB33" s="37" t="n">
        <x:f>IFERROR(INDEX(Effort_Model!$J$6:$J$33,MATCH(K33&amp;"|"&amp;L33,Effort_Model!$B$6:$B$33,0)),"")</x:f>
        <x:v>18.4</x:v>
      </x:c>
      <x:c r="AC33" s="38">
        <x:v>87.8</x:v>
      </x:c>
      <x:c r="AD33" s="37">
        <x:f t="shared" si="0"/>
        <x:v>116.8</x:v>
      </x:c>
      <x:c r="AE33" s="37" t="n">
        <x:f>IFERROR(ROUND(IFERROR(INDEX(Scoring_Rules!$C$43:$C$44,MATCH(Q33,Scoring_Rules!$B$43:$B$44,0)),0)*Scoring_Rules!$C$6+IFERROR(INDEX(Scoring_Rules!$C$34:$C$40,MATCH(K33,Scoring_Rules!$B$34:$B$40,0)),0)*Scoring_Rules!$C$7+IFERROR(INDEX(Scoring_Rules!$C$16:$C$19,MATCH(P33,Scoring_Rules!$B$16:$B$19,0)),0)*Scoring_Rules!$C$8+IFERROR(INDEX(Scoring_Rules!$C$22:$C$25,MATCH(O33,Scoring_Rules!$B$22:$B$25,0)),0)*Scoring_Rules!$C$9+IFERROR(INDEX(Scoring_Rules!$C$47:$C$50,MATCH(X33,Scoring_Rules!$B$47:$B$50,0)),0)*Scoring_Rules!$C$10+IFERROR(INDEX(Scoring_Rules!$C$28:$C$31,MATCH(R33,Scoring_Rules!$B$28:$B$31,0)),0)*Scoring_Rules!$C$11,1),"")</x:f>
        <x:v>50.5</x:v>
      </x:c>
      <x:c r="AF33" s="35"/>
      <x:c r="AG33" s="33" t="s">
        <x:v>304</x:v>
      </x:c>
      <x:c r="AH33" s="36">
        <x:v>46313</x:v>
      </x:c>
      <x:c r="AI33" s="33" t="s">
        <x:v>127</x:v>
      </x:c>
      <x:c r="AJ33" s="34" t="s">
        <x:v>445</x:v>
      </x:c>
    </x:row>
    <x:row r="34" ht="23.25" customHeight="1">
      <x:c r="A34" s="31" t="s">
        <x:v>446</x:v>
      </x:c>
      <x:c r="B34" s="31" t="s">
        <x:v>447</x:v>
      </x:c>
      <x:c r="C34" s="31" t="s">
        <x:v>283</x:v>
      </x:c>
      <x:c r="D34" s="32" t="s">
        <x:v>448</x:v>
      </x:c>
      <x:c r="E34" s="32" t="str">
        <x:v>Data Migration Only</x:v>
      </x:c>
      <x:c r="F34" s="33" t="s">
        <x:v>120</x:v>
      </x:c>
      <x:c r="G34" s="34" t="s">
        <x:v>285</x:v>
      </x:c>
      <x:c r="H34" s="33" t="s">
        <x:v>91</x:v>
      </x:c>
      <x:c r="I34" s="33" t="s">
        <x:v>286</x:v>
      </x:c>
      <x:c r="J34" s="33" t="s">
        <x:v>80</x:v>
      </x:c>
      <x:c r="K34" s="33" t="s">
        <x:v>60</x:v>
      </x:c>
      <x:c r="L34" s="33" t="s">
        <x:v>75</x:v>
      </x:c>
      <x:c r="M34" s="35">
        <x:v>34</x:v>
      </x:c>
      <x:c r="N34" s="35">
        <x:v>4741948</x:v>
      </x:c>
      <x:c r="O34" s="33" t="s">
        <x:v>98</x:v>
      </x:c>
      <x:c r="P34" s="33" t="s">
        <x:v>109</x:v>
      </x:c>
      <x:c r="Q34" s="33" t="s">
        <x:v>120</x:v>
      </x:c>
      <x:c r="R34" s="33" t="s">
        <x:v>73</x:v>
      </x:c>
      <x:c r="S34" s="31" t="s">
        <x:v>449</x:v>
      </x:c>
      <x:c r="T34" s="31" t="s">
        <x:v>450</x:v>
      </x:c>
      <x:c r="U34" s="31" t="s">
        <x:v>276</x:v>
      </x:c>
      <x:c r="V34" s="33" t="s">
        <x:v>451</x:v>
      </x:c>
      <x:c r="W34" s="33"/>
      <x:c r="X34" s="33" t="s">
        <x:v>238</x:v>
      </x:c>
      <x:c r="Y34" s="36"/>
      <x:c r="Z34" s="36"/>
      <x:c r="AA34" s="33" t="s">
        <x:v>120</x:v>
      </x:c>
      <x:c r="AB34" s="37" t="n">
        <x:f>IFERROR(INDEX(Effort_Model!$J$6:$J$33,MATCH(K34&amp;"|"&amp;L34,Effort_Model!$B$6:$B$33,0)),"")</x:f>
        <x:v>42.4</x:v>
      </x:c>
      <x:c r="AC34" s="38">
        <x:v>323</x:v>
      </x:c>
      <x:c r="AD34" s="37">
        <x:f t="shared" si="0"/>
        <x:v>436.33330000000001</x:v>
      </x:c>
      <x:c r="AE34" s="37" t="n">
        <x:f>IFERROR(ROUND(IFERROR(INDEX(Scoring_Rules!$C$43:$C$44,MATCH(Q34,Scoring_Rules!$B$43:$B$44,0)),0)*Scoring_Rules!$C$6+IFERROR(INDEX(Scoring_Rules!$C$34:$C$40,MATCH(K34,Scoring_Rules!$B$34:$B$40,0)),0)*Scoring_Rules!$C$7+IFERROR(INDEX(Scoring_Rules!$C$16:$C$19,MATCH(P34,Scoring_Rules!$B$16:$B$19,0)),0)*Scoring_Rules!$C$8+IFERROR(INDEX(Scoring_Rules!$C$22:$C$25,MATCH(O34,Scoring_Rules!$B$22:$B$25,0)),0)*Scoring_Rules!$C$9+IFERROR(INDEX(Scoring_Rules!$C$47:$C$50,MATCH(X34,Scoring_Rules!$B$47:$B$50,0)),0)*Scoring_Rules!$C$10+IFERROR(INDEX(Scoring_Rules!$C$28:$C$31,MATCH(R34,Scoring_Rules!$B$28:$B$31,0)),0)*Scoring_Rules!$C$11,1),"")</x:f>
        <x:v>48.5</x:v>
      </x:c>
      <x:c r="AF34" s="35"/>
      <x:c r="AG34" s="33" t="s">
        <x:v>311</x:v>
      </x:c>
      <x:c r="AH34" s="36">
        <x:v>46406</x:v>
      </x:c>
      <x:c r="AI34" s="33" t="s">
        <x:v>124</x:v>
      </x:c>
      <x:c r="AJ34" s="34"/>
    </x:row>
    <x:row r="35" ht="15" customHeight="1">
      <x:c r="A35" s="31" t="s">
        <x:v>452</x:v>
      </x:c>
      <x:c r="B35" s="31" t="s">
        <x:v>453</x:v>
      </x:c>
      <x:c r="C35" s="31" t="s">
        <x:v>283</x:v>
      </x:c>
      <x:c r="D35" s="32" t="s">
        <x:v>454</x:v>
      </x:c>
      <x:c r="E35" s="32" t="str">
        <x:v>Data Migration Only</x:v>
      </x:c>
      <x:c r="F35" s="33" t="s">
        <x:v>118</x:v>
      </x:c>
      <x:c r="G35" s="34" t="s">
        <x:v>294</x:v>
      </x:c>
      <x:c r="H35" s="33" t="s">
        <x:v>91</x:v>
      </x:c>
      <x:c r="I35" s="33" t="s">
        <x:v>286</x:v>
      </x:c>
      <x:c r="J35" s="33" t="s">
        <x:v>80</x:v>
      </x:c>
      <x:c r="K35" s="33" t="s">
        <x:v>62</x:v>
      </x:c>
      <x:c r="L35" s="33" t="s">
        <x:v>71</x:v>
      </x:c>
      <x:c r="M35" s="35">
        <x:v>69</x:v>
      </x:c>
      <x:c r="N35" s="35">
        <x:v>116818847</x:v>
      </x:c>
      <x:c r="O35" s="33" t="s">
        <x:v>73</x:v>
      </x:c>
      <x:c r="P35" s="33" t="s">
        <x:v>98</x:v>
      </x:c>
      <x:c r="Q35" s="33" t="s">
        <x:v>120</x:v>
      </x:c>
      <x:c r="R35" s="33" t="s">
        <x:v>98</x:v>
      </x:c>
      <x:c r="S35" s="31" t="s">
        <x:v>455</x:v>
      </x:c>
      <x:c r="T35" s="31" t="s">
        <x:v>456</x:v>
      </x:c>
      <x:c r="U35" s="31" t="s">
        <x:v>276</x:v>
      </x:c>
      <x:c r="V35" s="33" t="s">
        <x:v>379</x:v>
      </x:c>
      <x:c r="W35" s="33"/>
      <x:c r="X35" s="33" t="s">
        <x:v>238</x:v>
      </x:c>
      <x:c r="Y35" s="36"/>
      <x:c r="Z35" s="36"/>
      <x:c r="AA35" s="33" t="s">
        <x:v>120</x:v>
      </x:c>
      <x:c r="AB35" s="37" t="n">
        <x:f>IFERROR(INDEX(Effort_Model!$J$6:$J$33,MATCH(K35&amp;"|"&amp;L35,Effort_Model!$B$6:$B$33,0)),"")</x:f>
        <x:v>18.4</x:v>
      </x:c>
      <x:c r="AC35" s="38">
        <x:v>371</x:v>
      </x:c>
      <x:c r="AD35" s="37">
        <x:f t="shared" si="0"/>
        <x:v>445.4</x:v>
      </x:c>
      <x:c r="AE35" s="37" t="n">
        <x:f>IFERROR(ROUND(IFERROR(INDEX(Scoring_Rules!$C$43:$C$44,MATCH(Q35,Scoring_Rules!$B$43:$B$44,0)),0)*Scoring_Rules!$C$6+IFERROR(INDEX(Scoring_Rules!$C$34:$C$40,MATCH(K35,Scoring_Rules!$B$34:$B$40,0)),0)*Scoring_Rules!$C$7+IFERROR(INDEX(Scoring_Rules!$C$16:$C$19,MATCH(P35,Scoring_Rules!$B$16:$B$19,0)),0)*Scoring_Rules!$C$8+IFERROR(INDEX(Scoring_Rules!$C$22:$C$25,MATCH(O35,Scoring_Rules!$B$22:$B$25,0)),0)*Scoring_Rules!$C$9+IFERROR(INDEX(Scoring_Rules!$C$47:$C$50,MATCH(X35,Scoring_Rules!$B$47:$B$50,0)),0)*Scoring_Rules!$C$10+IFERROR(INDEX(Scoring_Rules!$C$28:$C$31,MATCH(R35,Scoring_Rules!$B$28:$B$31,0)),0)*Scoring_Rules!$C$11,1),"")</x:f>
        <x:v>61.5</x:v>
      </x:c>
      <x:c r="AF35" s="35"/>
      <x:c r="AG35" s="33" t="s">
        <x:v>290</x:v>
      </x:c>
      <x:c r="AH35" s="36">
        <x:v>46366</x:v>
      </x:c>
      <x:c r="AI35" s="33" t="s">
        <x:v>124</x:v>
      </x:c>
      <x:c r="AJ35" s="34" t="s">
        <x:v>383</x:v>
      </x:c>
    </x:row>
    <x:row r="36" ht="15" customHeight="1">
      <x:c r="A36" s="31" t="s">
        <x:v>457</x:v>
      </x:c>
      <x:c r="B36" s="31" t="s">
        <x:v>458</x:v>
      </x:c>
      <x:c r="C36" s="31" t="s">
        <x:v>283</x:v>
      </x:c>
      <x:c r="D36" s="32" t="s">
        <x:v>459</x:v>
      </x:c>
      <x:c r="E36" s="32" t="str">
        <x:v>Data Migration Only</x:v>
      </x:c>
      <x:c r="F36" s="33" t="s">
        <x:v>118</x:v>
      </x:c>
      <x:c r="G36" s="34" t="s">
        <x:v>294</x:v>
      </x:c>
      <x:c r="H36" s="33" t="s">
        <x:v>91</x:v>
      </x:c>
      <x:c r="I36" s="33" t="s">
        <x:v>286</x:v>
      </x:c>
      <x:c r="J36" s="33" t="s">
        <x:v>80</x:v>
      </x:c>
      <x:c r="K36" s="33" t="s">
        <x:v>58</x:v>
      </x:c>
      <x:c r="L36" s="33" t="s">
        <x:v>71</x:v>
      </x:c>
      <x:c r="M36" s="35">
        <x:v>17</x:v>
      </x:c>
      <x:c r="N36" s="35">
        <x:v>1190609</x:v>
      </x:c>
      <x:c r="O36" s="33" t="s">
        <x:v>73</x:v>
      </x:c>
      <x:c r="P36" s="33" t="s">
        <x:v>98</x:v>
      </x:c>
      <x:c r="Q36" s="33" t="s">
        <x:v>120</x:v>
      </x:c>
      <x:c r="R36" s="33" t="s">
        <x:v>73</x:v>
      </x:c>
      <x:c r="S36" s="31" t="s">
        <x:v>460</x:v>
      </x:c>
      <x:c r="T36" s="31" t="s">
        <x:v>461</x:v>
      </x:c>
      <x:c r="U36" s="31" t="s">
        <x:v>276</x:v>
      </x:c>
      <x:c r="V36" s="33" t="s">
        <x:v>277</x:v>
      </x:c>
      <x:c r="W36" s="33" t="s">
        <x:v>462</x:v>
      </x:c>
      <x:c r="X36" s="33" t="s">
        <x:v>239</x:v>
      </x:c>
      <x:c r="Y36" s="36"/>
      <x:c r="Z36" s="36"/>
      <x:c r="AA36" s="33" t="s">
        <x:v>120</x:v>
      </x:c>
      <x:c r="AB36" s="37" t="n">
        <x:f>IFERROR(INDEX(Effort_Model!$J$6:$J$33,MATCH(K36&amp;"|"&amp;L36,Effort_Model!$B$6:$B$33,0)),"")</x:f>
        <x:v>18.4</x:v>
      </x:c>
      <x:c r="AC36" s="38">
        <x:v>105.5</x:v>
      </x:c>
      <x:c r="AD36" s="37">
        <x:f t="shared" si="0"/>
        <x:v>131.9</x:v>
      </x:c>
      <x:c r="AE36" s="37" t="n">
        <x:f>IFERROR(ROUND(IFERROR(INDEX(Scoring_Rules!$C$43:$C$44,MATCH(Q36,Scoring_Rules!$B$43:$B$44,0)),0)*Scoring_Rules!$C$6+IFERROR(INDEX(Scoring_Rules!$C$34:$C$40,MATCH(K36,Scoring_Rules!$B$34:$B$40,0)),0)*Scoring_Rules!$C$7+IFERROR(INDEX(Scoring_Rules!$C$16:$C$19,MATCH(P36,Scoring_Rules!$B$16:$B$19,0)),0)*Scoring_Rules!$C$8+IFERROR(INDEX(Scoring_Rules!$C$22:$C$25,MATCH(O36,Scoring_Rules!$B$22:$B$25,0)),0)*Scoring_Rules!$C$9+IFERROR(INDEX(Scoring_Rules!$C$47:$C$50,MATCH(X36,Scoring_Rules!$B$47:$B$50,0)),0)*Scoring_Rules!$C$10+IFERROR(INDEX(Scoring_Rules!$C$28:$C$31,MATCH(R36,Scoring_Rules!$B$28:$B$31,0)),0)*Scoring_Rules!$C$11,1),"")</x:f>
        <x:v>62.5</x:v>
      </x:c>
      <x:c r="AF36" s="35"/>
      <x:c r="AG36" s="33" t="s">
        <x:v>297</x:v>
      </x:c>
      <x:c r="AH36" s="36">
        <x:v>46334</x:v>
      </x:c>
      <x:c r="AI36" s="33" t="s">
        <x:v>127</x:v>
      </x:c>
      <x:c r="AJ36" s="34"/>
    </x:row>
    <x:row r="37" ht="23.25" customHeight="1">
      <x:c r="A37" s="31" t="s">
        <x:v>463</x:v>
      </x:c>
      <x:c r="B37" s="31" t="s">
        <x:v>464</x:v>
      </x:c>
      <x:c r="C37" s="31" t="s">
        <x:v>283</x:v>
      </x:c>
      <x:c r="D37" s="32" t="s">
        <x:v>293</x:v>
      </x:c>
      <x:c r="E37" s="32" t="str">
        <x:v>Data Migration Only</x:v>
      </x:c>
      <x:c r="F37" s="33" t="s">
        <x:v>118</x:v>
      </x:c>
      <x:c r="G37" s="34" t="s">
        <x:v>294</x:v>
      </x:c>
      <x:c r="H37" s="33" t="s">
        <x:v>91</x:v>
      </x:c>
      <x:c r="I37" s="33" t="s">
        <x:v>286</x:v>
      </x:c>
      <x:c r="J37" s="33" t="s">
        <x:v>80</x:v>
      </x:c>
      <x:c r="K37" s="33" t="s">
        <x:v>56</x:v>
      </x:c>
      <x:c r="L37" s="33" t="s">
        <x:v>73</x:v>
      </x:c>
      <x:c r="M37" s="35">
        <x:v>9</x:v>
      </x:c>
      <x:c r="N37" s="35">
        <x:v>145087</x:v>
      </x:c>
      <x:c r="O37" s="33" t="s">
        <x:v>73</x:v>
      </x:c>
      <x:c r="P37" s="33" t="s">
        <x:v>98</x:v>
      </x:c>
      <x:c r="Q37" s="33" t="s">
        <x:v>120</x:v>
      </x:c>
      <x:c r="R37" s="33" t="s">
        <x:v>73</x:v>
      </x:c>
      <x:c r="S37" s="31" t="s">
        <x:v>465</x:v>
      </x:c>
      <x:c r="T37" s="31" t="s">
        <x:v>466</x:v>
      </x:c>
      <x:c r="U37" s="31" t="s">
        <x:v>276</x:v>
      </x:c>
      <x:c r="V37" s="33" t="s">
        <x:v>303</x:v>
      </x:c>
      <x:c r="W37" s="33"/>
      <x:c r="X37" s="33" t="s">
        <x:v>238</x:v>
      </x:c>
      <x:c r="Y37" s="36"/>
      <x:c r="Z37" s="36"/>
      <x:c r="AA37" s="33" t="s">
        <x:v>120</x:v>
      </x:c>
      <x:c r="AB37" s="37" t="n">
        <x:f>IFERROR(INDEX(Effort_Model!$J$6:$J$33,MATCH(K37&amp;"|"&amp;L37,Effort_Model!$B$6:$B$33,0)),"")</x:f>
        <x:v>18.4</x:v>
      </x:c>
      <x:c r="AC37" s="38">
        <x:v>87.5</x:v>
      </x:c>
      <x:c r="AD37" s="37">
        <x:f t="shared" si="0"/>
        <x:v>116.5</x:v>
      </x:c>
      <x:c r="AE37" s="37" t="n">
        <x:f>IFERROR(ROUND(IFERROR(INDEX(Scoring_Rules!$C$43:$C$44,MATCH(Q37,Scoring_Rules!$B$43:$B$44,0)),0)*Scoring_Rules!$C$6+IFERROR(INDEX(Scoring_Rules!$C$34:$C$40,MATCH(K37,Scoring_Rules!$B$34:$B$40,0)),0)*Scoring_Rules!$C$7+IFERROR(INDEX(Scoring_Rules!$C$16:$C$19,MATCH(P37,Scoring_Rules!$B$16:$B$19,0)),0)*Scoring_Rules!$C$8+IFERROR(INDEX(Scoring_Rules!$C$22:$C$25,MATCH(O37,Scoring_Rules!$B$22:$B$25,0)),0)*Scoring_Rules!$C$9+IFERROR(INDEX(Scoring_Rules!$C$47:$C$50,MATCH(X37,Scoring_Rules!$B$47:$B$50,0)),0)*Scoring_Rules!$C$10+IFERROR(INDEX(Scoring_Rules!$C$28:$C$31,MATCH(R37,Scoring_Rules!$B$28:$B$31,0)),0)*Scoring_Rules!$C$11,1),"")</x:f>
        <x:v>69</x:v>
      </x:c>
      <x:c r="AF37" s="35"/>
      <x:c r="AG37" s="33" t="s">
        <x:v>304</x:v>
      </x:c>
      <x:c r="AH37" s="36">
        <x:v>46346</x:v>
      </x:c>
      <x:c r="AI37" s="33" t="s">
        <x:v>127</x:v>
      </x:c>
      <x:c r="AJ37" s="34"/>
    </x:row>
    <x:row r="38" ht="15" customHeight="1">
      <x:c r="A38" s="31" t="s">
        <x:v>467</x:v>
      </x:c>
      <x:c r="B38" s="31" t="s">
        <x:v>468</x:v>
      </x:c>
      <x:c r="C38" s="31" t="s">
        <x:v>283</x:v>
      </x:c>
      <x:c r="D38" s="32" t="s">
        <x:v>469</x:v>
      </x:c>
      <x:c r="E38" s="32" t="str">
        <x:v>Data Migration Only</x:v>
      </x:c>
      <x:c r="F38" s="33" t="s">
        <x:v>118</x:v>
      </x:c>
      <x:c r="G38" s="34" t="s">
        <x:v>285</x:v>
      </x:c>
      <x:c r="H38" s="33" t="s">
        <x:v>91</x:v>
      </x:c>
      <x:c r="I38" s="33" t="s">
        <x:v>286</x:v>
      </x:c>
      <x:c r="J38" s="33" t="s">
        <x:v>80</x:v>
      </x:c>
      <x:c r="K38" s="33" t="s">
        <x:v>60</x:v>
      </x:c>
      <x:c r="L38" s="33" t="s">
        <x:v>71</x:v>
      </x:c>
      <x:c r="M38" s="35">
        <x:v>31</x:v>
      </x:c>
      <x:c r="N38" s="35">
        <x:v>6897179</x:v>
      </x:c>
      <x:c r="O38" s="33" t="s">
        <x:v>98</x:v>
      </x:c>
      <x:c r="P38" s="33" t="s">
        <x:v>73</x:v>
      </x:c>
      <x:c r="Q38" s="33" t="s">
        <x:v>120</x:v>
      </x:c>
      <x:c r="R38" s="33" t="s">
        <x:v>73</x:v>
      </x:c>
      <x:c r="S38" s="31" t="s">
        <x:v>420</x:v>
      </x:c>
      <x:c r="T38" s="31" t="s">
        <x:v>470</x:v>
      </x:c>
      <x:c r="U38" s="31" t="s">
        <x:v>471</x:v>
      </x:c>
      <x:c r="V38" s="33" t="s">
        <x:v>365</x:v>
      </x:c>
      <x:c r="W38" s="33"/>
      <x:c r="X38" s="33" t="s">
        <x:v>238</x:v>
      </x:c>
      <x:c r="Y38" s="36"/>
      <x:c r="Z38" s="36"/>
      <x:c r="AA38" s="33" t="s">
        <x:v>120</x:v>
      </x:c>
      <x:c r="AB38" s="37" t="n">
        <x:f>IFERROR(INDEX(Effort_Model!$J$6:$J$33,MATCH(K38&amp;"|"&amp;L38,Effort_Model!$B$6:$B$33,0)),"")</x:f>
        <x:v>18.4</x:v>
      </x:c>
      <x:c r="AC38" s="38">
        <x:v>187.3</x:v>
      </x:c>
      <x:c r="AD38" s="37">
        <x:f t="shared" si="0"/>
        <x:v>229.70000000000002</x:v>
      </x:c>
      <x:c r="AE38" s="37" t="n">
        <x:f>IFERROR(ROUND(IFERROR(INDEX(Scoring_Rules!$C$43:$C$44,MATCH(Q38,Scoring_Rules!$B$43:$B$44,0)),0)*Scoring_Rules!$C$6+IFERROR(INDEX(Scoring_Rules!$C$34:$C$40,MATCH(K38,Scoring_Rules!$B$34:$B$40,0)),0)*Scoring_Rules!$C$7+IFERROR(INDEX(Scoring_Rules!$C$16:$C$19,MATCH(P38,Scoring_Rules!$B$16:$B$19,0)),0)*Scoring_Rules!$C$8+IFERROR(INDEX(Scoring_Rules!$C$22:$C$25,MATCH(O38,Scoring_Rules!$B$22:$B$25,0)),0)*Scoring_Rules!$C$9+IFERROR(INDEX(Scoring_Rules!$C$47:$C$50,MATCH(X38,Scoring_Rules!$B$47:$B$50,0)),0)*Scoring_Rules!$C$10+IFERROR(INDEX(Scoring_Rules!$C$28:$C$31,MATCH(R38,Scoring_Rules!$B$28:$B$31,0)),0)*Scoring_Rules!$C$11,1),"")</x:f>
        <x:v>62.5</x:v>
      </x:c>
      <x:c r="AF38" s="35"/>
      <x:c r="AG38" s="33" t="s">
        <x:v>311</x:v>
      </x:c>
      <x:c r="AH38" s="36">
        <x:v>46306</x:v>
      </x:c>
      <x:c r="AI38" s="33" t="s">
        <x:v>127</x:v>
      </x:c>
      <x:c r="AJ38" s="34"/>
    </x:row>
    <x:row r="39" ht="15" customHeight="1">
      <x:c r="A39" s="31" t="s">
        <x:v>472</x:v>
      </x:c>
      <x:c r="B39" s="31" t="s">
        <x:v>473</x:v>
      </x:c>
      <x:c r="C39" s="31" t="s">
        <x:v>283</x:v>
      </x:c>
      <x:c r="D39" s="32" t="s">
        <x:v>474</x:v>
      </x:c>
      <x:c r="E39" s="32" t="str">
        <x:v>Data Migration Only</x:v>
      </x:c>
      <x:c r="F39" s="33" t="s">
        <x:v>118</x:v>
      </x:c>
      <x:c r="G39" s="34" t="s">
        <x:v>285</x:v>
      </x:c>
      <x:c r="H39" s="33" t="s">
        <x:v>91</x:v>
      </x:c>
      <x:c r="I39" s="33" t="s">
        <x:v>286</x:v>
      </x:c>
      <x:c r="J39" s="33" t="s">
        <x:v>80</x:v>
      </x:c>
      <x:c r="K39" s="33" t="s">
        <x:v>56</x:v>
      </x:c>
      <x:c r="L39" s="33" t="s">
        <x:v>71</x:v>
      </x:c>
      <x:c r="M39" s="35">
        <x:v>8</x:v>
      </x:c>
      <x:c r="N39" s="35">
        <x:v>57408</x:v>
      </x:c>
      <x:c r="O39" s="33" t="s">
        <x:v>98</x:v>
      </x:c>
      <x:c r="P39" s="33" t="s">
        <x:v>98</x:v>
      </x:c>
      <x:c r="Q39" s="33" t="s">
        <x:v>120</x:v>
      </x:c>
      <x:c r="R39" s="33" t="s">
        <x:v>73</x:v>
      </x:c>
      <x:c r="S39" s="31" t="s">
        <x:v>475</x:v>
      </x:c>
      <x:c r="T39" s="31" t="s">
        <x:v>476</x:v>
      </x:c>
      <x:c r="U39" s="31" t="s">
        <x:v>477</x:v>
      </x:c>
      <x:c r="V39" s="33" t="s">
        <x:v>289</x:v>
      </x:c>
      <x:c r="W39" s="33" t="s">
        <x:v>478</x:v>
      </x:c>
      <x:c r="X39" s="33" t="s">
        <x:v>239</x:v>
      </x:c>
      <x:c r="Y39" s="36"/>
      <x:c r="Z39" s="36"/>
      <x:c r="AA39" s="33" t="s">
        <x:v>120</x:v>
      </x:c>
      <x:c r="AB39" s="37" t="n">
        <x:f>IFERROR(INDEX(Effort_Model!$J$6:$J$33,MATCH(K39&amp;"|"&amp;L39,Effort_Model!$B$6:$B$33,0)),"")</x:f>
        <x:v>18.4</x:v>
      </x:c>
      <x:c r="AC39" s="38">
        <x:v>59.3</x:v>
      </x:c>
      <x:c r="AD39" s="37">
        <x:f t="shared" si="0"/>
        <x:v>77.699999999999989</x:v>
      </x:c>
      <x:c r="AE39" s="37" t="n">
        <x:f>IFERROR(ROUND(IFERROR(INDEX(Scoring_Rules!$C$43:$C$44,MATCH(Q39,Scoring_Rules!$B$43:$B$44,0)),0)*Scoring_Rules!$C$6+IFERROR(INDEX(Scoring_Rules!$C$34:$C$40,MATCH(K39,Scoring_Rules!$B$34:$B$40,0)),0)*Scoring_Rules!$C$7+IFERROR(INDEX(Scoring_Rules!$C$16:$C$19,MATCH(P39,Scoring_Rules!$B$16:$B$19,0)),0)*Scoring_Rules!$C$8+IFERROR(INDEX(Scoring_Rules!$C$22:$C$25,MATCH(O39,Scoring_Rules!$B$22:$B$25,0)),0)*Scoring_Rules!$C$9+IFERROR(INDEX(Scoring_Rules!$C$47:$C$50,MATCH(X39,Scoring_Rules!$B$47:$B$50,0)),0)*Scoring_Rules!$C$10+IFERROR(INDEX(Scoring_Rules!$C$28:$C$31,MATCH(R39,Scoring_Rules!$B$28:$B$31,0)),0)*Scoring_Rules!$C$11,1),"")</x:f>
        <x:v>69</x:v>
      </x:c>
      <x:c r="AF39" s="35"/>
      <x:c r="AG39" s="33" t="s">
        <x:v>290</x:v>
      </x:c>
      <x:c r="AH39" s="36">
        <x:v>46410</x:v>
      </x:c>
      <x:c r="AI39" s="33" t="s">
        <x:v>126</x:v>
      </x:c>
      <x:c r="AJ39" s="34" t="s">
        <x:v>342</x:v>
      </x:c>
    </x:row>
    <x:row r="40" ht="15" customHeight="1">
      <x:c r="A40" s="31" t="s">
        <x:v>479</x:v>
      </x:c>
      <x:c r="B40" s="31" t="s">
        <x:v>480</x:v>
      </x:c>
      <x:c r="C40" s="31" t="s">
        <x:v>283</x:v>
      </x:c>
      <x:c r="D40" s="32" t="s">
        <x:v>333</x:v>
      </x:c>
      <x:c r="E40" s="32" t="str">
        <x:v>Data Migration Only</x:v>
      </x:c>
      <x:c r="F40" s="33" t="s">
        <x:v>118</x:v>
      </x:c>
      <x:c r="G40" s="34" t="s">
        <x:v>285</x:v>
      </x:c>
      <x:c r="H40" s="33" t="s">
        <x:v>91</x:v>
      </x:c>
      <x:c r="I40" s="33" t="s">
        <x:v>286</x:v>
      </x:c>
      <x:c r="J40" s="33" t="s">
        <x:v>80</x:v>
      </x:c>
      <x:c r="K40" s="33" t="s">
        <x:v>58</x:v>
      </x:c>
      <x:c r="L40" s="33" t="s">
        <x:v>73</x:v>
      </x:c>
      <x:c r="M40" s="35">
        <x:v>29</x:v>
      </x:c>
      <x:c r="N40" s="35">
        <x:v>1460108</x:v>
      </x:c>
      <x:c r="O40" s="33" t="s">
        <x:v>73</x:v>
      </x:c>
      <x:c r="P40" s="33" t="s">
        <x:v>101</x:v>
      </x:c>
      <x:c r="Q40" s="33" t="s">
        <x:v>120</x:v>
      </x:c>
      <x:c r="R40" s="33" t="s">
        <x:v>98</x:v>
      </x:c>
      <x:c r="S40" s="31" t="s">
        <x:v>442</x:v>
      </x:c>
      <x:c r="T40" s="31" t="s">
        <x:v>481</x:v>
      </x:c>
      <x:c r="U40" s="31" t="s">
        <x:v>276</x:v>
      </x:c>
      <x:c r="V40" s="33" t="s">
        <x:v>303</x:v>
      </x:c>
      <x:c r="W40" s="33" t="s">
        <x:v>467</x:v>
      </x:c>
      <x:c r="X40" s="33" t="s">
        <x:v>239</x:v>
      </x:c>
      <x:c r="Y40" s="36"/>
      <x:c r="Z40" s="36"/>
      <x:c r="AA40" s="33" t="s">
        <x:v>118</x:v>
      </x:c>
      <x:c r="AB40" s="37" t="n">
        <x:f>IFERROR(INDEX(Effort_Model!$J$6:$J$33,MATCH(K40&amp;"|"&amp;L40,Effort_Model!$B$6:$B$33,0)),"")</x:f>
        <x:v>26.4</x:v>
      </x:c>
      <x:c r="AC40" s="38">
        <x:v>141.1</x:v>
      </x:c>
      <x:c r="AD40" s="37">
        <x:f t="shared" si="0"/>
        <x:v>186.1</x:v>
      </x:c>
      <x:c r="AE40" s="37" t="n">
        <x:f>IFERROR(ROUND(IFERROR(INDEX(Scoring_Rules!$C$43:$C$44,MATCH(Q40,Scoring_Rules!$B$43:$B$44,0)),0)*Scoring_Rules!$C$6+IFERROR(INDEX(Scoring_Rules!$C$34:$C$40,MATCH(K40,Scoring_Rules!$B$34:$B$40,0)),0)*Scoring_Rules!$C$7+IFERROR(INDEX(Scoring_Rules!$C$16:$C$19,MATCH(P40,Scoring_Rules!$B$16:$B$19,0)),0)*Scoring_Rules!$C$8+IFERROR(INDEX(Scoring_Rules!$C$22:$C$25,MATCH(O40,Scoring_Rules!$B$22:$B$25,0)),0)*Scoring_Rules!$C$9+IFERROR(INDEX(Scoring_Rules!$C$47:$C$50,MATCH(X40,Scoring_Rules!$B$47:$B$50,0)),0)*Scoring_Rules!$C$10+IFERROR(INDEX(Scoring_Rules!$C$28:$C$31,MATCH(R40,Scoring_Rules!$B$28:$B$31,0)),0)*Scoring_Rules!$C$11,1),"")</x:f>
        <x:v>51</x:v>
      </x:c>
      <x:c r="AF40" s="35"/>
      <x:c r="AG40" s="33" t="s">
        <x:v>297</x:v>
      </x:c>
      <x:c r="AH40" s="36">
        <x:v>46390</x:v>
      </x:c>
      <x:c r="AI40" s="33" t="s">
        <x:v>127</x:v>
      </x:c>
      <x:c r="AJ40" s="34"/>
    </x:row>
    <x:row r="41" ht="15" customHeight="1">
      <x:c r="A41" s="31" t="s">
        <x:v>482</x:v>
      </x:c>
      <x:c r="B41" s="31" t="s">
        <x:v>483</x:v>
      </x:c>
      <x:c r="C41" s="31" t="s">
        <x:v>484</x:v>
      </x:c>
      <x:c r="D41" s="32" t="s">
        <x:v>485</x:v>
      </x:c>
      <x:c r="E41" s="32" t="str">
        <x:v>Data Migration Only</x:v>
      </x:c>
      <x:c r="F41" s="33" t="s">
        <x:v>120</x:v>
      </x:c>
      <x:c r="G41" s="34" t="s">
        <x:v>486</x:v>
      </x:c>
      <x:c r="H41" s="33" t="s">
        <x:v>87</x:v>
      </x:c>
      <x:c r="I41" s="33" t="s">
        <x:v>487</x:v>
      </x:c>
      <x:c r="J41" s="33" t="s">
        <x:v>80</x:v>
      </x:c>
      <x:c r="K41" s="33" t="s">
        <x:v>56</x:v>
      </x:c>
      <x:c r="L41" s="33" t="s">
        <x:v>71</x:v>
      </x:c>
      <x:c r="M41" s="35">
        <x:v>10</x:v>
      </x:c>
      <x:c r="N41" s="35">
        <x:v>108978</x:v>
      </x:c>
      <x:c r="O41" s="33" t="s">
        <x:v>98</x:v>
      </x:c>
      <x:c r="P41" s="33" t="s">
        <x:v>98</x:v>
      </x:c>
      <x:c r="Q41" s="33" t="s">
        <x:v>118</x:v>
      </x:c>
      <x:c r="R41" s="33" t="s">
        <x:v>98</x:v>
      </x:c>
      <x:c r="S41" s="31" t="s">
        <x:v>488</x:v>
      </x:c>
      <x:c r="T41" s="31" t="s">
        <x:v>489</x:v>
      </x:c>
      <x:c r="U41" s="31" t="s">
        <x:v>276</x:v>
      </x:c>
      <x:c r="V41" s="33" t="s">
        <x:v>277</x:v>
      </x:c>
      <x:c r="W41" s="33"/>
      <x:c r="X41" s="33" t="s">
        <x:v>238</x:v>
      </x:c>
      <x:c r="Y41" s="36"/>
      <x:c r="Z41" s="36"/>
      <x:c r="AA41" s="33" t="s">
        <x:v>120</x:v>
      </x:c>
      <x:c r="AB41" s="37" t="n">
        <x:f>IFERROR(INDEX(Effort_Model!$J$6:$J$33,MATCH(K41&amp;"|"&amp;L41,Effort_Model!$B$6:$B$33,0)),"")</x:f>
        <x:v>18.4</x:v>
      </x:c>
      <x:c r="AC41" s="38">
        <x:v>64.7</x:v>
      </x:c>
      <x:c r="AD41" s="37">
        <x:f t="shared" si="0"/>
        <x:v>83.1</x:v>
      </x:c>
      <x:c r="AE41" s="37" t="n">
        <x:f>IFERROR(ROUND(IFERROR(INDEX(Scoring_Rules!$C$43:$C$44,MATCH(Q41,Scoring_Rules!$B$43:$B$44,0)),0)*Scoring_Rules!$C$6+IFERROR(INDEX(Scoring_Rules!$C$34:$C$40,MATCH(K41,Scoring_Rules!$B$34:$B$40,0)),0)*Scoring_Rules!$C$7+IFERROR(INDEX(Scoring_Rules!$C$16:$C$19,MATCH(P41,Scoring_Rules!$B$16:$B$19,0)),0)*Scoring_Rules!$C$8+IFERROR(INDEX(Scoring_Rules!$C$22:$C$25,MATCH(O41,Scoring_Rules!$B$22:$B$25,0)),0)*Scoring_Rules!$C$9+IFERROR(INDEX(Scoring_Rules!$C$47:$C$50,MATCH(X41,Scoring_Rules!$B$47:$B$50,0)),0)*Scoring_Rules!$C$10+IFERROR(INDEX(Scoring_Rules!$C$28:$C$31,MATCH(R41,Scoring_Rules!$B$28:$B$31,0)),0)*Scoring_Rules!$C$11,1),"")</x:f>
        <x:v>100</x:v>
      </x:c>
      <x:c r="AF41" s="35">
        <x:v>1</x:v>
      </x:c>
      <x:c r="AG41" s="33" t="s">
        <x:v>490</x:v>
      </x:c>
      <x:c r="AH41" s="36">
        <x:v>46356</x:v>
      </x:c>
      <x:c r="AI41" s="33" t="s">
        <x:v>127</x:v>
      </x:c>
      <x:c r="AJ41" s="34"/>
    </x:row>
    <x:row r="42" ht="15" customHeight="1">
      <x:c r="A42" s="31" t="s">
        <x:v>491</x:v>
      </x:c>
      <x:c r="B42" s="31" t="s">
        <x:v>492</x:v>
      </x:c>
      <x:c r="C42" s="31" t="s">
        <x:v>484</x:v>
      </x:c>
      <x:c r="D42" s="32" t="s">
        <x:v>493</x:v>
      </x:c>
      <x:c r="E42" s="32" t="str">
        <x:v>Functional Migration Only</x:v>
      </x:c>
      <x:c r="F42" s="33" t="s">
        <x:v>118</x:v>
      </x:c>
      <x:c r="G42" s="34" t="s">
        <x:v>494</x:v>
      </x:c>
      <x:c r="H42" s="33" t="s">
        <x:v>87</x:v>
      </x:c>
      <x:c r="I42" s="33" t="s">
        <x:v>487</x:v>
      </x:c>
      <x:c r="J42" s="33" t="s">
        <x:v>82</x:v>
      </x:c>
      <x:c r="K42" s="33" t="s">
        <x:v>62</x:v>
      </x:c>
      <x:c r="L42" s="33" t="s">
        <x:v>77</x:v>
      </x:c>
      <x:c r="M42" s="35">
        <x:v>66</x:v>
      </x:c>
      <x:c r="N42" s="35">
        <x:v>103998156</x:v>
      </x:c>
      <x:c r="O42" s="33" t="s">
        <x:v>101</x:v>
      </x:c>
      <x:c r="P42" s="33" t="s">
        <x:v>101</x:v>
      </x:c>
      <x:c r="Q42" s="33" t="s">
        <x:v>120</x:v>
      </x:c>
      <x:c r="R42" s="33" t="s">
        <x:v>101</x:v>
      </x:c>
      <x:c r="S42" s="31" t="s">
        <x:v>495</x:v>
      </x:c>
      <x:c r="T42" s="31" t="s">
        <x:v>496</x:v>
      </x:c>
      <x:c r="U42" s="31" t="s">
        <x:v>276</x:v>
      </x:c>
      <x:c r="V42" s="33" t="s">
        <x:v>277</x:v>
      </x:c>
      <x:c r="W42" s="33" t="s">
        <x:v>482</x:v>
      </x:c>
      <x:c r="X42" s="33" t="s">
        <x:v>239</x:v>
      </x:c>
      <x:c r="Y42" s="36"/>
      <x:c r="Z42" s="36">
        <x:v>46747</x:v>
      </x:c>
      <x:c r="AA42" s="33" t="s">
        <x:v>120</x:v>
      </x:c>
      <x:c r="AB42" s="37" t="n">
        <x:f>IFERROR(INDEX(Effort_Model!$J$6:$J$33,MATCH(K42&amp;"|"&amp;L42,Effort_Model!$B$6:$B$33,0)),"")</x:f>
        <x:v>74.4</x:v>
      </x:c>
      <x:c r="AC42" s="38">
        <x:v>1242.3</x:v>
      </x:c>
      <x:c r="AD42" s="37">
        <x:f t="shared" si="0"/>
        <x:v>1515.6333</x:v>
      </x:c>
      <x:c r="AE42" s="37" t="n">
        <x:f>IFERROR(ROUND(IFERROR(INDEX(Scoring_Rules!$C$43:$C$44,MATCH(Q42,Scoring_Rules!$B$43:$B$44,0)),0)*Scoring_Rules!$C$6+IFERROR(INDEX(Scoring_Rules!$C$34:$C$40,MATCH(K42,Scoring_Rules!$B$34:$B$40,0)),0)*Scoring_Rules!$C$7+IFERROR(INDEX(Scoring_Rules!$C$16:$C$19,MATCH(P42,Scoring_Rules!$B$16:$B$19,0)),0)*Scoring_Rules!$C$8+IFERROR(INDEX(Scoring_Rules!$C$22:$C$25,MATCH(O42,Scoring_Rules!$B$22:$B$25,0)),0)*Scoring_Rules!$C$9+IFERROR(INDEX(Scoring_Rules!$C$47:$C$50,MATCH(X42,Scoring_Rules!$B$47:$B$50,0)),0)*Scoring_Rules!$C$10+IFERROR(INDEX(Scoring_Rules!$C$28:$C$31,MATCH(R42,Scoring_Rules!$B$28:$B$31,0)),0)*Scoring_Rules!$C$11,1),"")</x:f>
        <x:v>35.5</x:v>
      </x:c>
      <x:c r="AF42" s="35">
        <x:v>8</x:v>
      </x:c>
      <x:c r="AG42" s="33" t="s">
        <x:v>497</x:v>
      </x:c>
      <x:c r="AH42" s="36">
        <x:v>46335</x:v>
      </x:c>
      <x:c r="AI42" s="33" t="s">
        <x:v>127</x:v>
      </x:c>
      <x:c r="AJ42" s="34" t="s">
        <x:v>342</x:v>
      </x:c>
    </x:row>
    <x:row r="43" ht="15" customHeight="1">
      <x:c r="A43" s="31" t="s">
        <x:v>498</x:v>
      </x:c>
      <x:c r="B43" s="31" t="s">
        <x:v>499</x:v>
      </x:c>
      <x:c r="C43" s="31" t="s">
        <x:v>484</x:v>
      </x:c>
      <x:c r="D43" s="32" t="s">
        <x:v>493</x:v>
      </x:c>
      <x:c r="E43" s="32" t="str">
        <x:v>Data Migration Only</x:v>
      </x:c>
      <x:c r="F43" s="33" t="s">
        <x:v>120</x:v>
      </x:c>
      <x:c r="G43" s="34" t="s">
        <x:v>500</x:v>
      </x:c>
      <x:c r="H43" s="33" t="s">
        <x:v>87</x:v>
      </x:c>
      <x:c r="I43" s="33" t="s">
        <x:v>487</x:v>
      </x:c>
      <x:c r="J43" s="33" t="s">
        <x:v>80</x:v>
      </x:c>
      <x:c r="K43" s="33" t="s">
        <x:v>60</x:v>
      </x:c>
      <x:c r="L43" s="33" t="s">
        <x:v>73</x:v>
      </x:c>
      <x:c r="M43" s="35">
        <x:v>32</x:v>
      </x:c>
      <x:c r="N43" s="35">
        <x:v>4880041</x:v>
      </x:c>
      <x:c r="O43" s="33" t="s">
        <x:v>73</x:v>
      </x:c>
      <x:c r="P43" s="33" t="s">
        <x:v>98</x:v>
      </x:c>
      <x:c r="Q43" s="33" t="s">
        <x:v>118</x:v>
      </x:c>
      <x:c r="R43" s="33" t="s">
        <x:v>98</x:v>
      </x:c>
      <x:c r="S43" s="31" t="s">
        <x:v>501</x:v>
      </x:c>
      <x:c r="T43" s="31" t="s">
        <x:v>502</x:v>
      </x:c>
      <x:c r="U43" s="31" t="s">
        <x:v>276</x:v>
      </x:c>
      <x:c r="V43" s="33" t="s">
        <x:v>329</x:v>
      </x:c>
      <x:c r="W43" s="33"/>
      <x:c r="X43" s="33" t="s">
        <x:v>238</x:v>
      </x:c>
      <x:c r="Y43" s="36">
        <x:v>46341</x:v>
      </x:c>
      <x:c r="Z43" s="36"/>
      <x:c r="AA43" s="33" t="s">
        <x:v>120</x:v>
      </x:c>
      <x:c r="AB43" s="37" t="n">
        <x:f>IFERROR(INDEX(Effort_Model!$J$6:$J$33,MATCH(K43&amp;"|"&amp;L43,Effort_Model!$B$6:$B$33,0)),"")</x:f>
        <x:v>42.4</x:v>
      </x:c>
      <x:c r="AC43" s="38">
        <x:v>245.6</x:v>
      </x:c>
      <x:c r="AD43" s="37">
        <x:f t="shared" si="0"/>
        <x:v>322.60000000000002</x:v>
      </x:c>
      <x:c r="AE43" s="37" t="n">
        <x:f>IFERROR(ROUND(IFERROR(INDEX(Scoring_Rules!$C$43:$C$44,MATCH(Q43,Scoring_Rules!$B$43:$B$44,0)),0)*Scoring_Rules!$C$6+IFERROR(INDEX(Scoring_Rules!$C$34:$C$40,MATCH(K43,Scoring_Rules!$B$34:$B$40,0)),0)*Scoring_Rules!$C$7+IFERROR(INDEX(Scoring_Rules!$C$16:$C$19,MATCH(P43,Scoring_Rules!$B$16:$B$19,0)),0)*Scoring_Rules!$C$8+IFERROR(INDEX(Scoring_Rules!$C$22:$C$25,MATCH(O43,Scoring_Rules!$B$22:$B$25,0)),0)*Scoring_Rules!$C$9+IFERROR(INDEX(Scoring_Rules!$C$47:$C$50,MATCH(X43,Scoring_Rules!$B$47:$B$50,0)),0)*Scoring_Rules!$C$10+IFERROR(INDEX(Scoring_Rules!$C$28:$C$31,MATCH(R43,Scoring_Rules!$B$28:$B$31,0)),0)*Scoring_Rules!$C$11,1),"")</x:f>
        <x:v>90.5</x:v>
      </x:c>
      <x:c r="AF43" s="35">
        <x:v>1</x:v>
      </x:c>
      <x:c r="AG43" s="33" t="s">
        <x:v>503</x:v>
      </x:c>
      <x:c r="AH43" s="36">
        <x:v>46351</x:v>
      </x:c>
      <x:c r="AI43" s="33" t="s">
        <x:v>124</x:v>
      </x:c>
      <x:c r="AJ43" s="34"/>
    </x:row>
    <x:row r="44" ht="34.5" customHeight="1">
      <x:c r="A44" s="31" t="s">
        <x:v>504</x:v>
      </x:c>
      <x:c r="B44" s="31" t="s">
        <x:v>505</x:v>
      </x:c>
      <x:c r="C44" s="31" t="s">
        <x:v>484</x:v>
      </x:c>
      <x:c r="D44" s="32" t="s">
        <x:v>506</x:v>
      </x:c>
      <x:c r="E44" s="32" t="str">
        <x:v>Functional Migration Only</x:v>
      </x:c>
      <x:c r="F44" s="33" t="s">
        <x:v>118</x:v>
      </x:c>
      <x:c r="G44" s="34" t="s">
        <x:v>500</x:v>
      </x:c>
      <x:c r="H44" s="33" t="s">
        <x:v>87</x:v>
      </x:c>
      <x:c r="I44" s="33" t="s">
        <x:v>487</x:v>
      </x:c>
      <x:c r="J44" s="33" t="s">
        <x:v>82</x:v>
      </x:c>
      <x:c r="K44" s="33" t="s">
        <x:v>60</x:v>
      </x:c>
      <x:c r="L44" s="33" t="s">
        <x:v>73</x:v>
      </x:c>
      <x:c r="M44" s="35">
        <x:v>43</x:v>
      </x:c>
      <x:c r="N44" s="35">
        <x:v>3216816</x:v>
      </x:c>
      <x:c r="O44" s="33" t="s">
        <x:v>98</x:v>
      </x:c>
      <x:c r="P44" s="33" t="s">
        <x:v>73</x:v>
      </x:c>
      <x:c r="Q44" s="33" t="s">
        <x:v>118</x:v>
      </x:c>
      <x:c r="R44" s="33" t="s">
        <x:v>73</x:v>
      </x:c>
      <x:c r="S44" s="31" t="s">
        <x:v>507</x:v>
      </x:c>
      <x:c r="T44" s="31" t="s">
        <x:v>508</x:v>
      </x:c>
      <x:c r="U44" s="31" t="s">
        <x:v>276</x:v>
      </x:c>
      <x:c r="V44" s="33" t="s">
        <x:v>277</x:v>
      </x:c>
      <x:c r="W44" s="33" t="s">
        <x:v>509</x:v>
      </x:c>
      <x:c r="X44" s="33" t="s">
        <x:v>240</x:v>
      </x:c>
      <x:c r="Y44" s="36"/>
      <x:c r="Z44" s="36"/>
      <x:c r="AA44" s="33" t="s">
        <x:v>120</x:v>
      </x:c>
      <x:c r="AB44" s="37" t="n">
        <x:f>IFERROR(INDEX(Effort_Model!$J$6:$J$33,MATCH(K44&amp;"|"&amp;L44,Effort_Model!$B$6:$B$33,0)),"")</x:f>
        <x:v>42.4</x:v>
      </x:c>
      <x:c r="AC44" s="38">
        <x:v>391.8</x:v>
      </x:c>
      <x:c r="AD44" s="37">
        <x:f t="shared" si="0"/>
        <x:v>468.8</x:v>
      </x:c>
      <x:c r="AE44" s="37" t="n">
        <x:f>IFERROR(ROUND(IFERROR(INDEX(Scoring_Rules!$C$43:$C$44,MATCH(Q44,Scoring_Rules!$B$43:$B$44,0)),0)*Scoring_Rules!$C$6+IFERROR(INDEX(Scoring_Rules!$C$34:$C$40,MATCH(K44,Scoring_Rules!$B$34:$B$40,0)),0)*Scoring_Rules!$C$7+IFERROR(INDEX(Scoring_Rules!$C$16:$C$19,MATCH(P44,Scoring_Rules!$B$16:$B$19,0)),0)*Scoring_Rules!$C$8+IFERROR(INDEX(Scoring_Rules!$C$22:$C$25,MATCH(O44,Scoring_Rules!$B$22:$B$25,0)),0)*Scoring_Rules!$C$9+IFERROR(INDEX(Scoring_Rules!$C$47:$C$50,MATCH(X44,Scoring_Rules!$B$47:$B$50,0)),0)*Scoring_Rules!$C$10+IFERROR(INDEX(Scoring_Rules!$C$28:$C$31,MATCH(R44,Scoring_Rules!$B$28:$B$31,0)),0)*Scoring_Rules!$C$11,1),"")</x:f>
        <x:v>77</x:v>
      </x:c>
      <x:c r="AF44" s="35">
        <x:v>2</x:v>
      </x:c>
      <x:c r="AG44" s="33" t="s">
        <x:v>510</x:v>
      </x:c>
      <x:c r="AH44" s="36">
        <x:v>46352</x:v>
      </x:c>
      <x:c r="AI44" s="33" t="s">
        <x:v>127</x:v>
      </x:c>
      <x:c r="AJ44" s="34"/>
    </x:row>
    <x:row r="45" ht="23.25" customHeight="1">
      <x:c r="A45" s="31" t="s">
        <x:v>511</x:v>
      </x:c>
      <x:c r="B45" s="31" t="s">
        <x:v>512</x:v>
      </x:c>
      <x:c r="C45" s="31" t="s">
        <x:v>484</x:v>
      </x:c>
      <x:c r="D45" s="32" t="s">
        <x:v>513</x:v>
      </x:c>
      <x:c r="E45" s="32" t="str">
        <x:v>Functional Migration Only</x:v>
      </x:c>
      <x:c r="F45" s="33" t="s">
        <x:v>118</x:v>
      </x:c>
      <x:c r="G45" s="34" t="s">
        <x:v>486</x:v>
      </x:c>
      <x:c r="H45" s="33" t="s">
        <x:v>87</x:v>
      </x:c>
      <x:c r="I45" s="33" t="s">
        <x:v>487</x:v>
      </x:c>
      <x:c r="J45" s="33" t="s">
        <x:v>82</x:v>
      </x:c>
      <x:c r="K45" s="33" t="s">
        <x:v>60</x:v>
      </x:c>
      <x:c r="L45" s="33" t="s">
        <x:v>71</x:v>
      </x:c>
      <x:c r="M45" s="35">
        <x:v>45</x:v>
      </x:c>
      <x:c r="N45" s="35">
        <x:v>6730612</x:v>
      </x:c>
      <x:c r="O45" s="33" t="s">
        <x:v>73</x:v>
      </x:c>
      <x:c r="P45" s="33" t="s">
        <x:v>98</x:v>
      </x:c>
      <x:c r="Q45" s="33" t="s">
        <x:v>118</x:v>
      </x:c>
      <x:c r="R45" s="33" t="s">
        <x:v>73</x:v>
      </x:c>
      <x:c r="S45" s="31" t="s">
        <x:v>514</x:v>
      </x:c>
      <x:c r="T45" s="31" t="s">
        <x:v>515</x:v>
      </x:c>
      <x:c r="U45" s="31" t="s">
        <x:v>276</x:v>
      </x:c>
      <x:c r="V45" s="33" t="s">
        <x:v>277</x:v>
      </x:c>
      <x:c r="W45" s="33" t="s">
        <x:v>491</x:v>
      </x:c>
      <x:c r="X45" s="33" t="s">
        <x:v>240</x:v>
      </x:c>
      <x:c r="Y45" s="36"/>
      <x:c r="Z45" s="36"/>
      <x:c r="AA45" s="33" t="s">
        <x:v>120</x:v>
      </x:c>
      <x:c r="AB45" s="37" t="n">
        <x:f>IFERROR(INDEX(Effort_Model!$J$6:$J$33,MATCH(K45&amp;"|"&amp;L45,Effort_Model!$B$6:$B$33,0)),"")</x:f>
        <x:v>18.4</x:v>
      </x:c>
      <x:c r="AC45" s="38">
        <x:v>335.7</x:v>
      </x:c>
      <x:c r="AD45" s="37">
        <x:f t="shared" si="0"/>
        <x:v>378.09999999999997</x:v>
      </x:c>
      <x:c r="AE45" s="37" t="n">
        <x:f>IFERROR(ROUND(IFERROR(INDEX(Scoring_Rules!$C$43:$C$44,MATCH(Q45,Scoring_Rules!$B$43:$B$44,0)),0)*Scoring_Rules!$C$6+IFERROR(INDEX(Scoring_Rules!$C$34:$C$40,MATCH(K45,Scoring_Rules!$B$34:$B$40,0)),0)*Scoring_Rules!$C$7+IFERROR(INDEX(Scoring_Rules!$C$16:$C$19,MATCH(P45,Scoring_Rules!$B$16:$B$19,0)),0)*Scoring_Rules!$C$8+IFERROR(INDEX(Scoring_Rules!$C$22:$C$25,MATCH(O45,Scoring_Rules!$B$22:$B$25,0)),0)*Scoring_Rules!$C$9+IFERROR(INDEX(Scoring_Rules!$C$47:$C$50,MATCH(X45,Scoring_Rules!$B$47:$B$50,0)),0)*Scoring_Rules!$C$10+IFERROR(INDEX(Scoring_Rules!$C$28:$C$31,MATCH(R45,Scoring_Rules!$B$28:$B$31,0)),0)*Scoring_Rules!$C$11,1),"")</x:f>
        <x:v>78.5</x:v>
      </x:c>
      <x:c r="AF45" s="35">
        <x:v>1</x:v>
      </x:c>
      <x:c r="AG45" s="33" t="s">
        <x:v>490</x:v>
      </x:c>
      <x:c r="AH45" s="36">
        <x:v>46405</x:v>
      </x:c>
      <x:c r="AI45" s="33" t="s">
        <x:v>127</x:v>
      </x:c>
      <x:c r="AJ45" s="34" t="s">
        <x:v>336</x:v>
      </x:c>
    </x:row>
    <x:row r="46" ht="15" customHeight="1">
      <x:c r="A46" s="31" t="s">
        <x:v>516</x:v>
      </x:c>
      <x:c r="B46" s="31" t="s">
        <x:v>517</x:v>
      </x:c>
      <x:c r="C46" s="31" t="s">
        <x:v>484</x:v>
      </x:c>
      <x:c r="D46" s="32" t="s">
        <x:v>518</x:v>
      </x:c>
      <x:c r="E46" s="32" t="str">
        <x:v>Data Migration Only</x:v>
      </x:c>
      <x:c r="F46" s="33" t="s">
        <x:v>118</x:v>
      </x:c>
      <x:c r="G46" s="34" t="s">
        <x:v>519</x:v>
      </x:c>
      <x:c r="H46" s="33" t="s">
        <x:v>87</x:v>
      </x:c>
      <x:c r="I46" s="33" t="s">
        <x:v>487</x:v>
      </x:c>
      <x:c r="J46" s="33" t="s">
        <x:v>80</x:v>
      </x:c>
      <x:c r="K46" s="33" t="s">
        <x:v>62</x:v>
      </x:c>
      <x:c r="L46" s="33" t="s">
        <x:v>73</x:v>
      </x:c>
      <x:c r="M46" s="35">
        <x:v>71</x:v>
      </x:c>
      <x:c r="N46" s="35">
        <x:v>98964034</x:v>
      </x:c>
      <x:c r="O46" s="33" t="s">
        <x:v>73</x:v>
      </x:c>
      <x:c r="P46" s="33" t="s">
        <x:v>73</x:v>
      </x:c>
      <x:c r="Q46" s="33" t="s">
        <x:v>120</x:v>
      </x:c>
      <x:c r="R46" s="33" t="s">
        <x:v>98</x:v>
      </x:c>
      <x:c r="S46" s="31" t="s">
        <x:v>520</x:v>
      </x:c>
      <x:c r="T46" s="31" t="s">
        <x:v>521</x:v>
      </x:c>
      <x:c r="U46" s="31" t="s">
        <x:v>522</x:v>
      </x:c>
      <x:c r="V46" s="33" t="s">
        <x:v>379</x:v>
      </x:c>
      <x:c r="W46" s="33" t="s">
        <x:v>491</x:v>
      </x:c>
      <x:c r="X46" s="33" t="s">
        <x:v>240</x:v>
      </x:c>
      <x:c r="Y46" s="36"/>
      <x:c r="Z46" s="36">
        <x:v>47052</x:v>
      </x:c>
      <x:c r="AA46" s="33" t="s">
        <x:v>120</x:v>
      </x:c>
      <x:c r="AB46" s="37" t="n">
        <x:f>IFERROR(INDEX(Effort_Model!$J$6:$J$33,MATCH(K46&amp;"|"&amp;L46,Effort_Model!$B$6:$B$33,0)),"")</x:f>
        <x:v>74.4</x:v>
      </x:c>
      <x:c r="AC46" s="38">
        <x:v>481.6</x:v>
      </x:c>
      <x:c r="AD46" s="37">
        <x:f t="shared" si="0"/>
        <x:v>622.6</x:v>
      </x:c>
      <x:c r="AE46" s="37" t="n">
        <x:f>IFERROR(ROUND(IFERROR(INDEX(Scoring_Rules!$C$43:$C$44,MATCH(Q46,Scoring_Rules!$B$43:$B$44,0)),0)*Scoring_Rules!$C$6+IFERROR(INDEX(Scoring_Rules!$C$34:$C$40,MATCH(K46,Scoring_Rules!$B$34:$B$40,0)),0)*Scoring_Rules!$C$7+IFERROR(INDEX(Scoring_Rules!$C$16:$C$19,MATCH(P46,Scoring_Rules!$B$16:$B$19,0)),0)*Scoring_Rules!$C$8+IFERROR(INDEX(Scoring_Rules!$C$22:$C$25,MATCH(O46,Scoring_Rules!$B$22:$B$25,0)),0)*Scoring_Rules!$C$9+IFERROR(INDEX(Scoring_Rules!$C$47:$C$50,MATCH(X46,Scoring_Rules!$B$47:$B$50,0)),0)*Scoring_Rules!$C$10+IFERROR(INDEX(Scoring_Rules!$C$28:$C$31,MATCH(R46,Scoring_Rules!$B$28:$B$31,0)),0)*Scoring_Rules!$C$11,1),"")</x:f>
        <x:v>45</x:v>
      </x:c>
      <x:c r="AF46" s="35">
        <x:v>3</x:v>
      </x:c>
      <x:c r="AG46" s="33" t="s">
        <x:v>497</x:v>
      </x:c>
      <x:c r="AH46" s="36">
        <x:v>46349</x:v>
      </x:c>
      <x:c r="AI46" s="33" t="s">
        <x:v>128</x:v>
      </x:c>
      <x:c r="AJ46" s="34" t="s">
        <x:v>354</x:v>
      </x:c>
    </x:row>
    <x:row r="47" ht="15" customHeight="1">
      <x:c r="A47" s="31" t="s">
        <x:v>523</x:v>
      </x:c>
      <x:c r="B47" s="31" t="s">
        <x:v>524</x:v>
      </x:c>
      <x:c r="C47" s="31" t="s">
        <x:v>484</x:v>
      </x:c>
      <x:c r="D47" s="32" t="s">
        <x:v>525</x:v>
      </x:c>
      <x:c r="E47" s="32" t="str">
        <x:v>Data Migration Only</x:v>
      </x:c>
      <x:c r="F47" s="33" t="s">
        <x:v>118</x:v>
      </x:c>
      <x:c r="G47" s="34" t="s">
        <x:v>486</x:v>
      </x:c>
      <x:c r="H47" s="33" t="s">
        <x:v>87</x:v>
      </x:c>
      <x:c r="I47" s="33" t="s">
        <x:v>487</x:v>
      </x:c>
      <x:c r="J47" s="33" t="s">
        <x:v>80</x:v>
      </x:c>
      <x:c r="K47" s="33" t="s">
        <x:v>60</x:v>
      </x:c>
      <x:c r="L47" s="33" t="s">
        <x:v>71</x:v>
      </x:c>
      <x:c r="M47" s="35">
        <x:v>46</x:v>
      </x:c>
      <x:c r="N47" s="35">
        <x:v>6861414</x:v>
      </x:c>
      <x:c r="O47" s="33" t="s">
        <x:v>103</x:v>
      </x:c>
      <x:c r="P47" s="33" t="s">
        <x:v>98</x:v>
      </x:c>
      <x:c r="Q47" s="33" t="s">
        <x:v>118</x:v>
      </x:c>
      <x:c r="R47" s="33" t="s">
        <x:v>101</x:v>
      </x:c>
      <x:c r="S47" s="31" t="s">
        <x:v>526</x:v>
      </x:c>
      <x:c r="T47" s="31" t="s">
        <x:v>527</x:v>
      </x:c>
      <x:c r="U47" s="31" t="s">
        <x:v>471</x:v>
      </x:c>
      <x:c r="V47" s="33" t="s">
        <x:v>277</x:v>
      </x:c>
      <x:c r="W47" s="33"/>
      <x:c r="X47" s="33" t="s">
        <x:v>238</x:v>
      </x:c>
      <x:c r="Y47" s="36">
        <x:v>46696</x:v>
      </x:c>
      <x:c r="Z47" s="36"/>
      <x:c r="AA47" s="33" t="s">
        <x:v>120</x:v>
      </x:c>
      <x:c r="AB47" s="37" t="n">
        <x:f>IFERROR(INDEX(Effort_Model!$J$6:$J$33,MATCH(K47&amp;"|"&amp;L47,Effort_Model!$B$6:$B$33,0)),"")</x:f>
        <x:v>18.4</x:v>
      </x:c>
      <x:c r="AC47" s="38">
        <x:v>182.6</x:v>
      </x:c>
      <x:c r="AD47" s="37">
        <x:f t="shared" si="0"/>
        <x:v>225</x:v>
      </x:c>
      <x:c r="AE47" s="37" t="n">
        <x:f>IFERROR(ROUND(IFERROR(INDEX(Scoring_Rules!$C$43:$C$44,MATCH(Q47,Scoring_Rules!$B$43:$B$44,0)),0)*Scoring_Rules!$C$6+IFERROR(INDEX(Scoring_Rules!$C$34:$C$40,MATCH(K47,Scoring_Rules!$B$34:$B$40,0)),0)*Scoring_Rules!$C$7+IFERROR(INDEX(Scoring_Rules!$C$16:$C$19,MATCH(P47,Scoring_Rules!$B$16:$B$19,0)),0)*Scoring_Rules!$C$8+IFERROR(INDEX(Scoring_Rules!$C$22:$C$25,MATCH(O47,Scoring_Rules!$B$22:$B$25,0)),0)*Scoring_Rules!$C$9+IFERROR(INDEX(Scoring_Rules!$C$47:$C$50,MATCH(X47,Scoring_Rules!$B$47:$B$50,0)),0)*Scoring_Rules!$C$10+IFERROR(INDEX(Scoring_Rules!$C$28:$C$31,MATCH(R47,Scoring_Rules!$B$28:$B$31,0)),0)*Scoring_Rules!$C$11,1),"")</x:f>
        <x:v>76.8</x:v>
      </x:c>
      <x:c r="AF47" s="35">
        <x:v>1</x:v>
      </x:c>
      <x:c r="AG47" s="33" t="s">
        <x:v>503</x:v>
      </x:c>
      <x:c r="AH47" s="36">
        <x:v>46383</x:v>
      </x:c>
      <x:c r="AI47" s="33" t="s">
        <x:v>127</x:v>
      </x:c>
      <x:c r="AJ47" s="34" t="s">
        <x:v>312</x:v>
      </x:c>
    </x:row>
    <x:row r="48" ht="15" customHeight="1">
      <x:c r="A48" s="31" t="s">
        <x:v>528</x:v>
      </x:c>
      <x:c r="B48" s="31" t="s">
        <x:v>529</x:v>
      </x:c>
      <x:c r="C48" s="31" t="s">
        <x:v>484</x:v>
      </x:c>
      <x:c r="D48" s="32" t="s">
        <x:v>493</x:v>
      </x:c>
      <x:c r="E48" s="32" t="str">
        <x:v>Functional Migration Only</x:v>
      </x:c>
      <x:c r="F48" s="33" t="s">
        <x:v>118</x:v>
      </x:c>
      <x:c r="G48" s="34" t="s">
        <x:v>486</x:v>
      </x:c>
      <x:c r="H48" s="33" t="s">
        <x:v>87</x:v>
      </x:c>
      <x:c r="I48" s="33" t="s">
        <x:v>487</x:v>
      </x:c>
      <x:c r="J48" s="33" t="s">
        <x:v>82</x:v>
      </x:c>
      <x:c r="K48" s="33" t="s">
        <x:v>62</x:v>
      </x:c>
      <x:c r="L48" s="33" t="s">
        <x:v>75</x:v>
      </x:c>
      <x:c r="M48" s="35">
        <x:v>62</x:v>
      </x:c>
      <x:c r="N48" s="35">
        <x:v>145413959</x:v>
      </x:c>
      <x:c r="O48" s="33" t="s">
        <x:v>73</x:v>
      </x:c>
      <x:c r="P48" s="33" t="s">
        <x:v>101</x:v>
      </x:c>
      <x:c r="Q48" s="33" t="s">
        <x:v>120</x:v>
      </x:c>
      <x:c r="R48" s="33" t="s">
        <x:v>73</x:v>
      </x:c>
      <x:c r="S48" s="31" t="s">
        <x:v>530</x:v>
      </x:c>
      <x:c r="T48" s="31" t="s">
        <x:v>531</x:v>
      </x:c>
      <x:c r="U48" s="31" t="s">
        <x:v>276</x:v>
      </x:c>
      <x:c r="V48" s="33" t="s">
        <x:v>303</x:v>
      </x:c>
      <x:c r="W48" s="33"/>
      <x:c r="X48" s="33" t="s">
        <x:v>238</x:v>
      </x:c>
      <x:c r="Y48" s="36"/>
      <x:c r="Z48" s="36">
        <x:v>46668</x:v>
      </x:c>
      <x:c r="AA48" s="33" t="s">
        <x:v>120</x:v>
      </x:c>
      <x:c r="AB48" s="37" t="n">
        <x:f>IFERROR(INDEX(Effort_Model!$J$6:$J$33,MATCH(K48&amp;"|"&amp;L48,Effort_Model!$B$6:$B$33,0)),"")</x:f>
        <x:v>74.4</x:v>
      </x:c>
      <x:c r="AC48" s="38">
        <x:v>1040.4000000000001</x:v>
      </x:c>
      <x:c r="AD48" s="37">
        <x:f t="shared" si="0"/>
        <x:v>1249.7333000000001</x:v>
      </x:c>
      <x:c r="AE48" s="37" t="n">
        <x:f>IFERROR(ROUND(IFERROR(INDEX(Scoring_Rules!$C$43:$C$44,MATCH(Q48,Scoring_Rules!$B$43:$B$44,0)),0)*Scoring_Rules!$C$6+IFERROR(INDEX(Scoring_Rules!$C$34:$C$40,MATCH(K48,Scoring_Rules!$B$34:$B$40,0)),0)*Scoring_Rules!$C$7+IFERROR(INDEX(Scoring_Rules!$C$16:$C$19,MATCH(P48,Scoring_Rules!$B$16:$B$19,0)),0)*Scoring_Rules!$C$8+IFERROR(INDEX(Scoring_Rules!$C$22:$C$25,MATCH(O48,Scoring_Rules!$B$22:$B$25,0)),0)*Scoring_Rules!$C$9+IFERROR(INDEX(Scoring_Rules!$C$47:$C$50,MATCH(X48,Scoring_Rules!$B$47:$B$50,0)),0)*Scoring_Rules!$C$10+IFERROR(INDEX(Scoring_Rules!$C$28:$C$31,MATCH(R48,Scoring_Rules!$B$28:$B$31,0)),0)*Scoring_Rules!$C$11,1),"")</x:f>
        <x:v>47</x:v>
      </x:c>
      <x:c r="AF48" s="35">
        <x:v>6</x:v>
      </x:c>
      <x:c r="AG48" s="33" t="s">
        <x:v>510</x:v>
      </x:c>
      <x:c r="AH48" s="36">
        <x:v>46312</x:v>
      </x:c>
      <x:c r="AI48" s="33" t="s">
        <x:v>127</x:v>
      </x:c>
      <x:c r="AJ48" s="34" t="s">
        <x:v>354</x:v>
      </x:c>
    </x:row>
    <x:row r="49" ht="34.5" customHeight="1">
      <x:c r="A49" s="31" t="s">
        <x:v>532</x:v>
      </x:c>
      <x:c r="B49" s="31" t="s">
        <x:v>533</x:v>
      </x:c>
      <x:c r="C49" s="31" t="s">
        <x:v>484</x:v>
      </x:c>
      <x:c r="D49" s="32" t="s">
        <x:v>534</x:v>
      </x:c>
      <x:c r="E49" s="32" t="str">
        <x:v>Data Migration Only</x:v>
      </x:c>
      <x:c r="F49" s="33" t="s">
        <x:v>118</x:v>
      </x:c>
      <x:c r="G49" s="34" t="s">
        <x:v>486</x:v>
      </x:c>
      <x:c r="H49" s="33" t="s">
        <x:v>87</x:v>
      </x:c>
      <x:c r="I49" s="33" t="s">
        <x:v>487</x:v>
      </x:c>
      <x:c r="J49" s="33" t="s">
        <x:v>80</x:v>
      </x:c>
      <x:c r="K49" s="33" t="s">
        <x:v>64</x:v>
      </x:c>
      <x:c r="L49" s="33" t="s">
        <x:v>71</x:v>
      </x:c>
      <x:c r="M49" s="35">
        <x:v>112</x:v>
      </x:c>
      <x:c r="N49" s="35">
        <x:v>858463342</x:v>
      </x:c>
      <x:c r="O49" s="33" t="s">
        <x:v>73</x:v>
      </x:c>
      <x:c r="P49" s="33" t="s">
        <x:v>73</x:v>
      </x:c>
      <x:c r="Q49" s="33" t="s">
        <x:v>120</x:v>
      </x:c>
      <x:c r="R49" s="33" t="s">
        <x:v>73</x:v>
      </x:c>
      <x:c r="S49" s="31" t="s">
        <x:v>535</x:v>
      </x:c>
      <x:c r="T49" s="31" t="s">
        <x:v>536</x:v>
      </x:c>
      <x:c r="U49" s="31" t="s">
        <x:v>276</x:v>
      </x:c>
      <x:c r="V49" s="33" t="s">
        <x:v>277</x:v>
      </x:c>
      <x:c r="W49" s="33"/>
      <x:c r="X49" s="33" t="s">
        <x:v>238</x:v>
      </x:c>
      <x:c r="Y49" s="36"/>
      <x:c r="Z49" s="36"/>
      <x:c r="AA49" s="33" t="s">
        <x:v>120</x:v>
      </x:c>
      <x:c r="AB49" s="37" t="n">
        <x:f>IFERROR(INDEX(Effort_Model!$J$6:$J$33,MATCH(K49&amp;"|"&amp;L49,Effort_Model!$B$6:$B$33,0)),"")</x:f>
        <x:v>18.4</x:v>
      </x:c>
      <x:c r="AC49" s="38">
        <x:v>571.20000000000005</x:v>
      </x:c>
      <x:c r="AD49" s="37">
        <x:f t="shared" si="0"/>
        <x:v>677.6</x:v>
      </x:c>
      <x:c r="AE49" s="37" t="n">
        <x:f>IFERROR(ROUND(IFERROR(INDEX(Scoring_Rules!$C$43:$C$44,MATCH(Q49,Scoring_Rules!$B$43:$B$44,0)),0)*Scoring_Rules!$C$6+IFERROR(INDEX(Scoring_Rules!$C$34:$C$40,MATCH(K49,Scoring_Rules!$B$34:$B$40,0)),0)*Scoring_Rules!$C$7+IFERROR(INDEX(Scoring_Rules!$C$16:$C$19,MATCH(P49,Scoring_Rules!$B$16:$B$19,0)),0)*Scoring_Rules!$C$8+IFERROR(INDEX(Scoring_Rules!$C$22:$C$25,MATCH(O49,Scoring_Rules!$B$22:$B$25,0)),0)*Scoring_Rules!$C$9+IFERROR(INDEX(Scoring_Rules!$C$47:$C$50,MATCH(X49,Scoring_Rules!$B$47:$B$50,0)),0)*Scoring_Rules!$C$10+IFERROR(INDEX(Scoring_Rules!$C$28:$C$31,MATCH(R49,Scoring_Rules!$B$28:$B$31,0)),0)*Scoring_Rules!$C$11,1),"")</x:f>
        <x:v>50</x:v>
      </x:c>
      <x:c r="AF49" s="35">
        <x:v>3</x:v>
      </x:c>
      <x:c r="AG49" s="33" t="s">
        <x:v>490</x:v>
      </x:c>
      <x:c r="AH49" s="36">
        <x:v>46381</x:v>
      </x:c>
      <x:c r="AI49" s="33" t="s">
        <x:v>127</x:v>
      </x:c>
      <x:c r="AJ49" s="34" t="s">
        <x:v>312</x:v>
      </x:c>
    </x:row>
    <x:row r="50" ht="15" customHeight="1">
      <x:c r="A50" s="31" t="s">
        <x:v>537</x:v>
      </x:c>
      <x:c r="B50" s="31" t="s">
        <x:v>538</x:v>
      </x:c>
      <x:c r="C50" s="31" t="s">
        <x:v>539</x:v>
      </x:c>
      <x:c r="D50" s="32" t="s">
        <x:v>540</x:v>
      </x:c>
      <x:c r="E50" s="32" t="str">
        <x:v>Data Migration Only</x:v>
      </x:c>
      <x:c r="F50" s="33" t="s">
        <x:v>118</x:v>
      </x:c>
      <x:c r="G50" s="34" t="s">
        <x:v>541</x:v>
      </x:c>
      <x:c r="H50" s="33" t="s">
        <x:v>87</x:v>
      </x:c>
      <x:c r="I50" s="33" t="s">
        <x:v>542</x:v>
      </x:c>
      <x:c r="J50" s="33" t="s">
        <x:v>80</x:v>
      </x:c>
      <x:c r="K50" s="33" t="s">
        <x:v>64</x:v>
      </x:c>
      <x:c r="L50" s="33" t="s">
        <x:v>77</x:v>
      </x:c>
      <x:c r="M50" s="35">
        <x:v>134</x:v>
      </x:c>
      <x:c r="N50" s="35">
        <x:v>1401209423</x:v>
      </x:c>
      <x:c r="O50" s="33" t="s">
        <x:v>101</x:v>
      </x:c>
      <x:c r="P50" s="33" t="s">
        <x:v>101</x:v>
      </x:c>
      <x:c r="Q50" s="33" t="s">
        <x:v>120</x:v>
      </x:c>
      <x:c r="R50" s="33" t="s">
        <x:v>73</x:v>
      </x:c>
      <x:c r="S50" s="31" t="s">
        <x:v>543</x:v>
      </x:c>
      <x:c r="T50" s="31" t="s">
        <x:v>544</x:v>
      </x:c>
      <x:c r="U50" s="31" t="s">
        <x:v>276</x:v>
      </x:c>
      <x:c r="V50" s="33" t="s">
        <x:v>329</x:v>
      </x:c>
      <x:c r="W50" s="33"/>
      <x:c r="X50" s="33" t="s">
        <x:v>238</x:v>
      </x:c>
      <x:c r="Y50" s="36"/>
      <x:c r="Z50" s="36"/>
      <x:c r="AA50" s="33" t="s">
        <x:v>120</x:v>
      </x:c>
      <x:c r="AB50" s="37" t="n">
        <x:f>IFERROR(INDEX(Effort_Model!$J$6:$J$33,MATCH(K50&amp;"|"&amp;L50,Effort_Model!$B$6:$B$33,0)),"")</x:f>
        <x:v>106.4</x:v>
      </x:c>
      <x:c r="AC50" s="38">
        <x:v>1195</x:v>
      </x:c>
      <x:c r="AD50" s="37">
        <x:f t="shared" si="0"/>
        <x:v>1596.3333</x:v>
      </x:c>
      <x:c r="AE50" s="37" t="n">
        <x:f>IFERROR(ROUND(IFERROR(INDEX(Scoring_Rules!$C$43:$C$44,MATCH(Q50,Scoring_Rules!$B$43:$B$44,0)),0)*Scoring_Rules!$C$6+IFERROR(INDEX(Scoring_Rules!$C$34:$C$40,MATCH(K50,Scoring_Rules!$B$34:$B$40,0)),0)*Scoring_Rules!$C$7+IFERROR(INDEX(Scoring_Rules!$C$16:$C$19,MATCH(P50,Scoring_Rules!$B$16:$B$19,0)),0)*Scoring_Rules!$C$8+IFERROR(INDEX(Scoring_Rules!$C$22:$C$25,MATCH(O50,Scoring_Rules!$B$22:$B$25,0)),0)*Scoring_Rules!$C$9+IFERROR(INDEX(Scoring_Rules!$C$47:$C$50,MATCH(X50,Scoring_Rules!$B$47:$B$50,0)),0)*Scoring_Rules!$C$10+IFERROR(INDEX(Scoring_Rules!$C$28:$C$31,MATCH(R50,Scoring_Rules!$B$28:$B$31,0)),0)*Scoring_Rules!$C$11,1),"")</x:f>
        <x:v>37.8</x:v>
      </x:c>
      <x:c r="AF50" s="35">
        <x:v>8</x:v>
      </x:c>
      <x:c r="AG50" s="33" t="s">
        <x:v>545</x:v>
      </x:c>
      <x:c r="AH50" s="36">
        <x:v>46361</x:v>
      </x:c>
      <x:c r="AI50" s="33" t="s">
        <x:v>127</x:v>
      </x:c>
      <x:c r="AJ50" s="34" t="s">
        <x:v>445</x:v>
      </x:c>
    </x:row>
    <x:row r="51" ht="45.75" customHeight="1">
      <x:c r="A51" s="31" t="s">
        <x:v>546</x:v>
      </x:c>
      <x:c r="B51" s="31" t="s">
        <x:v>547</x:v>
      </x:c>
      <x:c r="C51" s="31" t="s">
        <x:v>539</x:v>
      </x:c>
      <x:c r="D51" s="32" t="s">
        <x:v>548</x:v>
      </x:c>
      <x:c r="E51" s="32" t="str">
        <x:v>Data Migration Only</x:v>
      </x:c>
      <x:c r="F51" s="33" t="s">
        <x:v>118</x:v>
      </x:c>
      <x:c r="G51" s="34" t="s">
        <x:v>549</x:v>
      </x:c>
      <x:c r="H51" s="33" t="s">
        <x:v>89</x:v>
      </x:c>
      <x:c r="I51" s="33" t="s">
        <x:v>542</x:v>
      </x:c>
      <x:c r="J51" s="33" t="s">
        <x:v>80</x:v>
      </x:c>
      <x:c r="K51" s="33" t="s">
        <x:v>62</x:v>
      </x:c>
      <x:c r="L51" s="33" t="s">
        <x:v>75</x:v>
      </x:c>
      <x:c r="M51" s="35">
        <x:v>72</x:v>
      </x:c>
      <x:c r="N51" s="35">
        <x:v>79523075</x:v>
      </x:c>
      <x:c r="O51" s="33" t="s">
        <x:v>101</x:v>
      </x:c>
      <x:c r="P51" s="33" t="s">
        <x:v>73</x:v>
      </x:c>
      <x:c r="Q51" s="33" t="s">
        <x:v>120</x:v>
      </x:c>
      <x:c r="R51" s="33" t="s">
        <x:v>101</x:v>
      </x:c>
      <x:c r="S51" s="31" t="s">
        <x:v>526</x:v>
      </x:c>
      <x:c r="T51" s="31" t="s">
        <x:v>550</x:v>
      </x:c>
      <x:c r="U51" s="31" t="s">
        <x:v>276</x:v>
      </x:c>
      <x:c r="V51" s="33" t="s">
        <x:v>323</x:v>
      </x:c>
      <x:c r="W51" s="33"/>
      <x:c r="X51" s="33" t="s">
        <x:v>238</x:v>
      </x:c>
      <x:c r="Y51" s="36"/>
      <x:c r="Z51" s="36"/>
      <x:c r="AA51" s="33" t="s">
        <x:v>120</x:v>
      </x:c>
      <x:c r="AB51" s="37" t="n">
        <x:f>IFERROR(INDEX(Effort_Model!$J$6:$J$33,MATCH(K51&amp;"|"&amp;L51,Effort_Model!$B$6:$B$33,0)),"")</x:f>
        <x:v>74.4</x:v>
      </x:c>
      <x:c r="AC51" s="38">
        <x:v>671.4</x:v>
      </x:c>
      <x:c r="AD51" s="37">
        <x:f t="shared" si="0"/>
        <x:v>880.73329999999999</x:v>
      </x:c>
      <x:c r="AE51" s="37" t="n">
        <x:f>IFERROR(ROUND(IFERROR(INDEX(Scoring_Rules!$C$43:$C$44,MATCH(Q51,Scoring_Rules!$B$43:$B$44,0)),0)*Scoring_Rules!$C$6+IFERROR(INDEX(Scoring_Rules!$C$34:$C$40,MATCH(K51,Scoring_Rules!$B$34:$B$40,0)),0)*Scoring_Rules!$C$7+IFERROR(INDEX(Scoring_Rules!$C$16:$C$19,MATCH(P51,Scoring_Rules!$B$16:$B$19,0)),0)*Scoring_Rules!$C$8+IFERROR(INDEX(Scoring_Rules!$C$22:$C$25,MATCH(O51,Scoring_Rules!$B$22:$B$25,0)),0)*Scoring_Rules!$C$9+IFERROR(INDEX(Scoring_Rules!$C$47:$C$50,MATCH(X51,Scoring_Rules!$B$47:$B$50,0)),0)*Scoring_Rules!$C$10+IFERROR(INDEX(Scoring_Rules!$C$28:$C$31,MATCH(R51,Scoring_Rules!$B$28:$B$31,0)),0)*Scoring_Rules!$C$11,1),"")</x:f>
        <x:v>47</x:v>
      </x:c>
      <x:c r="AF51" s="35"/>
      <x:c r="AG51" s="33" t="s">
        <x:v>551</x:v>
      </x:c>
      <x:c r="AH51" s="36">
        <x:v>46402</x:v>
      </x:c>
      <x:c r="AI51" s="33" t="s">
        <x:v>127</x:v>
      </x:c>
      <x:c r="AJ51" s="34" t="s">
        <x:v>395</x:v>
      </x:c>
    </x:row>
    <x:row r="52" ht="68.25" customHeight="1">
      <x:c r="A52" s="31" t="s">
        <x:v>552</x:v>
      </x:c>
      <x:c r="B52" s="31" t="s">
        <x:v>553</x:v>
      </x:c>
      <x:c r="C52" s="31" t="s">
        <x:v>539</x:v>
      </x:c>
      <x:c r="D52" s="32" t="s">
        <x:v>554</x:v>
      </x:c>
      <x:c r="E52" s="32" t="str">
        <x:v>Functional Migration Only</x:v>
      </x:c>
      <x:c r="F52" s="33" t="s">
        <x:v>118</x:v>
      </x:c>
      <x:c r="G52" s="34" t="s">
        <x:v>555</x:v>
      </x:c>
      <x:c r="H52" s="33" t="s">
        <x:v>87</x:v>
      </x:c>
      <x:c r="I52" s="33" t="s">
        <x:v>542</x:v>
      </x:c>
      <x:c r="J52" s="33" t="s">
        <x:v>82</x:v>
      </x:c>
      <x:c r="K52" s="33" t="s">
        <x:v>60</x:v>
      </x:c>
      <x:c r="L52" s="33" t="s">
        <x:v>73</x:v>
      </x:c>
      <x:c r="M52" s="35">
        <x:v>38</x:v>
      </x:c>
      <x:c r="N52" s="35">
        <x:v>5711057</x:v>
      </x:c>
      <x:c r="O52" s="33" t="s">
        <x:v>103</x:v>
      </x:c>
      <x:c r="P52" s="33" t="s">
        <x:v>73</x:v>
      </x:c>
      <x:c r="Q52" s="33" t="s">
        <x:v>120</x:v>
      </x:c>
      <x:c r="R52" s="33" t="s">
        <x:v>101</x:v>
      </x:c>
      <x:c r="S52" s="31" t="s">
        <x:v>556</x:v>
      </x:c>
      <x:c r="T52" s="31" t="s">
        <x:v>557</x:v>
      </x:c>
      <x:c r="U52" s="31" t="s">
        <x:v>276</x:v>
      </x:c>
      <x:c r="V52" s="33" t="s">
        <x:v>303</x:v>
      </x:c>
      <x:c r="W52" s="33"/>
      <x:c r="X52" s="33" t="s">
        <x:v>238</x:v>
      </x:c>
      <x:c r="Y52" s="36"/>
      <x:c r="Z52" s="36">
        <x:v>46870</x:v>
      </x:c>
      <x:c r="AA52" s="33" t="s">
        <x:v>120</x:v>
      </x:c>
      <x:c r="AB52" s="37" t="n">
        <x:f>IFERROR(INDEX(Effort_Model!$J$6:$J$33,MATCH(K52&amp;"|"&amp;L52,Effort_Model!$B$6:$B$33,0)),"")</x:f>
        <x:v>42.4</x:v>
      </x:c>
      <x:c r="AC52" s="38">
        <x:v>393.3</x:v>
      </x:c>
      <x:c r="AD52" s="37">
        <x:f t="shared" si="0"/>
        <x:v>470.3</x:v>
      </x:c>
      <x:c r="AE52" s="37" t="n">
        <x:f>IFERROR(ROUND(IFERROR(INDEX(Scoring_Rules!$C$43:$C$44,MATCH(Q52,Scoring_Rules!$B$43:$B$44,0)),0)*Scoring_Rules!$C$6+IFERROR(INDEX(Scoring_Rules!$C$34:$C$40,MATCH(K52,Scoring_Rules!$B$34:$B$40,0)),0)*Scoring_Rules!$C$7+IFERROR(INDEX(Scoring_Rules!$C$16:$C$19,MATCH(P52,Scoring_Rules!$B$16:$B$19,0)),0)*Scoring_Rules!$C$8+IFERROR(INDEX(Scoring_Rules!$C$22:$C$25,MATCH(O52,Scoring_Rules!$B$22:$B$25,0)),0)*Scoring_Rules!$C$9+IFERROR(INDEX(Scoring_Rules!$C$47:$C$50,MATCH(X52,Scoring_Rules!$B$47:$B$50,0)),0)*Scoring_Rules!$C$10+IFERROR(INDEX(Scoring_Rules!$C$28:$C$31,MATCH(R52,Scoring_Rules!$B$28:$B$31,0)),0)*Scoring_Rules!$C$11,1),"")</x:f>
        <x:v>45.8</x:v>
      </x:c>
      <x:c r="AF52" s="35">
        <x:v>4</x:v>
      </x:c>
      <x:c r="AG52" s="33" t="s">
        <x:v>558</x:v>
      </x:c>
      <x:c r="AH52" s="36">
        <x:v>46325</x:v>
      </x:c>
      <x:c r="AI52" s="33" t="s">
        <x:v>127</x:v>
      </x:c>
      <x:c r="AJ52" s="34" t="s">
        <x:v>342</x:v>
      </x:c>
    </x:row>
    <x:row r="53" ht="15" customHeight="1">
      <x:c r="A53" s="31" t="s">
        <x:v>559</x:v>
      </x:c>
      <x:c r="B53" s="31" t="s">
        <x:v>560</x:v>
      </x:c>
      <x:c r="C53" s="31" t="s">
        <x:v>539</x:v>
      </x:c>
      <x:c r="D53" s="32" t="s">
        <x:v>493</x:v>
      </x:c>
      <x:c r="E53" s="32" t="str">
        <x:v>Data Migration Only</x:v>
      </x:c>
      <x:c r="F53" s="33" t="s">
        <x:v>118</x:v>
      </x:c>
      <x:c r="G53" s="34" t="s">
        <x:v>561</x:v>
      </x:c>
      <x:c r="H53" s="33" t="s">
        <x:v>89</x:v>
      </x:c>
      <x:c r="I53" s="33" t="s">
        <x:v>542</x:v>
      </x:c>
      <x:c r="J53" s="33" t="s">
        <x:v>80</x:v>
      </x:c>
      <x:c r="K53" s="33" t="s">
        <x:v>62</x:v>
      </x:c>
      <x:c r="L53" s="33" t="s">
        <x:v>77</x:v>
      </x:c>
      <x:c r="M53" s="35">
        <x:v>58</x:v>
      </x:c>
      <x:c r="N53" s="35">
        <x:v>141404895</x:v>
      </x:c>
      <x:c r="O53" s="33" t="s">
        <x:v>103</x:v>
      </x:c>
      <x:c r="P53" s="33" t="s">
        <x:v>101</x:v>
      </x:c>
      <x:c r="Q53" s="33" t="s">
        <x:v>120</x:v>
      </x:c>
      <x:c r="R53" s="33" t="s">
        <x:v>115</x:v>
      </x:c>
      <x:c r="S53" s="31" t="s">
        <x:v>562</x:v>
      </x:c>
      <x:c r="T53" s="31" t="s">
        <x:v>563</x:v>
      </x:c>
      <x:c r="U53" s="31" t="s">
        <x:v>522</x:v>
      </x:c>
      <x:c r="V53" s="33" t="s">
        <x:v>451</x:v>
      </x:c>
      <x:c r="W53" s="33"/>
      <x:c r="X53" s="33" t="s">
        <x:v>238</x:v>
      </x:c>
      <x:c r="Y53" s="36"/>
      <x:c r="Z53" s="36"/>
      <x:c r="AA53" s="33" t="s">
        <x:v>120</x:v>
      </x:c>
      <x:c r="AB53" s="37" t="n">
        <x:f>IFERROR(INDEX(Effort_Model!$J$6:$J$33,MATCH(K53&amp;"|"&amp;L53,Effort_Model!$B$6:$B$33,0)),"")</x:f>
        <x:v>74.4</x:v>
      </x:c>
      <x:c r="AC53" s="38">
        <x:v>815.1</x:v>
      </x:c>
      <x:c r="AD53" s="37">
        <x:f t="shared" si="0"/>
        <x:v>1088.4333000000001</x:v>
      </x:c>
      <x:c r="AE53" s="37" t="n">
        <x:f>IFERROR(ROUND(IFERROR(INDEX(Scoring_Rules!$C$43:$C$44,MATCH(Q53,Scoring_Rules!$B$43:$B$44,0)),0)*Scoring_Rules!$C$6+IFERROR(INDEX(Scoring_Rules!$C$34:$C$40,MATCH(K53,Scoring_Rules!$B$34:$B$40,0)),0)*Scoring_Rules!$C$7+IFERROR(INDEX(Scoring_Rules!$C$16:$C$19,MATCH(P53,Scoring_Rules!$B$16:$B$19,0)),0)*Scoring_Rules!$C$8+IFERROR(INDEX(Scoring_Rules!$C$22:$C$25,MATCH(O53,Scoring_Rules!$B$22:$B$25,0)),0)*Scoring_Rules!$C$9+IFERROR(INDEX(Scoring_Rules!$C$47:$C$50,MATCH(X53,Scoring_Rules!$B$47:$B$50,0)),0)*Scoring_Rules!$C$10+IFERROR(INDEX(Scoring_Rules!$C$28:$C$31,MATCH(R53,Scoring_Rules!$B$28:$B$31,0)),0)*Scoring_Rules!$C$11,1),"")</x:f>
        <x:v>33</x:v>
      </x:c>
      <x:c r="AF53" s="35"/>
      <x:c r="AG53" s="33" t="s">
        <x:v>564</x:v>
      </x:c>
      <x:c r="AH53" s="36">
        <x:v>46350</x:v>
      </x:c>
      <x:c r="AI53" s="33" t="s">
        <x:v>124</x:v>
      </x:c>
      <x:c r="AJ53" s="34"/>
    </x:row>
    <x:row r="54" ht="15" customHeight="1">
      <x:c r="A54" s="31" t="s">
        <x:v>565</x:v>
      </x:c>
      <x:c r="B54" s="31" t="s">
        <x:v>566</x:v>
      </x:c>
      <x:c r="C54" s="31" t="s">
        <x:v>539</x:v>
      </x:c>
      <x:c r="D54" s="32" t="s">
        <x:v>567</x:v>
      </x:c>
      <x:c r="E54" s="32" t="str">
        <x:v>Functional Migration Only</x:v>
      </x:c>
      <x:c r="F54" s="33" t="s">
        <x:v>118</x:v>
      </x:c>
      <x:c r="G54" s="34" t="s">
        <x:v>555</x:v>
      </x:c>
      <x:c r="H54" s="33" t="s">
        <x:v>87</x:v>
      </x:c>
      <x:c r="I54" s="33" t="s">
        <x:v>542</x:v>
      </x:c>
      <x:c r="J54" s="33" t="s">
        <x:v>82</x:v>
      </x:c>
      <x:c r="K54" s="33" t="s">
        <x:v>58</x:v>
      </x:c>
      <x:c r="L54" s="33" t="s">
        <x:v>75</x:v>
      </x:c>
      <x:c r="M54" s="35">
        <x:v>18</x:v>
      </x:c>
      <x:c r="N54" s="35">
        <x:v>1036572</x:v>
      </x:c>
      <x:c r="O54" s="33" t="s">
        <x:v>101</x:v>
      </x:c>
      <x:c r="P54" s="33" t="s">
        <x:v>101</x:v>
      </x:c>
      <x:c r="Q54" s="33" t="s">
        <x:v>120</x:v>
      </x:c>
      <x:c r="R54" s="33" t="s">
        <x:v>101</x:v>
      </x:c>
      <x:c r="S54" s="31" t="s">
        <x:v>488</x:v>
      </x:c>
      <x:c r="T54" s="31" t="s">
        <x:v>489</x:v>
      </x:c>
      <x:c r="U54" s="31" t="s">
        <x:v>276</x:v>
      </x:c>
      <x:c r="V54" s="33" t="s">
        <x:v>365</x:v>
      </x:c>
      <x:c r="W54" s="33" t="s">
        <x:v>537</x:v>
      </x:c>
      <x:c r="X54" s="33" t="s">
        <x:v>240</x:v>
      </x:c>
      <x:c r="Y54" s="36"/>
      <x:c r="Z54" s="36"/>
      <x:c r="AA54" s="33" t="s">
        <x:v>120</x:v>
      </x:c>
      <x:c r="AB54" s="37" t="n">
        <x:f>IFERROR(INDEX(Effort_Model!$J$6:$J$33,MATCH(K54&amp;"|"&amp;L54,Effort_Model!$B$6:$B$33,0)),"")</x:f>
        <x:v>26.4</x:v>
      </x:c>
      <x:c r="AC54" s="38">
        <x:v>328</x:v>
      </x:c>
      <x:c r="AD54" s="37">
        <x:f t="shared" si="0"/>
        <x:v>393.33330000000001</x:v>
      </x:c>
      <x:c r="AE54" s="37" t="n">
        <x:f>IFERROR(ROUND(IFERROR(INDEX(Scoring_Rules!$C$43:$C$44,MATCH(Q54,Scoring_Rules!$B$43:$B$44,0)),0)*Scoring_Rules!$C$6+IFERROR(INDEX(Scoring_Rules!$C$34:$C$40,MATCH(K54,Scoring_Rules!$B$34:$B$40,0)),0)*Scoring_Rules!$C$7+IFERROR(INDEX(Scoring_Rules!$C$16:$C$19,MATCH(P54,Scoring_Rules!$B$16:$B$19,0)),0)*Scoring_Rules!$C$8+IFERROR(INDEX(Scoring_Rules!$C$22:$C$25,MATCH(O54,Scoring_Rules!$B$22:$B$25,0)),0)*Scoring_Rules!$C$9+IFERROR(INDEX(Scoring_Rules!$C$47:$C$50,MATCH(X54,Scoring_Rules!$B$47:$B$50,0)),0)*Scoring_Rules!$C$10+IFERROR(INDEX(Scoring_Rules!$C$28:$C$31,MATCH(R54,Scoring_Rules!$B$28:$B$31,0)),0)*Scoring_Rules!$C$11,1),"")</x:f>
        <x:v>36.5</x:v>
      </x:c>
      <x:c r="AF54" s="35">
        <x:v>6</x:v>
      </x:c>
      <x:c r="AG54" s="33" t="s">
        <x:v>545</x:v>
      </x:c>
      <x:c r="AH54" s="36">
        <x:v>46359</x:v>
      </x:c>
      <x:c r="AI54" s="33" t="s">
        <x:v>124</x:v>
      </x:c>
      <x:c r="AJ54" s="34" t="s">
        <x:v>336</x:v>
      </x:c>
    </x:row>
    <x:row r="55" ht="15" customHeight="1">
      <x:c r="A55" s="31" t="s">
        <x:v>568</x:v>
      </x:c>
      <x:c r="B55" s="31" t="s">
        <x:v>569</x:v>
      </x:c>
      <x:c r="C55" s="31" t="s">
        <x:v>539</x:v>
      </x:c>
      <x:c r="D55" s="32" t="s">
        <x:v>525</x:v>
      </x:c>
      <x:c r="E55" s="32" t="str">
        <x:v>Data Migration Only</x:v>
      </x:c>
      <x:c r="F55" s="33" t="s">
        <x:v>118</x:v>
      </x:c>
      <x:c r="G55" s="34" t="s">
        <x:v>541</x:v>
      </x:c>
      <x:c r="H55" s="33" t="s">
        <x:v>87</x:v>
      </x:c>
      <x:c r="I55" s="33" t="s">
        <x:v>542</x:v>
      </x:c>
      <x:c r="J55" s="33" t="s">
        <x:v>80</x:v>
      </x:c>
      <x:c r="K55" s="33" t="s">
        <x:v>62</x:v>
      </x:c>
      <x:c r="L55" s="33" t="s">
        <x:v>73</x:v>
      </x:c>
      <x:c r="M55" s="35">
        <x:v>51</x:v>
      </x:c>
      <x:c r="N55" s="35">
        <x:v>144626153</x:v>
      </x:c>
      <x:c r="O55" s="33" t="s">
        <x:v>98</x:v>
      </x:c>
      <x:c r="P55" s="33" t="s">
        <x:v>101</x:v>
      </x:c>
      <x:c r="Q55" s="33" t="s">
        <x:v>120</x:v>
      </x:c>
      <x:c r="R55" s="33" t="s">
        <x:v>98</x:v>
      </x:c>
      <x:c r="S55" s="31" t="s">
        <x:v>495</x:v>
      </x:c>
      <x:c r="T55" s="31" t="s">
        <x:v>496</x:v>
      </x:c>
      <x:c r="U55" s="31" t="s">
        <x:v>276</x:v>
      </x:c>
      <x:c r="V55" s="33" t="s">
        <x:v>379</x:v>
      </x:c>
      <x:c r="W55" s="33"/>
      <x:c r="X55" s="33" t="s">
        <x:v>238</x:v>
      </x:c>
      <x:c r="Y55" s="36"/>
      <x:c r="Z55" s="36"/>
      <x:c r="AA55" s="33" t="s">
        <x:v>120</x:v>
      </x:c>
      <x:c r="AB55" s="37" t="n">
        <x:f>IFERROR(INDEX(Effort_Model!$J$6:$J$33,MATCH(K55&amp;"|"&amp;L55,Effort_Model!$B$6:$B$33,0)),"")</x:f>
        <x:v>74.4</x:v>
      </x:c>
      <x:c r="AC55" s="38">
        <x:v>485.7</x:v>
      </x:c>
      <x:c r="AD55" s="37">
        <x:f t="shared" si="0"/>
        <x:v>626.70000000000005</x:v>
      </x:c>
      <x:c r="AE55" s="37" t="n">
        <x:f>IFERROR(ROUND(IFERROR(INDEX(Scoring_Rules!$C$43:$C$44,MATCH(Q55,Scoring_Rules!$B$43:$B$44,0)),0)*Scoring_Rules!$C$6+IFERROR(INDEX(Scoring_Rules!$C$34:$C$40,MATCH(K55,Scoring_Rules!$B$34:$B$40,0)),0)*Scoring_Rules!$C$7+IFERROR(INDEX(Scoring_Rules!$C$16:$C$19,MATCH(P55,Scoring_Rules!$B$16:$B$19,0)),0)*Scoring_Rules!$C$8+IFERROR(INDEX(Scoring_Rules!$C$22:$C$25,MATCH(O55,Scoring_Rules!$B$22:$B$25,0)),0)*Scoring_Rules!$C$9+IFERROR(INDEX(Scoring_Rules!$C$47:$C$50,MATCH(X55,Scoring_Rules!$B$47:$B$50,0)),0)*Scoring_Rules!$C$10+IFERROR(INDEX(Scoring_Rules!$C$28:$C$31,MATCH(R55,Scoring_Rules!$B$28:$B$31,0)),0)*Scoring_Rules!$C$11,1),"")</x:f>
        <x:v>53</x:v>
      </x:c>
      <x:c r="AF55" s="35">
        <x:v>4</x:v>
      </x:c>
      <x:c r="AG55" s="33" t="s">
        <x:v>551</x:v>
      </x:c>
      <x:c r="AH55" s="36">
        <x:v>46353</x:v>
      </x:c>
      <x:c r="AI55" s="33" t="s">
        <x:v>126</x:v>
      </x:c>
      <x:c r="AJ55" s="34" t="s">
        <x:v>383</x:v>
      </x:c>
    </x:row>
    <x:row r="56" ht="15" customHeight="1">
      <x:c r="A56" s="31" t="s">
        <x:v>570</x:v>
      </x:c>
      <x:c r="B56" s="31" t="s">
        <x:v>571</x:v>
      </x:c>
      <x:c r="C56" s="31" t="s">
        <x:v>539</x:v>
      </x:c>
      <x:c r="D56" s="32" t="s">
        <x:v>525</x:v>
      </x:c>
      <x:c r="E56" s="32" t="str">
        <x:v>Functional Migration Only</x:v>
      </x:c>
      <x:c r="F56" s="33" t="s">
        <x:v>118</x:v>
      </x:c>
      <x:c r="G56" s="34" t="s">
        <x:v>572</x:v>
      </x:c>
      <x:c r="H56" s="33" t="s">
        <x:v>87</x:v>
      </x:c>
      <x:c r="I56" s="33" t="s">
        <x:v>542</x:v>
      </x:c>
      <x:c r="J56" s="33" t="s">
        <x:v>82</x:v>
      </x:c>
      <x:c r="K56" s="33" t="s">
        <x:v>62</x:v>
      </x:c>
      <x:c r="L56" s="33" t="s">
        <x:v>77</x:v>
      </x:c>
      <x:c r="M56" s="35">
        <x:v>58</x:v>
      </x:c>
      <x:c r="N56" s="35">
        <x:v>53271628</x:v>
      </x:c>
      <x:c r="O56" s="33" t="s">
        <x:v>73</x:v>
      </x:c>
      <x:c r="P56" s="33" t="s">
        <x:v>109</x:v>
      </x:c>
      <x:c r="Q56" s="33" t="s">
        <x:v>120</x:v>
      </x:c>
      <x:c r="R56" s="33" t="s">
        <x:v>115</x:v>
      </x:c>
      <x:c r="S56" s="31" t="s">
        <x:v>501</x:v>
      </x:c>
      <x:c r="T56" s="31" t="s">
        <x:v>502</x:v>
      </x:c>
      <x:c r="U56" s="31" t="s">
        <x:v>276</x:v>
      </x:c>
      <x:c r="V56" s="33" t="s">
        <x:v>323</x:v>
      </x:c>
      <x:c r="W56" s="33"/>
      <x:c r="X56" s="33" t="s">
        <x:v>238</x:v>
      </x:c>
      <x:c r="Y56" s="36"/>
      <x:c r="Z56" s="36"/>
      <x:c r="AA56" s="33" t="s">
        <x:v>120</x:v>
      </x:c>
      <x:c r="AB56" s="37" t="n">
        <x:f>IFERROR(INDEX(Effort_Model!$J$6:$J$33,MATCH(K56&amp;"|"&amp;L56,Effort_Model!$B$6:$B$33,0)),"")</x:f>
        <x:v>74.4</x:v>
      </x:c>
      <x:c r="AC56" s="38">
        <x:v>1158.0999999999999</x:v>
      </x:c>
      <x:c r="AD56" s="37">
        <x:f t="shared" si="0"/>
        <x:v>1431.4332999999999</x:v>
      </x:c>
      <x:c r="AE56" s="37" t="n">
        <x:f>IFERROR(ROUND(IFERROR(INDEX(Scoring_Rules!$C$43:$C$44,MATCH(Q56,Scoring_Rules!$B$43:$B$44,0)),0)*Scoring_Rules!$C$6+IFERROR(INDEX(Scoring_Rules!$C$34:$C$40,MATCH(K56,Scoring_Rules!$B$34:$B$40,0)),0)*Scoring_Rules!$C$7+IFERROR(INDEX(Scoring_Rules!$C$16:$C$19,MATCH(P56,Scoring_Rules!$B$16:$B$19,0)),0)*Scoring_Rules!$C$8+IFERROR(INDEX(Scoring_Rules!$C$22:$C$25,MATCH(O56,Scoring_Rules!$B$22:$B$25,0)),0)*Scoring_Rules!$C$9+IFERROR(INDEX(Scoring_Rules!$C$47:$C$50,MATCH(X56,Scoring_Rules!$B$47:$B$50,0)),0)*Scoring_Rules!$C$10+IFERROR(INDEX(Scoring_Rules!$C$28:$C$31,MATCH(R56,Scoring_Rules!$B$28:$B$31,0)),0)*Scoring_Rules!$C$11,1),"")</x:f>
        <x:v>36.5</x:v>
      </x:c>
      <x:c r="AF56" s="35">
        <x:v>8</x:v>
      </x:c>
      <x:c r="AG56" s="33" t="s">
        <x:v>558</x:v>
      </x:c>
      <x:c r="AH56" s="36">
        <x:v>46408</x:v>
      </x:c>
      <x:c r="AI56" s="33" t="s">
        <x:v>125</x:v>
      </x:c>
      <x:c r="AJ56" s="34"/>
    </x:row>
    <x:row r="57" ht="23.25" customHeight="1">
      <x:c r="A57" s="31" t="s">
        <x:v>573</x:v>
      </x:c>
      <x:c r="B57" s="31" t="s">
        <x:v>574</x:v>
      </x:c>
      <x:c r="C57" s="31" t="s">
        <x:v>539</x:v>
      </x:c>
      <x:c r="D57" s="32" t="s">
        <x:v>575</x:v>
      </x:c>
      <x:c r="E57" s="32" t="str">
        <x:v>Functional Migration Only</x:v>
      </x:c>
      <x:c r="F57" s="33" t="s">
        <x:v>118</x:v>
      </x:c>
      <x:c r="G57" s="34" t="s">
        <x:v>576</x:v>
      </x:c>
      <x:c r="H57" s="33" t="s">
        <x:v>87</x:v>
      </x:c>
      <x:c r="I57" s="33" t="s">
        <x:v>542</x:v>
      </x:c>
      <x:c r="J57" s="33" t="s">
        <x:v>82</x:v>
      </x:c>
      <x:c r="K57" s="33" t="s">
        <x:v>64</x:v>
      </x:c>
      <x:c r="L57" s="33" t="s">
        <x:v>75</x:v>
      </x:c>
      <x:c r="M57" s="35">
        <x:v>77</x:v>
      </x:c>
      <x:c r="N57" s="35">
        <x:v>550578510</x:v>
      </x:c>
      <x:c r="O57" s="33" t="s">
        <x:v>103</x:v>
      </x:c>
      <x:c r="P57" s="33" t="s">
        <x:v>73</x:v>
      </x:c>
      <x:c r="Q57" s="33" t="s">
        <x:v>120</x:v>
      </x:c>
      <x:c r="R57" s="33" t="s">
        <x:v>101</x:v>
      </x:c>
      <x:c r="S57" s="31" t="s">
        <x:v>577</x:v>
      </x:c>
      <x:c r="T57" s="31" t="s">
        <x:v>578</x:v>
      </x:c>
      <x:c r="U57" s="31" t="s">
        <x:v>522</x:v>
      </x:c>
      <x:c r="V57" s="33" t="s">
        <x:v>289</x:v>
      </x:c>
      <x:c r="W57" s="33"/>
      <x:c r="X57" s="33" t="s">
        <x:v>238</x:v>
      </x:c>
      <x:c r="Y57" s="36"/>
      <x:c r="Z57" s="36"/>
      <x:c r="AA57" s="33" t="s">
        <x:v>120</x:v>
      </x:c>
      <x:c r="AB57" s="37" t="n">
        <x:f>IFERROR(INDEX(Effort_Model!$J$6:$J$33,MATCH(K57&amp;"|"&amp;L57,Effort_Model!$B$6:$B$33,0)),"")</x:f>
        <x:v>106.4</x:v>
      </x:c>
      <x:c r="AC57" s="38">
        <x:v>1724.5</x:v>
      </x:c>
      <x:c r="AD57" s="37">
        <x:f t="shared" si="0"/>
        <x:v>2029.8333</x:v>
      </x:c>
      <x:c r="AE57" s="37" t="n">
        <x:f>IFERROR(ROUND(IFERROR(INDEX(Scoring_Rules!$C$43:$C$44,MATCH(Q57,Scoring_Rules!$B$43:$B$44,0)),0)*Scoring_Rules!$C$6+IFERROR(INDEX(Scoring_Rules!$C$34:$C$40,MATCH(K57,Scoring_Rules!$B$34:$B$40,0)),0)*Scoring_Rules!$C$7+IFERROR(INDEX(Scoring_Rules!$C$16:$C$19,MATCH(P57,Scoring_Rules!$B$16:$B$19,0)),0)*Scoring_Rules!$C$8+IFERROR(INDEX(Scoring_Rules!$C$22:$C$25,MATCH(O57,Scoring_Rules!$B$22:$B$25,0)),0)*Scoring_Rules!$C$9+IFERROR(INDEX(Scoring_Rules!$C$47:$C$50,MATCH(X57,Scoring_Rules!$B$47:$B$50,0)),0)*Scoring_Rules!$C$10+IFERROR(INDEX(Scoring_Rules!$C$28:$C$31,MATCH(R57,Scoring_Rules!$B$28:$B$31,0)),0)*Scoring_Rules!$C$11,1),"")</x:f>
        <x:v>37.8</x:v>
      </x:c>
      <x:c r="AF57" s="35">
        <x:v>7</x:v>
      </x:c>
      <x:c r="AG57" s="33" t="s">
        <x:v>564</x:v>
      </x:c>
      <x:c r="AH57" s="36">
        <x:v>46335</x:v>
      </x:c>
      <x:c r="AI57" s="33" t="s">
        <x:v>125</x:v>
      </x:c>
      <x:c r="AJ57" s="34" t="s">
        <x:v>342</x:v>
      </x:c>
    </x:row>
    <x:row r="58" ht="15" customHeight="1">
      <x:c r="A58" s="31" t="s">
        <x:v>579</x:v>
      </x:c>
      <x:c r="B58" s="31" t="s">
        <x:v>580</x:v>
      </x:c>
      <x:c r="C58" s="31" t="s">
        <x:v>539</x:v>
      </x:c>
      <x:c r="D58" s="32" t="s">
        <x:v>493</x:v>
      </x:c>
      <x:c r="E58" s="32" t="str">
        <x:v>Data Migration Only</x:v>
      </x:c>
      <x:c r="F58" s="33" t="s">
        <x:v>118</x:v>
      </x:c>
      <x:c r="G58" s="34" t="s">
        <x:v>572</x:v>
      </x:c>
      <x:c r="H58" s="33" t="s">
        <x:v>87</x:v>
      </x:c>
      <x:c r="I58" s="33" t="s">
        <x:v>542</x:v>
      </x:c>
      <x:c r="J58" s="33" t="s">
        <x:v>80</x:v>
      </x:c>
      <x:c r="K58" s="33" t="s">
        <x:v>68</x:v>
      </x:c>
      <x:c r="L58" s="33" t="s">
        <x:v>75</x:v>
      </x:c>
      <x:c r="M58" s="35">
        <x:v>344</x:v>
      </x:c>
      <x:c r="N58" s="35">
        <x:v>66488952183</x:v>
      </x:c>
      <x:c r="O58" s="33" t="s">
        <x:v>101</x:v>
      </x:c>
      <x:c r="P58" s="33" t="s">
        <x:v>101</x:v>
      </x:c>
      <x:c r="Q58" s="33" t="s">
        <x:v>120</x:v>
      </x:c>
      <x:c r="R58" s="33" t="s">
        <x:v>73</x:v>
      </x:c>
      <x:c r="S58" s="31" t="s">
        <x:v>581</x:v>
      </x:c>
      <x:c r="T58" s="31" t="s">
        <x:v>582</x:v>
      </x:c>
      <x:c r="U58" s="31" t="s">
        <x:v>276</x:v>
      </x:c>
      <x:c r="V58" s="33" t="s">
        <x:v>277</x:v>
      </x:c>
      <x:c r="W58" s="33" t="s">
        <x:v>570</x:v>
      </x:c>
      <x:c r="X58" s="33" t="s">
        <x:v>240</x:v>
      </x:c>
      <x:c r="Y58" s="36"/>
      <x:c r="Z58" s="36"/>
      <x:c r="AA58" s="33" t="s">
        <x:v>120</x:v>
      </x:c>
      <x:c r="AB58" s="37" t="n">
        <x:f>IFERROR(INDEX(Effort_Model!$J$6:$J$33,MATCH(K58&amp;"|"&amp;L58,Effort_Model!$B$6:$B$33,0)),"")</x:f>
        <x:v>170.4</x:v>
      </x:c>
      <x:c r="AC58" s="38">
        <x:v>2166.9</x:v>
      </x:c>
      <x:c r="AD58" s="37">
        <x:f t="shared" si="0"/>
        <x:v>2664.2332999999999</x:v>
      </x:c>
      <x:c r="AE58" s="37" t="n">
        <x:f>IFERROR(ROUND(IFERROR(INDEX(Scoring_Rules!$C$43:$C$44,MATCH(Q58,Scoring_Rules!$B$43:$B$44,0)),0)*Scoring_Rules!$C$6+IFERROR(INDEX(Scoring_Rules!$C$34:$C$40,MATCH(K58,Scoring_Rules!$B$34:$B$40,0)),0)*Scoring_Rules!$C$7+IFERROR(INDEX(Scoring_Rules!$C$16:$C$19,MATCH(P58,Scoring_Rules!$B$16:$B$19,0)),0)*Scoring_Rules!$C$8+IFERROR(INDEX(Scoring_Rules!$C$22:$C$25,MATCH(O58,Scoring_Rules!$B$22:$B$25,0)),0)*Scoring_Rules!$C$9+IFERROR(INDEX(Scoring_Rules!$C$47:$C$50,MATCH(X58,Scoring_Rules!$B$47:$B$50,0)),0)*Scoring_Rules!$C$10+IFERROR(INDEX(Scoring_Rules!$C$28:$C$31,MATCH(R58,Scoring_Rules!$B$28:$B$31,0)),0)*Scoring_Rules!$C$11,1),"")</x:f>
        <x:v>20.3</x:v>
      </x:c>
      <x:c r="AF58" s="35">
        <x:v>8</x:v>
      </x:c>
      <x:c r="AG58" s="33" t="s">
        <x:v>545</x:v>
      </x:c>
      <x:c r="AH58" s="36">
        <x:v>46364</x:v>
      </x:c>
      <x:c r="AI58" s="33" t="s">
        <x:v>127</x:v>
      </x:c>
      <x:c r="AJ58" s="34" t="s">
        <x:v>312</x:v>
      </x:c>
    </x:row>
    <x:row r="59" ht="23.25" customHeight="1">
      <x:c r="A59" s="31" t="s">
        <x:v>583</x:v>
      </x:c>
      <x:c r="B59" s="31" t="s">
        <x:v>584</x:v>
      </x:c>
      <x:c r="C59" s="31" t="s">
        <x:v>539</x:v>
      </x:c>
      <x:c r="D59" s="32" t="s">
        <x:v>585</x:v>
      </x:c>
      <x:c r="E59" s="32" t="str">
        <x:v>Data Migration Only</x:v>
      </x:c>
      <x:c r="F59" s="33" t="s">
        <x:v>118</x:v>
      </x:c>
      <x:c r="G59" s="34" t="s">
        <x:v>561</x:v>
      </x:c>
      <x:c r="H59" s="33" t="s">
        <x:v>89</x:v>
      </x:c>
      <x:c r="I59" s="33" t="s">
        <x:v>542</x:v>
      </x:c>
      <x:c r="J59" s="33" t="s">
        <x:v>80</x:v>
      </x:c>
      <x:c r="K59" s="33" t="s">
        <x:v>64</x:v>
      </x:c>
      <x:c r="L59" s="33" t="s">
        <x:v>77</x:v>
      </x:c>
      <x:c r="M59" s="35">
        <x:v>113</x:v>
      </x:c>
      <x:c r="N59" s="35">
        <x:v>958042522</x:v>
      </x:c>
      <x:c r="O59" s="33" t="s">
        <x:v>73</x:v>
      </x:c>
      <x:c r="P59" s="33" t="s">
        <x:v>101</x:v>
      </x:c>
      <x:c r="Q59" s="33" t="s">
        <x:v>120</x:v>
      </x:c>
      <x:c r="R59" s="33" t="s">
        <x:v>98</x:v>
      </x:c>
      <x:c r="S59" s="31" t="s">
        <x:v>586</x:v>
      </x:c>
      <x:c r="T59" s="31" t="s">
        <x:v>587</x:v>
      </x:c>
      <x:c r="U59" s="31" t="s">
        <x:v>522</x:v>
      </x:c>
      <x:c r="V59" s="33" t="s">
        <x:v>323</x:v>
      </x:c>
      <x:c r="W59" s="33"/>
      <x:c r="X59" s="33" t="s">
        <x:v>238</x:v>
      </x:c>
      <x:c r="Y59" s="36">
        <x:v>46337</x:v>
      </x:c>
      <x:c r="Z59" s="36"/>
      <x:c r="AA59" s="33" t="s">
        <x:v>120</x:v>
      </x:c>
      <x:c r="AB59" s="37" t="n">
        <x:f>IFERROR(INDEX(Effort_Model!$J$6:$J$33,MATCH(K59&amp;"|"&amp;L59,Effort_Model!$B$6:$B$33,0)),"")</x:f>
        <x:v>106.4</x:v>
      </x:c>
      <x:c r="AC59" s="38">
        <x:v>1179.3</x:v>
      </x:c>
      <x:c r="AD59" s="37">
        <x:f t="shared" si="0"/>
        <x:v>1580.6333</x:v>
      </x:c>
      <x:c r="AE59" s="37" t="n">
        <x:f>IFERROR(ROUND(IFERROR(INDEX(Scoring_Rules!$C$43:$C$44,MATCH(Q59,Scoring_Rules!$B$43:$B$44,0)),0)*Scoring_Rules!$C$6+IFERROR(INDEX(Scoring_Rules!$C$34:$C$40,MATCH(K59,Scoring_Rules!$B$34:$B$40,0)),0)*Scoring_Rules!$C$7+IFERROR(INDEX(Scoring_Rules!$C$16:$C$19,MATCH(P59,Scoring_Rules!$B$16:$B$19,0)),0)*Scoring_Rules!$C$8+IFERROR(INDEX(Scoring_Rules!$C$22:$C$25,MATCH(O59,Scoring_Rules!$B$22:$B$25,0)),0)*Scoring_Rules!$C$9+IFERROR(INDEX(Scoring_Rules!$C$47:$C$50,MATCH(X59,Scoring_Rules!$B$47:$B$50,0)),0)*Scoring_Rules!$C$10+IFERROR(INDEX(Scoring_Rules!$C$28:$C$31,MATCH(R59,Scoring_Rules!$B$28:$B$31,0)),0)*Scoring_Rules!$C$11,1),"")</x:f>
        <x:v>44.5</x:v>
      </x:c>
      <x:c r="AF59" s="35"/>
      <x:c r="AG59" s="33" t="s">
        <x:v>551</x:v>
      </x:c>
      <x:c r="AH59" s="36">
        <x:v>46379</x:v>
      </x:c>
      <x:c r="AI59" s="33" t="s">
        <x:v>126</x:v>
      </x:c>
      <x:c r="AJ59" s="34" t="s">
        <x:v>336</x:v>
      </x:c>
    </x:row>
    <x:row r="60" ht="23.25" customHeight="1">
      <x:c r="A60" s="31" t="s">
        <x:v>588</x:v>
      </x:c>
      <x:c r="B60" s="31" t="s">
        <x:v>589</x:v>
      </x:c>
      <x:c r="C60" s="31" t="s">
        <x:v>539</x:v>
      </x:c>
      <x:c r="D60" s="32" t="s">
        <x:v>590</x:v>
      </x:c>
      <x:c r="E60" s="32" t="str">
        <x:v>Data Migration Only</x:v>
      </x:c>
      <x:c r="F60" s="33" t="s">
        <x:v>118</x:v>
      </x:c>
      <x:c r="G60" s="34" t="s">
        <x:v>555</x:v>
      </x:c>
      <x:c r="H60" s="33" t="s">
        <x:v>87</x:v>
      </x:c>
      <x:c r="I60" s="33" t="s">
        <x:v>542</x:v>
      </x:c>
      <x:c r="J60" s="33" t="s">
        <x:v>80</x:v>
      </x:c>
      <x:c r="K60" s="33" t="s">
        <x:v>62</x:v>
      </x:c>
      <x:c r="L60" s="33" t="s">
        <x:v>75</x:v>
      </x:c>
      <x:c r="M60" s="35">
        <x:v>59</x:v>
      </x:c>
      <x:c r="N60" s="35">
        <x:v>95371541</x:v>
      </x:c>
      <x:c r="O60" s="33" t="s">
        <x:v>101</x:v>
      </x:c>
      <x:c r="P60" s="33" t="s">
        <x:v>101</x:v>
      </x:c>
      <x:c r="Q60" s="33" t="s">
        <x:v>120</x:v>
      </x:c>
      <x:c r="R60" s="33" t="s">
        <x:v>101</x:v>
      </x:c>
      <x:c r="S60" s="31" t="s">
        <x:v>488</x:v>
      </x:c>
      <x:c r="T60" s="31" t="s">
        <x:v>591</x:v>
      </x:c>
      <x:c r="U60" s="31" t="s">
        <x:v>522</x:v>
      </x:c>
      <x:c r="V60" s="33" t="s">
        <x:v>347</x:v>
      </x:c>
      <x:c r="W60" s="33"/>
      <x:c r="X60" s="33" t="s">
        <x:v>238</x:v>
      </x:c>
      <x:c r="Y60" s="36"/>
      <x:c r="Z60" s="36"/>
      <x:c r="AA60" s="33" t="s">
        <x:v>120</x:v>
      </x:c>
      <x:c r="AB60" s="37" t="n">
        <x:f>IFERROR(INDEX(Effort_Model!$J$6:$J$33,MATCH(K60&amp;"|"&amp;L60,Effort_Model!$B$6:$B$33,0)),"")</x:f>
        <x:v>74.4</x:v>
      </x:c>
      <x:c r="AC60" s="38">
        <x:v>588.29999999999995</x:v>
      </x:c>
      <x:c r="AD60" s="37">
        <x:f t="shared" si="0"/>
        <x:v>797.63329999999996</x:v>
      </x:c>
      <x:c r="AE60" s="37" t="n">
        <x:f>IFERROR(ROUND(IFERROR(INDEX(Scoring_Rules!$C$43:$C$44,MATCH(Q60,Scoring_Rules!$B$43:$B$44,0)),0)*Scoring_Rules!$C$6+IFERROR(INDEX(Scoring_Rules!$C$34:$C$40,MATCH(K60,Scoring_Rules!$B$34:$B$40,0)),0)*Scoring_Rules!$C$7+IFERROR(INDEX(Scoring_Rules!$C$16:$C$19,MATCH(P60,Scoring_Rules!$B$16:$B$19,0)),0)*Scoring_Rules!$C$8+IFERROR(INDEX(Scoring_Rules!$C$22:$C$25,MATCH(O60,Scoring_Rules!$B$22:$B$25,0)),0)*Scoring_Rules!$C$9+IFERROR(INDEX(Scoring_Rules!$C$47:$C$50,MATCH(X60,Scoring_Rules!$B$47:$B$50,0)),0)*Scoring_Rules!$C$10+IFERROR(INDEX(Scoring_Rules!$C$28:$C$31,MATCH(R60,Scoring_Rules!$B$28:$B$31,0)),0)*Scoring_Rules!$C$11,1),"")</x:f>
        <x:v>40</x:v>
      </x:c>
      <x:c r="AF60" s="35">
        <x:v>7</x:v>
      </x:c>
      <x:c r="AG60" s="33" t="s">
        <x:v>558</x:v>
      </x:c>
      <x:c r="AH60" s="36">
        <x:v>46353</x:v>
      </x:c>
      <x:c r="AI60" s="33" t="s">
        <x:v>125</x:v>
      </x:c>
      <x:c r="AJ60" s="34" t="s">
        <x:v>312</x:v>
      </x:c>
    </x:row>
    <x:row r="61" ht="23.25" customHeight="1">
      <x:c r="A61" s="31" t="s">
        <x:v>592</x:v>
      </x:c>
      <x:c r="B61" s="31" t="s">
        <x:v>593</x:v>
      </x:c>
      <x:c r="C61" s="31" t="s">
        <x:v>539</x:v>
      </x:c>
      <x:c r="D61" s="32" t="s">
        <x:v>575</x:v>
      </x:c>
      <x:c r="E61" s="32" t="str">
        <x:v>Functional Migration Only</x:v>
      </x:c>
      <x:c r="F61" s="33" t="s">
        <x:v>118</x:v>
      </x:c>
      <x:c r="G61" s="34" t="s">
        <x:v>541</x:v>
      </x:c>
      <x:c r="H61" s="33" t="s">
        <x:v>87</x:v>
      </x:c>
      <x:c r="I61" s="33" t="s">
        <x:v>542</x:v>
      </x:c>
      <x:c r="J61" s="33" t="s">
        <x:v>82</x:v>
      </x:c>
      <x:c r="K61" s="33" t="s">
        <x:v>62</x:v>
      </x:c>
      <x:c r="L61" s="33" t="s">
        <x:v>75</x:v>
      </x:c>
      <x:c r="M61" s="35">
        <x:v>61</x:v>
      </x:c>
      <x:c r="N61" s="35">
        <x:v>145359251</x:v>
      </x:c>
      <x:c r="O61" s="33" t="s">
        <x:v>73</x:v>
      </x:c>
      <x:c r="P61" s="33" t="s">
        <x:v>98</x:v>
      </x:c>
      <x:c r="Q61" s="33" t="s">
        <x:v>120</x:v>
      </x:c>
      <x:c r="R61" s="33" t="s">
        <x:v>98</x:v>
      </x:c>
      <x:c r="S61" s="31" t="s">
        <x:v>594</x:v>
      </x:c>
      <x:c r="T61" s="31" t="s">
        <x:v>595</x:v>
      </x:c>
      <x:c r="U61" s="31" t="s">
        <x:v>276</x:v>
      </x:c>
      <x:c r="V61" s="33" t="s">
        <x:v>347</x:v>
      </x:c>
      <x:c r="W61" s="33"/>
      <x:c r="X61" s="33" t="s">
        <x:v>238</x:v>
      </x:c>
      <x:c r="Y61" s="36">
        <x:v>46583</x:v>
      </x:c>
      <x:c r="Z61" s="36"/>
      <x:c r="AA61" s="33" t="s">
        <x:v>120</x:v>
      </x:c>
      <x:c r="AB61" s="37" t="n">
        <x:f>IFERROR(INDEX(Effort_Model!$J$6:$J$33,MATCH(K61&amp;"|"&amp;L61,Effort_Model!$B$6:$B$33,0)),"")</x:f>
        <x:v>74.4</x:v>
      </x:c>
      <x:c r="AC61" s="38">
        <x:v>1019.2</x:v>
      </x:c>
      <x:c r="AD61" s="37">
        <x:f t="shared" si="0"/>
        <x:v>1228.5333000000001</x:v>
      </x:c>
      <x:c r="AE61" s="37" t="n">
        <x:f>IFERROR(ROUND(IFERROR(INDEX(Scoring_Rules!$C$43:$C$44,MATCH(Q61,Scoring_Rules!$B$43:$B$44,0)),0)*Scoring_Rules!$C$6+IFERROR(INDEX(Scoring_Rules!$C$34:$C$40,MATCH(K61,Scoring_Rules!$B$34:$B$40,0)),0)*Scoring_Rules!$C$7+IFERROR(INDEX(Scoring_Rules!$C$16:$C$19,MATCH(P61,Scoring_Rules!$B$16:$B$19,0)),0)*Scoring_Rules!$C$8+IFERROR(INDEX(Scoring_Rules!$C$22:$C$25,MATCH(O61,Scoring_Rules!$B$22:$B$25,0)),0)*Scoring_Rules!$C$9+IFERROR(INDEX(Scoring_Rules!$C$47:$C$50,MATCH(X61,Scoring_Rules!$B$47:$B$50,0)),0)*Scoring_Rules!$C$10+IFERROR(INDEX(Scoring_Rules!$C$28:$C$31,MATCH(R61,Scoring_Rules!$B$28:$B$31,0)),0)*Scoring_Rules!$C$11,1),"")</x:f>
        <x:v>61.5</x:v>
      </x:c>
      <x:c r="AF61" s="35">
        <x:v>4</x:v>
      </x:c>
      <x:c r="AG61" s="33" t="s">
        <x:v>564</x:v>
      </x:c>
      <x:c r="AH61" s="36">
        <x:v>46385</x:v>
      </x:c>
      <x:c r="AI61" s="33" t="s">
        <x:v>124</x:v>
      </x:c>
      <x:c r="AJ61" s="34" t="s">
        <x:v>336</x:v>
      </x:c>
    </x:row>
    <x:row r="62" ht="23.25" customHeight="1">
      <x:c r="A62" s="31" t="s">
        <x:v>596</x:v>
      </x:c>
      <x:c r="B62" s="31" t="s">
        <x:v>597</x:v>
      </x:c>
      <x:c r="C62" s="31" t="s">
        <x:v>539</x:v>
      </x:c>
      <x:c r="D62" s="32" t="s">
        <x:v>598</x:v>
      </x:c>
      <x:c r="E62" s="32" t="str">
        <x:v>Functional Migration Only</x:v>
      </x:c>
      <x:c r="F62" s="33" t="s">
        <x:v>118</x:v>
      </x:c>
      <x:c r="G62" s="34" t="s">
        <x:v>572</x:v>
      </x:c>
      <x:c r="H62" s="33" t="s">
        <x:v>87</x:v>
      </x:c>
      <x:c r="I62" s="33" t="s">
        <x:v>542</x:v>
      </x:c>
      <x:c r="J62" s="33" t="s">
        <x:v>82</x:v>
      </x:c>
      <x:c r="K62" s="33" t="s">
        <x:v>66</x:v>
      </x:c>
      <x:c r="L62" s="33" t="s">
        <x:v>75</x:v>
      </x:c>
      <x:c r="M62" s="35">
        <x:v>168</x:v>
      </x:c>
      <x:c r="N62" s="35">
        <x:v>11004100912</x:v>
      </x:c>
      <x:c r="O62" s="33" t="s">
        <x:v>73</x:v>
      </x:c>
      <x:c r="P62" s="33" t="s">
        <x:v>101</x:v>
      </x:c>
      <x:c r="Q62" s="33" t="s">
        <x:v>120</x:v>
      </x:c>
      <x:c r="R62" s="33" t="s">
        <x:v>73</x:v>
      </x:c>
      <x:c r="S62" s="31" t="s">
        <x:v>535</x:v>
      </x:c>
      <x:c r="T62" s="31" t="s">
        <x:v>599</x:v>
      </x:c>
      <x:c r="U62" s="31" t="s">
        <x:v>276</x:v>
      </x:c>
      <x:c r="V62" s="33" t="s">
        <x:v>277</x:v>
      </x:c>
      <x:c r="W62" s="33"/>
      <x:c r="X62" s="33" t="s">
        <x:v>238</x:v>
      </x:c>
      <x:c r="Y62" s="36"/>
      <x:c r="Z62" s="36"/>
      <x:c r="AA62" s="33" t="s">
        <x:v>120</x:v>
      </x:c>
      <x:c r="AB62" s="37" t="n">
        <x:f>IFERROR(INDEX(Effort_Model!$J$6:$J$33,MATCH(K62&amp;"|"&amp;L62,Effort_Model!$B$6:$B$33,0)),"")</x:f>
        <x:v>138.4</x:v>
      </x:c>
      <x:c r="AC62" s="38">
        <x:v>2535.6999999999998</x:v>
      </x:c>
      <x:c r="AD62" s="37">
        <x:f t="shared" si="0"/>
        <x:v>2937.0333000000001</x:v>
      </x:c>
      <x:c r="AE62" s="37" t="n">
        <x:f>IFERROR(ROUND(IFERROR(INDEX(Scoring_Rules!$C$43:$C$44,MATCH(Q62,Scoring_Rules!$B$43:$B$44,0)),0)*Scoring_Rules!$C$6+IFERROR(INDEX(Scoring_Rules!$C$34:$C$40,MATCH(K62,Scoring_Rules!$B$34:$B$40,0)),0)*Scoring_Rules!$C$7+IFERROR(INDEX(Scoring_Rules!$C$16:$C$19,MATCH(P62,Scoring_Rules!$B$16:$B$19,0)),0)*Scoring_Rules!$C$8+IFERROR(INDEX(Scoring_Rules!$C$22:$C$25,MATCH(O62,Scoring_Rules!$B$22:$B$25,0)),0)*Scoring_Rules!$C$9+IFERROR(INDEX(Scoring_Rules!$C$47:$C$50,MATCH(X62,Scoring_Rules!$B$47:$B$50,0)),0)*Scoring_Rules!$C$10+IFERROR(INDEX(Scoring_Rules!$C$28:$C$31,MATCH(R62,Scoring_Rules!$B$28:$B$31,0)),0)*Scoring_Rules!$C$11,1),"")</x:f>
        <x:v>40</x:v>
      </x:c>
      <x:c r="AF62" s="35">
        <x:v>7</x:v>
      </x:c>
      <x:c r="AG62" s="33" t="s">
        <x:v>545</x:v>
      </x:c>
      <x:c r="AH62" s="36">
        <x:v>46398</x:v>
      </x:c>
      <x:c r="AI62" s="33" t="s">
        <x:v>125</x:v>
      </x:c>
      <x:c r="AJ62" s="34" t="s">
        <x:v>445</x:v>
      </x:c>
    </x:row>
    <x:row r="63" ht="15" customHeight="1">
      <x:c r="A63" s="31" t="s">
        <x:v>600</x:v>
      </x:c>
      <x:c r="B63" s="31" t="s">
        <x:v>601</x:v>
      </x:c>
      <x:c r="C63" s="31" t="s">
        <x:v>539</x:v>
      </x:c>
      <x:c r="D63" s="32" t="s">
        <x:v>525</x:v>
      </x:c>
      <x:c r="E63" s="32" t="str">
        <x:v>Functional Migration Only</x:v>
      </x:c>
      <x:c r="F63" s="33" t="s">
        <x:v>118</x:v>
      </x:c>
      <x:c r="G63" s="34" t="s">
        <x:v>555</x:v>
      </x:c>
      <x:c r="H63" s="33" t="s">
        <x:v>87</x:v>
      </x:c>
      <x:c r="I63" s="33" t="s">
        <x:v>542</x:v>
      </x:c>
      <x:c r="J63" s="33" t="s">
        <x:v>82</x:v>
      </x:c>
      <x:c r="K63" s="33" t="s">
        <x:v>62</x:v>
      </x:c>
      <x:c r="L63" s="33" t="s">
        <x:v>75</x:v>
      </x:c>
      <x:c r="M63" s="35">
        <x:v>72</x:v>
      </x:c>
      <x:c r="N63" s="35">
        <x:v>76744772</x:v>
      </x:c>
      <x:c r="O63" s="33" t="s">
        <x:v>98</x:v>
      </x:c>
      <x:c r="P63" s="33" t="s">
        <x:v>73</x:v>
      </x:c>
      <x:c r="Q63" s="33" t="s">
        <x:v>120</x:v>
      </x:c>
      <x:c r="R63" s="33" t="s">
        <x:v>73</x:v>
      </x:c>
      <x:c r="S63" s="31" t="s">
        <x:v>526</x:v>
      </x:c>
      <x:c r="T63" s="31" t="s">
        <x:v>550</x:v>
      </x:c>
      <x:c r="U63" s="31" t="s">
        <x:v>276</x:v>
      </x:c>
      <x:c r="V63" s="33" t="s">
        <x:v>365</x:v>
      </x:c>
      <x:c r="W63" s="33"/>
      <x:c r="X63" s="33" t="s">
        <x:v>238</x:v>
      </x:c>
      <x:c r="Y63" s="36">
        <x:v>46620</x:v>
      </x:c>
      <x:c r="Z63" s="36"/>
      <x:c r="AA63" s="33" t="s">
        <x:v>120</x:v>
      </x:c>
      <x:c r="AB63" s="37" t="n">
        <x:f>IFERROR(INDEX(Effort_Model!$J$6:$J$33,MATCH(K63&amp;"|"&amp;L63,Effort_Model!$B$6:$B$33,0)),"")</x:f>
        <x:v>74.4</x:v>
      </x:c>
      <x:c r="AC63" s="38">
        <x:v>883.3</x:v>
      </x:c>
      <x:c r="AD63" s="37">
        <x:f t="shared" si="0"/>
        <x:v>1092.6333</x:v>
      </x:c>
      <x:c r="AE63" s="37" t="n">
        <x:f>IFERROR(ROUND(IFERROR(INDEX(Scoring_Rules!$C$43:$C$44,MATCH(Q63,Scoring_Rules!$B$43:$B$44,0)),0)*Scoring_Rules!$C$6+IFERROR(INDEX(Scoring_Rules!$C$34:$C$40,MATCH(K63,Scoring_Rules!$B$34:$B$40,0)),0)*Scoring_Rules!$C$7+IFERROR(INDEX(Scoring_Rules!$C$16:$C$19,MATCH(P63,Scoring_Rules!$B$16:$B$19,0)),0)*Scoring_Rules!$C$8+IFERROR(INDEX(Scoring_Rules!$C$22:$C$25,MATCH(O63,Scoring_Rules!$B$22:$B$25,0)),0)*Scoring_Rules!$C$9+IFERROR(INDEX(Scoring_Rules!$C$47:$C$50,MATCH(X63,Scoring_Rules!$B$47:$B$50,0)),0)*Scoring_Rules!$C$10+IFERROR(INDEX(Scoring_Rules!$C$28:$C$31,MATCH(R63,Scoring_Rules!$B$28:$B$31,0)),0)*Scoring_Rules!$C$11,1),"")</x:f>
        <x:v>58.5</x:v>
      </x:c>
      <x:c r="AF63" s="35">
        <x:v>5</x:v>
      </x:c>
      <x:c r="AG63" s="33" t="s">
        <x:v>551</x:v>
      </x:c>
      <x:c r="AH63" s="36">
        <x:v>46348</x:v>
      </x:c>
      <x:c r="AI63" s="33" t="s">
        <x:v>127</x:v>
      </x:c>
      <x:c r="AJ63" s="34" t="s">
        <x:v>395</x:v>
      </x:c>
    </x:row>
    <x:row r="64" ht="15" customHeight="1">
      <x:c r="A64" s="31" t="s">
        <x:v>602</x:v>
      </x:c>
      <x:c r="B64" s="31" t="s">
        <x:v>603</x:v>
      </x:c>
      <x:c r="C64" s="31" t="s">
        <x:v>539</x:v>
      </x:c>
      <x:c r="D64" s="32" t="s">
        <x:v>525</x:v>
      </x:c>
      <x:c r="E64" s="32" t="str">
        <x:v>Data Migration Only</x:v>
      </x:c>
      <x:c r="F64" s="33" t="s">
        <x:v>118</x:v>
      </x:c>
      <x:c r="G64" s="34" t="s">
        <x:v>541</x:v>
      </x:c>
      <x:c r="H64" s="33" t="s">
        <x:v>87</x:v>
      </x:c>
      <x:c r="I64" s="33" t="s">
        <x:v>542</x:v>
      </x:c>
      <x:c r="J64" s="33" t="s">
        <x:v>80</x:v>
      </x:c>
      <x:c r="K64" s="33" t="s">
        <x:v>60</x:v>
      </x:c>
      <x:c r="L64" s="33" t="s">
        <x:v>73</x:v>
      </x:c>
      <x:c r="M64" s="35">
        <x:v>40</x:v>
      </x:c>
      <x:c r="N64" s="35">
        <x:v>6107342</x:v>
      </x:c>
      <x:c r="O64" s="33" t="s">
        <x:v>73</x:v>
      </x:c>
      <x:c r="P64" s="33" t="s">
        <x:v>98</x:v>
      </x:c>
      <x:c r="Q64" s="33" t="s">
        <x:v>120</x:v>
      </x:c>
      <x:c r="R64" s="33" t="s">
        <x:v>98</x:v>
      </x:c>
      <x:c r="S64" s="31" t="s">
        <x:v>604</x:v>
      </x:c>
      <x:c r="T64" s="31" t="s">
        <x:v>605</x:v>
      </x:c>
      <x:c r="U64" s="31" t="s">
        <x:v>276</x:v>
      </x:c>
      <x:c r="V64" s="33" t="s">
        <x:v>303</x:v>
      </x:c>
      <x:c r="W64" s="33"/>
      <x:c r="X64" s="33" t="s">
        <x:v>238</x:v>
      </x:c>
      <x:c r="Y64" s="36"/>
      <x:c r="Z64" s="36"/>
      <x:c r="AA64" s="33" t="s">
        <x:v>120</x:v>
      </x:c>
      <x:c r="AB64" s="37" t="n">
        <x:f>IFERROR(INDEX(Effort_Model!$J$6:$J$33,MATCH(K64&amp;"|"&amp;L64,Effort_Model!$B$6:$B$33,0)),"")</x:f>
        <x:v>42.4</x:v>
      </x:c>
      <x:c r="AC64" s="38">
        <x:v>272.2</x:v>
      </x:c>
      <x:c r="AD64" s="37">
        <x:f t="shared" si="0"/>
        <x:v>349.2</x:v>
      </x:c>
      <x:c r="AE64" s="37" t="n">
        <x:f>IFERROR(ROUND(IFERROR(INDEX(Scoring_Rules!$C$43:$C$44,MATCH(Q64,Scoring_Rules!$B$43:$B$44,0)),0)*Scoring_Rules!$C$6+IFERROR(INDEX(Scoring_Rules!$C$34:$C$40,MATCH(K64,Scoring_Rules!$B$34:$B$40,0)),0)*Scoring_Rules!$C$7+IFERROR(INDEX(Scoring_Rules!$C$16:$C$19,MATCH(P64,Scoring_Rules!$B$16:$B$19,0)),0)*Scoring_Rules!$C$8+IFERROR(INDEX(Scoring_Rules!$C$22:$C$25,MATCH(O64,Scoring_Rules!$B$22:$B$25,0)),0)*Scoring_Rules!$C$9+IFERROR(INDEX(Scoring_Rules!$C$47:$C$50,MATCH(X64,Scoring_Rules!$B$47:$B$50,0)),0)*Scoring_Rules!$C$10+IFERROR(INDEX(Scoring_Rules!$C$28:$C$31,MATCH(R64,Scoring_Rules!$B$28:$B$31,0)),0)*Scoring_Rules!$C$11,1),"")</x:f>
        <x:v>65.5</x:v>
      </x:c>
      <x:c r="AF64" s="35">
        <x:v>2</x:v>
      </x:c>
      <x:c r="AG64" s="33" t="s">
        <x:v>558</x:v>
      </x:c>
      <x:c r="AH64" s="36">
        <x:v>46355</x:v>
      </x:c>
      <x:c r="AI64" s="33" t="s">
        <x:v>127</x:v>
      </x:c>
      <x:c r="AJ64" s="34" t="s">
        <x:v>383</x:v>
      </x:c>
    </x:row>
    <x:row r="65" ht="15" customHeight="1">
      <x:c r="A65" s="31" t="s">
        <x:v>606</x:v>
      </x:c>
      <x:c r="B65" s="31" t="s">
        <x:v>607</x:v>
      </x:c>
      <x:c r="C65" s="31" t="s">
        <x:v>539</x:v>
      </x:c>
      <x:c r="D65" s="32" t="s">
        <x:v>485</x:v>
      </x:c>
      <x:c r="E65" s="32" t="str">
        <x:v>Data Migration Only</x:v>
      </x:c>
      <x:c r="F65" s="33" t="s">
        <x:v>118</x:v>
      </x:c>
      <x:c r="G65" s="34" t="s">
        <x:v>572</x:v>
      </x:c>
      <x:c r="H65" s="33" t="s">
        <x:v>87</x:v>
      </x:c>
      <x:c r="I65" s="33" t="s">
        <x:v>542</x:v>
      </x:c>
      <x:c r="J65" s="33" t="s">
        <x:v>80</x:v>
      </x:c>
      <x:c r="K65" s="33" t="s">
        <x:v>62</x:v>
      </x:c>
      <x:c r="L65" s="33" t="s">
        <x:v>73</x:v>
      </x:c>
      <x:c r="M65" s="35">
        <x:v>57</x:v>
      </x:c>
      <x:c r="N65" s="35">
        <x:v>89526339</x:v>
      </x:c>
      <x:c r="O65" s="33" t="s">
        <x:v>98</x:v>
      </x:c>
      <x:c r="P65" s="33" t="s">
        <x:v>98</x:v>
      </x:c>
      <x:c r="Q65" s="33" t="s">
        <x:v>120</x:v>
      </x:c>
      <x:c r="R65" s="33" t="s">
        <x:v>73</x:v>
      </x:c>
      <x:c r="S65" s="31" t="s">
        <x:v>535</x:v>
      </x:c>
      <x:c r="T65" s="31" t="s">
        <x:v>536</x:v>
      </x:c>
      <x:c r="U65" s="31" t="s">
        <x:v>276</x:v>
      </x:c>
      <x:c r="V65" s="33" t="s">
        <x:v>303</x:v>
      </x:c>
      <x:c r="W65" s="33" t="s">
        <x:v>592</x:v>
      </x:c>
      <x:c r="X65" s="33" t="s">
        <x:v>240</x:v>
      </x:c>
      <x:c r="Y65" s="36"/>
      <x:c r="Z65" s="36"/>
      <x:c r="AA65" s="33" t="s">
        <x:v>120</x:v>
      </x:c>
      <x:c r="AB65" s="37" t="n">
        <x:f>IFERROR(INDEX(Effort_Model!$J$6:$J$33,MATCH(K65&amp;"|"&amp;L65,Effort_Model!$B$6:$B$33,0)),"")</x:f>
        <x:v>74.4</x:v>
      </x:c>
      <x:c r="AC65" s="38">
        <x:v>465.5</x:v>
      </x:c>
      <x:c r="AD65" s="37">
        <x:f t="shared" si="0"/>
        <x:v>606.5</x:v>
      </x:c>
      <x:c r="AE65" s="37" t="n">
        <x:f>IFERROR(ROUND(IFERROR(INDEX(Scoring_Rules!$C$43:$C$44,MATCH(Q65,Scoring_Rules!$B$43:$B$44,0)),0)*Scoring_Rules!$C$6+IFERROR(INDEX(Scoring_Rules!$C$34:$C$40,MATCH(K65,Scoring_Rules!$B$34:$B$40,0)),0)*Scoring_Rules!$C$7+IFERROR(INDEX(Scoring_Rules!$C$16:$C$19,MATCH(P65,Scoring_Rules!$B$16:$B$19,0)),0)*Scoring_Rules!$C$8+IFERROR(INDEX(Scoring_Rules!$C$22:$C$25,MATCH(O65,Scoring_Rules!$B$22:$B$25,0)),0)*Scoring_Rules!$C$9+IFERROR(INDEX(Scoring_Rules!$C$47:$C$50,MATCH(X65,Scoring_Rules!$B$47:$B$50,0)),0)*Scoring_Rules!$C$10+IFERROR(INDEX(Scoring_Rules!$C$28:$C$31,MATCH(R65,Scoring_Rules!$B$28:$B$31,0)),0)*Scoring_Rules!$C$11,1),"")</x:f>
        <x:v>54</x:v>
      </x:c>
      <x:c r="AF65" s="35">
        <x:v>2</x:v>
      </x:c>
      <x:c r="AG65" s="33" t="s">
        <x:v>564</x:v>
      </x:c>
      <x:c r="AH65" s="36">
        <x:v>46345</x:v>
      </x:c>
      <x:c r="AI65" s="33" t="s">
        <x:v>127</x:v>
      </x:c>
      <x:c r="AJ65" s="34"/>
    </x:row>
    <x:row r="66" ht="15" customHeight="1">
      <x:c r="A66" s="31" t="s">
        <x:v>608</x:v>
      </x:c>
      <x:c r="B66" s="31" t="s">
        <x:v>609</x:v>
      </x:c>
      <x:c r="C66" s="31" t="s">
        <x:v>539</x:v>
      </x:c>
      <x:c r="D66" s="32" t="s">
        <x:v>525</x:v>
      </x:c>
      <x:c r="E66" s="32" t="str">
        <x:v>Functional Migration Only</x:v>
      </x:c>
      <x:c r="F66" s="33" t="s">
        <x:v>118</x:v>
      </x:c>
      <x:c r="G66" s="34" t="s">
        <x:v>555</x:v>
      </x:c>
      <x:c r="H66" s="33" t="s">
        <x:v>87</x:v>
      </x:c>
      <x:c r="I66" s="33" t="s">
        <x:v>542</x:v>
      </x:c>
      <x:c r="J66" s="33" t="s">
        <x:v>82</x:v>
      </x:c>
      <x:c r="K66" s="33" t="s">
        <x:v>62</x:v>
      </x:c>
      <x:c r="L66" s="33" t="s">
        <x:v>75</x:v>
      </x:c>
      <x:c r="M66" s="35">
        <x:v>52</x:v>
      </x:c>
      <x:c r="N66" s="35">
        <x:v>136211001</x:v>
      </x:c>
      <x:c r="O66" s="33" t="s">
        <x:v>73</x:v>
      </x:c>
      <x:c r="P66" s="33" t="s">
        <x:v>73</x:v>
      </x:c>
      <x:c r="Q66" s="33" t="s">
        <x:v>120</x:v>
      </x:c>
      <x:c r="R66" s="33" t="s">
        <x:v>101</x:v>
      </x:c>
      <x:c r="S66" s="31" t="s">
        <x:v>495</x:v>
      </x:c>
      <x:c r="T66" s="31" t="s">
        <x:v>610</x:v>
      </x:c>
      <x:c r="U66" s="31" t="s">
        <x:v>276</x:v>
      </x:c>
      <x:c r="V66" s="33" t="s">
        <x:v>277</x:v>
      </x:c>
      <x:c r="W66" s="33" t="s">
        <x:v>611</x:v>
      </x:c>
      <x:c r="X66" s="33" t="s">
        <x:v>239</x:v>
      </x:c>
      <x:c r="Y66" s="36"/>
      <x:c r="Z66" s="36">
        <x:v>47014</x:v>
      </x:c>
      <x:c r="AA66" s="33" t="s">
        <x:v>120</x:v>
      </x:c>
      <x:c r="AB66" s="37" t="n">
        <x:f>IFERROR(INDEX(Effort_Model!$J$6:$J$33,MATCH(K66&amp;"|"&amp;L66,Effort_Model!$B$6:$B$33,0)),"")</x:f>
        <x:v>74.4</x:v>
      </x:c>
      <x:c r="AC66" s="38">
        <x:v>1000.1</x:v>
      </x:c>
      <x:c r="AD66" s="37" t="n">
        <x:f t="shared" ref="AD66:AD129" si="1">IFERROR(AB66+N(AC66),"")</x:f>
        <x:v>1074.5</x:v>
      </x:c>
      <x:c r="AE66" s="37" t="n">
        <x:f>IFERROR(ROUND(IFERROR(INDEX(Scoring_Rules!$C$43:$C$44,MATCH(Q66,Scoring_Rules!$B$43:$B$44,0)),0)*Scoring_Rules!$C$6+IFERROR(INDEX(Scoring_Rules!$C$34:$C$40,MATCH(K66,Scoring_Rules!$B$34:$B$40,0)),0)*Scoring_Rules!$C$7+IFERROR(INDEX(Scoring_Rules!$C$16:$C$19,MATCH(P66,Scoring_Rules!$B$16:$B$19,0)),0)*Scoring_Rules!$C$8+IFERROR(INDEX(Scoring_Rules!$C$22:$C$25,MATCH(O66,Scoring_Rules!$B$22:$B$25,0)),0)*Scoring_Rules!$C$9+IFERROR(INDEX(Scoring_Rules!$C$47:$C$50,MATCH(X66,Scoring_Rules!$B$47:$B$50,0)),0)*Scoring_Rules!$C$10+IFERROR(INDEX(Scoring_Rules!$C$28:$C$31,MATCH(R66,Scoring_Rules!$B$28:$B$31,0)),0)*Scoring_Rules!$C$11,1),"")</x:f>
        <x:v>47.8</x:v>
      </x:c>
      <x:c r="AF66" s="35">
        <x:v>6</x:v>
      </x:c>
      <x:c r="AG66" s="33" t="s">
        <x:v>545</x:v>
      </x:c>
      <x:c r="AH66" s="36">
        <x:v>46350</x:v>
      </x:c>
      <x:c r="AI66" s="33" t="s">
        <x:v>124</x:v>
      </x:c>
      <x:c r="AJ66" s="34" t="s">
        <x:v>312</x:v>
      </x:c>
    </x:row>
    <x:row r="67" ht="23.25" customHeight="1">
      <x:c r="A67" s="31" t="s">
        <x:v>612</x:v>
      </x:c>
      <x:c r="B67" s="31" t="s">
        <x:v>613</x:v>
      </x:c>
      <x:c r="C67" s="31" t="s">
        <x:v>614</x:v>
      </x:c>
      <x:c r="D67" s="32" t="s">
        <x:v>615</x:v>
      </x:c>
      <x:c r="E67" s="32" t="str">
        <x:v>Functional Migration Only</x:v>
      </x:c>
      <x:c r="F67" s="33" t="s">
        <x:v>118</x:v>
      </x:c>
      <x:c r="G67" s="34" t="s">
        <x:v>616</x:v>
      </x:c>
      <x:c r="H67" s="33" t="s">
        <x:v>87</x:v>
      </x:c>
      <x:c r="I67" s="33" t="s">
        <x:v>617</x:v>
      </x:c>
      <x:c r="J67" s="33" t="s">
        <x:v>82</x:v>
      </x:c>
      <x:c r="K67" s="33" t="s">
        <x:v>58</x:v>
      </x:c>
      <x:c r="L67" s="33" t="s">
        <x:v>75</x:v>
      </x:c>
      <x:c r="M67" s="35">
        <x:v>12</x:v>
      </x:c>
      <x:c r="N67" s="35">
        <x:v>1010483</x:v>
      </x:c>
      <x:c r="O67" s="33" t="s">
        <x:v>101</x:v>
      </x:c>
      <x:c r="P67" s="33" t="s">
        <x:v>101</x:v>
      </x:c>
      <x:c r="Q67" s="33" t="s">
        <x:v>120</x:v>
      </x:c>
      <x:c r="R67" s="33" t="s">
        <x:v>115</x:v>
      </x:c>
      <x:c r="S67" s="31" t="s">
        <x:v>369</x:v>
      </x:c>
      <x:c r="T67" s="31" t="s">
        <x:v>618</x:v>
      </x:c>
      <x:c r="U67" s="31" t="s">
        <x:v>276</x:v>
      </x:c>
      <x:c r="V67" s="33" t="s">
        <x:v>451</x:v>
      </x:c>
      <x:c r="W67" s="33"/>
      <x:c r="X67" s="33" t="s">
        <x:v>238</x:v>
      </x:c>
      <x:c r="Y67" s="36"/>
      <x:c r="Z67" s="36"/>
      <x:c r="AA67" s="33" t="s">
        <x:v>120</x:v>
      </x:c>
      <x:c r="AB67" s="37" t="n">
        <x:f>IFERROR(INDEX(Effort_Model!$J$6:$J$33,MATCH(K67&amp;"|"&amp;L67,Effort_Model!$B$6:$B$33,0)),"")</x:f>
        <x:v>26.4</x:v>
      </x:c>
      <x:c r="AC67" s="38">
        <x:v>293.8</x:v>
      </x:c>
      <x:c r="AD67" s="37">
        <x:f t="shared" si="1"/>
        <x:v>359.13330000000002</x:v>
      </x:c>
      <x:c r="AE67" s="37" t="n">
        <x:f>IFERROR(ROUND(IFERROR(INDEX(Scoring_Rules!$C$43:$C$44,MATCH(Q67,Scoring_Rules!$B$43:$B$44,0)),0)*Scoring_Rules!$C$6+IFERROR(INDEX(Scoring_Rules!$C$34:$C$40,MATCH(K67,Scoring_Rules!$B$34:$B$40,0)),0)*Scoring_Rules!$C$7+IFERROR(INDEX(Scoring_Rules!$C$16:$C$19,MATCH(P67,Scoring_Rules!$B$16:$B$19,0)),0)*Scoring_Rules!$C$8+IFERROR(INDEX(Scoring_Rules!$C$22:$C$25,MATCH(O67,Scoring_Rules!$B$22:$B$25,0)),0)*Scoring_Rules!$C$9+IFERROR(INDEX(Scoring_Rules!$C$47:$C$50,MATCH(X67,Scoring_Rules!$B$47:$B$50,0)),0)*Scoring_Rules!$C$10+IFERROR(INDEX(Scoring_Rules!$C$28:$C$31,MATCH(R67,Scoring_Rules!$B$28:$B$31,0)),0)*Scoring_Rules!$C$11,1),"")</x:f>
        <x:v>45.3</x:v>
      </x:c>
      <x:c r="AF67" s="35">
        <x:v>6</x:v>
      </x:c>
      <x:c r="AG67" s="33" t="s">
        <x:v>619</x:v>
      </x:c>
      <x:c r="AH67" s="36">
        <x:v>46397</x:v>
      </x:c>
      <x:c r="AI67" s="33" t="s">
        <x:v>125</x:v>
      </x:c>
      <x:c r="AJ67" s="34" t="s">
        <x:v>395</x:v>
      </x:c>
    </x:row>
    <x:row r="68" ht="23.25" customHeight="1">
      <x:c r="A68" s="31" t="s">
        <x:v>620</x:v>
      </x:c>
      <x:c r="B68" s="31" t="s">
        <x:v>621</x:v>
      </x:c>
      <x:c r="C68" s="31" t="s">
        <x:v>614</x:v>
      </x:c>
      <x:c r="D68" s="32" t="s">
        <x:v>615</x:v>
      </x:c>
      <x:c r="E68" s="32" t="str">
        <x:v>Functional Migration Only</x:v>
      </x:c>
      <x:c r="F68" s="33" t="s">
        <x:v>118</x:v>
      </x:c>
      <x:c r="G68" s="34" t="s">
        <x:v>622</x:v>
      </x:c>
      <x:c r="H68" s="33" t="s">
        <x:v>87</x:v>
      </x:c>
      <x:c r="I68" s="33" t="s">
        <x:v>617</x:v>
      </x:c>
      <x:c r="J68" s="33" t="s">
        <x:v>82</x:v>
      </x:c>
      <x:c r="K68" s="33" t="s">
        <x:v>58</x:v>
      </x:c>
      <x:c r="L68" s="33" t="s">
        <x:v>75</x:v>
      </x:c>
      <x:c r="M68" s="35">
        <x:v>25</x:v>
      </x:c>
      <x:c r="N68" s="35">
        <x:v>963953</x:v>
      </x:c>
      <x:c r="O68" s="33" t="s">
        <x:v>73</x:v>
      </x:c>
      <x:c r="P68" s="33" t="s">
        <x:v>101</x:v>
      </x:c>
      <x:c r="Q68" s="33" t="s">
        <x:v>120</x:v>
      </x:c>
      <x:c r="R68" s="33" t="s">
        <x:v>101</x:v>
      </x:c>
      <x:c r="S68" s="31" t="s">
        <x:v>623</x:v>
      </x:c>
      <x:c r="T68" s="31" t="s">
        <x:v>624</x:v>
      </x:c>
      <x:c r="U68" s="31" t="s">
        <x:v>276</x:v>
      </x:c>
      <x:c r="V68" s="33" t="s">
        <x:v>365</x:v>
      </x:c>
      <x:c r="W68" s="33" t="s">
        <x:v>612</x:v>
      </x:c>
      <x:c r="X68" s="33" t="s">
        <x:v>240</x:v>
      </x:c>
      <x:c r="Y68" s="36"/>
      <x:c r="Z68" s="36"/>
      <x:c r="AA68" s="33" t="s">
        <x:v>120</x:v>
      </x:c>
      <x:c r="AB68" s="37" t="n">
        <x:f>IFERROR(INDEX(Effort_Model!$J$6:$J$33,MATCH(K68&amp;"|"&amp;L68,Effort_Model!$B$6:$B$33,0)),"")</x:f>
        <x:v>26.4</x:v>
      </x:c>
      <x:c r="AC68" s="38">
        <x:v>299.7</x:v>
      </x:c>
      <x:c r="AD68" s="37">
        <x:f t="shared" si="1"/>
        <x:v>365.0333</x:v>
      </x:c>
      <x:c r="AE68" s="37" t="n">
        <x:f>IFERROR(ROUND(IFERROR(INDEX(Scoring_Rules!$C$43:$C$44,MATCH(Q68,Scoring_Rules!$B$43:$B$44,0)),0)*Scoring_Rules!$C$6+IFERROR(INDEX(Scoring_Rules!$C$34:$C$40,MATCH(K68,Scoring_Rules!$B$34:$B$40,0)),0)*Scoring_Rules!$C$7+IFERROR(INDEX(Scoring_Rules!$C$16:$C$19,MATCH(P68,Scoring_Rules!$B$16:$B$19,0)),0)*Scoring_Rules!$C$8+IFERROR(INDEX(Scoring_Rules!$C$22:$C$25,MATCH(O68,Scoring_Rules!$B$22:$B$25,0)),0)*Scoring_Rules!$C$9+IFERROR(INDEX(Scoring_Rules!$C$47:$C$50,MATCH(X68,Scoring_Rules!$B$47:$B$50,0)),0)*Scoring_Rules!$C$10+IFERROR(INDEX(Scoring_Rules!$C$28:$C$31,MATCH(R68,Scoring_Rules!$B$28:$B$31,0)),0)*Scoring_Rules!$C$11,1),"")</x:f>
        <x:v>41.8</x:v>
      </x:c>
      <x:c r="AF68" s="35">
        <x:v>6</x:v>
      </x:c>
      <x:c r="AG68" s="33" t="s">
        <x:v>625</x:v>
      </x:c>
      <x:c r="AH68" s="36">
        <x:v>46364</x:v>
      </x:c>
      <x:c r="AI68" s="33" t="s">
        <x:v>127</x:v>
      </x:c>
      <x:c r="AJ68" s="34"/>
    </x:row>
    <x:row r="69" ht="23.25" customHeight="1">
      <x:c r="A69" s="31" t="s">
        <x:v>626</x:v>
      </x:c>
      <x:c r="B69" s="31" t="s">
        <x:v>627</x:v>
      </x:c>
      <x:c r="C69" s="31" t="s">
        <x:v>614</x:v>
      </x:c>
      <x:c r="D69" s="32" t="s">
        <x:v>628</x:v>
      </x:c>
      <x:c r="E69" s="32" t="str">
        <x:v>Data Migration Only</x:v>
      </x:c>
      <x:c r="F69" s="33" t="s">
        <x:v>118</x:v>
      </x:c>
      <x:c r="G69" s="34" t="s">
        <x:v>629</x:v>
      </x:c>
      <x:c r="H69" s="33" t="s">
        <x:v>89</x:v>
      </x:c>
      <x:c r="I69" s="33" t="s">
        <x:v>617</x:v>
      </x:c>
      <x:c r="J69" s="33" t="s">
        <x:v>80</x:v>
      </x:c>
      <x:c r="K69" s="33" t="s">
        <x:v>60</x:v>
      </x:c>
      <x:c r="L69" s="33" t="s">
        <x:v>71</x:v>
      </x:c>
      <x:c r="M69" s="35">
        <x:v>32</x:v>
      </x:c>
      <x:c r="N69" s="35">
        <x:v>5578665</x:v>
      </x:c>
      <x:c r="O69" s="33" t="s">
        <x:v>73</x:v>
      </x:c>
      <x:c r="P69" s="33" t="s">
        <x:v>73</x:v>
      </x:c>
      <x:c r="Q69" s="33" t="s">
        <x:v>120</x:v>
      </x:c>
      <x:c r="R69" s="33" t="s">
        <x:v>73</x:v>
      </x:c>
      <x:c r="S69" s="31" t="s">
        <x:v>630</x:v>
      </x:c>
      <x:c r="T69" s="31" t="s">
        <x:v>631</x:v>
      </x:c>
      <x:c r="U69" s="31" t="s">
        <x:v>276</x:v>
      </x:c>
      <x:c r="V69" s="33" t="s">
        <x:v>289</x:v>
      </x:c>
      <x:c r="W69" s="33"/>
      <x:c r="X69" s="33" t="s">
        <x:v>238</x:v>
      </x:c>
      <x:c r="Y69" s="36">
        <x:v>46710</x:v>
      </x:c>
      <x:c r="Z69" s="36"/>
      <x:c r="AA69" s="33" t="s">
        <x:v>120</x:v>
      </x:c>
      <x:c r="AB69" s="37" t="n">
        <x:f>IFERROR(INDEX(Effort_Model!$J$6:$J$33,MATCH(K69&amp;"|"&amp;L69,Effort_Model!$B$6:$B$33,0)),"")</x:f>
        <x:v>18.4</x:v>
      </x:c>
      <x:c r="AC69" s="38">
        <x:v>175.8</x:v>
      </x:c>
      <x:c r="AD69" s="37">
        <x:f t="shared" si="1"/>
        <x:v>218.20000000000002</x:v>
      </x:c>
      <x:c r="AE69" s="37" t="n">
        <x:f>IFERROR(ROUND(IFERROR(INDEX(Scoring_Rules!$C$43:$C$44,MATCH(Q69,Scoring_Rules!$B$43:$B$44,0)),0)*Scoring_Rules!$C$6+IFERROR(INDEX(Scoring_Rules!$C$34:$C$40,MATCH(K69,Scoring_Rules!$B$34:$B$40,0)),0)*Scoring_Rules!$C$7+IFERROR(INDEX(Scoring_Rules!$C$16:$C$19,MATCH(P69,Scoring_Rules!$B$16:$B$19,0)),0)*Scoring_Rules!$C$8+IFERROR(INDEX(Scoring_Rules!$C$22:$C$25,MATCH(O69,Scoring_Rules!$B$22:$B$25,0)),0)*Scoring_Rules!$C$9+IFERROR(INDEX(Scoring_Rules!$C$47:$C$50,MATCH(X69,Scoring_Rules!$B$47:$B$50,0)),0)*Scoring_Rules!$C$10+IFERROR(INDEX(Scoring_Rules!$C$28:$C$31,MATCH(R69,Scoring_Rules!$B$28:$B$31,0)),0)*Scoring_Rules!$C$11,1),"")</x:f>
        <x:v>58</x:v>
      </x:c>
      <x:c r="AF69" s="35"/>
      <x:c r="AG69" s="33" t="s">
        <x:v>632</x:v>
      </x:c>
      <x:c r="AH69" s="36">
        <x:v>46364</x:v>
      </x:c>
      <x:c r="AI69" s="33" t="s">
        <x:v>127</x:v>
      </x:c>
      <x:c r="AJ69" s="34" t="s">
        <x:v>395</x:v>
      </x:c>
    </x:row>
    <x:row r="70" ht="23.25" customHeight="1">
      <x:c r="A70" s="31" t="s">
        <x:v>633</x:v>
      </x:c>
      <x:c r="B70" s="31" t="s">
        <x:v>634</x:v>
      </x:c>
      <x:c r="C70" s="31" t="s">
        <x:v>614</x:v>
      </x:c>
      <x:c r="D70" s="32" t="s">
        <x:v>615</x:v>
      </x:c>
      <x:c r="E70" s="32" t="str">
        <x:v>Functional Migration Only</x:v>
      </x:c>
      <x:c r="F70" s="33" t="s">
        <x:v>118</x:v>
      </x:c>
      <x:c r="G70" s="34" t="s">
        <x:v>635</x:v>
      </x:c>
      <x:c r="H70" s="33" t="s">
        <x:v>87</x:v>
      </x:c>
      <x:c r="I70" s="33" t="s">
        <x:v>617</x:v>
      </x:c>
      <x:c r="J70" s="33" t="s">
        <x:v>82</x:v>
      </x:c>
      <x:c r="K70" s="33" t="s">
        <x:v>60</x:v>
      </x:c>
      <x:c r="L70" s="33" t="s">
        <x:v>75</x:v>
      </x:c>
      <x:c r="M70" s="35">
        <x:v>40</x:v>
      </x:c>
      <x:c r="N70" s="35">
        <x:v>6929542</x:v>
      </x:c>
      <x:c r="O70" s="33" t="s">
        <x:v>103</x:v>
      </x:c>
      <x:c r="P70" s="33" t="s">
        <x:v>101</x:v>
      </x:c>
      <x:c r="Q70" s="33" t="s">
        <x:v>120</x:v>
      </x:c>
      <x:c r="R70" s="33" t="s">
        <x:v>98</x:v>
      </x:c>
      <x:c r="S70" s="31" t="s">
        <x:v>369</x:v>
      </x:c>
      <x:c r="T70" s="31" t="s">
        <x:v>618</x:v>
      </x:c>
      <x:c r="U70" s="31" t="s">
        <x:v>276</x:v>
      </x:c>
      <x:c r="V70" s="33" t="s">
        <x:v>289</x:v>
      </x:c>
      <x:c r="W70" s="33"/>
      <x:c r="X70" s="33" t="s">
        <x:v>238</x:v>
      </x:c>
      <x:c r="Y70" s="36"/>
      <x:c r="Z70" s="36"/>
      <x:c r="AA70" s="33" t="s">
        <x:v>120</x:v>
      </x:c>
      <x:c r="AB70" s="37" t="n">
        <x:f>IFERROR(INDEX(Effort_Model!$J$6:$J$33,MATCH(K70&amp;"|"&amp;L70,Effort_Model!$B$6:$B$33,0)),"")</x:f>
        <x:v>42.4</x:v>
      </x:c>
      <x:c r="AC70" s="38">
        <x:v>583.20000000000005</x:v>
      </x:c>
      <x:c r="AD70" s="37">
        <x:f t="shared" si="1"/>
        <x:v>696.53330000000005</x:v>
      </x:c>
      <x:c r="AE70" s="37" t="n">
        <x:f>IFERROR(ROUND(IFERROR(INDEX(Scoring_Rules!$C$43:$C$44,MATCH(Q70,Scoring_Rules!$B$43:$B$44,0)),0)*Scoring_Rules!$C$6+IFERROR(INDEX(Scoring_Rules!$C$34:$C$40,MATCH(K70,Scoring_Rules!$B$34:$B$40,0)),0)*Scoring_Rules!$C$7+IFERROR(INDEX(Scoring_Rules!$C$16:$C$19,MATCH(P70,Scoring_Rules!$B$16:$B$19,0)),0)*Scoring_Rules!$C$8+IFERROR(INDEX(Scoring_Rules!$C$22:$C$25,MATCH(O70,Scoring_Rules!$B$22:$B$25,0)),0)*Scoring_Rules!$C$9+IFERROR(INDEX(Scoring_Rules!$C$47:$C$50,MATCH(X70,Scoring_Rules!$B$47:$B$50,0)),0)*Scoring_Rules!$C$10+IFERROR(INDEX(Scoring_Rules!$C$28:$C$31,MATCH(R70,Scoring_Rules!$B$28:$B$31,0)),0)*Scoring_Rules!$C$11,1),"")</x:f>
        <x:v>42</x:v>
      </x:c>
      <x:c r="AF70" s="35">
        <x:v>7</x:v>
      </x:c>
      <x:c r="AG70" s="33" t="s">
        <x:v>636</x:v>
      </x:c>
      <x:c r="AH70" s="36">
        <x:v>46306</x:v>
      </x:c>
      <x:c r="AI70" s="33" t="s">
        <x:v>125</x:v>
      </x:c>
      <x:c r="AJ70" s="34" t="s">
        <x:v>445</x:v>
      </x:c>
    </x:row>
    <x:row r="71" ht="34.5" customHeight="1">
      <x:c r="A71" s="31" t="s">
        <x:v>637</x:v>
      </x:c>
      <x:c r="B71" s="31" t="s">
        <x:v>638</x:v>
      </x:c>
      <x:c r="C71" s="31" t="s">
        <x:v>614</x:v>
      </x:c>
      <x:c r="D71" s="32" t="s">
        <x:v>639</x:v>
      </x:c>
      <x:c r="E71" s="32" t="str">
        <x:v>Functional Migration Only</x:v>
      </x:c>
      <x:c r="F71" s="33" t="s">
        <x:v>118</x:v>
      </x:c>
      <x:c r="G71" s="34" t="s">
        <x:v>635</x:v>
      </x:c>
      <x:c r="H71" s="33" t="s">
        <x:v>87</x:v>
      </x:c>
      <x:c r="I71" s="33" t="s">
        <x:v>617</x:v>
      </x:c>
      <x:c r="J71" s="33" t="s">
        <x:v>82</x:v>
      </x:c>
      <x:c r="K71" s="33" t="s">
        <x:v>56</x:v>
      </x:c>
      <x:c r="L71" s="33" t="s">
        <x:v>71</x:v>
      </x:c>
      <x:c r="M71" s="35">
        <x:v>10</x:v>
      </x:c>
      <x:c r="N71" s="35">
        <x:v>88656</x:v>
      </x:c>
      <x:c r="O71" s="33" t="s">
        <x:v>98</x:v>
      </x:c>
      <x:c r="P71" s="33" t="s">
        <x:v>101</x:v>
      </x:c>
      <x:c r="Q71" s="33" t="s">
        <x:v>120</x:v>
      </x:c>
      <x:c r="R71" s="33" t="s">
        <x:v>115</x:v>
      </x:c>
      <x:c r="S71" s="31" t="s">
        <x:v>369</x:v>
      </x:c>
      <x:c r="T71" s="31" t="s">
        <x:v>370</x:v>
      </x:c>
      <x:c r="U71" s="31" t="s">
        <x:v>471</x:v>
      </x:c>
      <x:c r="V71" s="33" t="s">
        <x:v>277</x:v>
      </x:c>
      <x:c r="W71" s="33"/>
      <x:c r="X71" s="33" t="s">
        <x:v>238</x:v>
      </x:c>
      <x:c r="Y71" s="36"/>
      <x:c r="Z71" s="36"/>
      <x:c r="AA71" s="33" t="s">
        <x:v>120</x:v>
      </x:c>
      <x:c r="AB71" s="37" t="n">
        <x:f>IFERROR(INDEX(Effort_Model!$J$6:$J$33,MATCH(K71&amp;"|"&amp;L71,Effort_Model!$B$6:$B$33,0)),"")</x:f>
        <x:v>18.4</x:v>
      </x:c>
      <x:c r="AC71" s="38">
        <x:v>99.7</x:v>
      </x:c>
      <x:c r="AD71" s="37">
        <x:f t="shared" si="1"/>
        <x:v>118.1</x:v>
      </x:c>
      <x:c r="AE71" s="37" t="n">
        <x:f>IFERROR(ROUND(IFERROR(INDEX(Scoring_Rules!$C$43:$C$44,MATCH(Q71,Scoring_Rules!$B$43:$B$44,0)),0)*Scoring_Rules!$C$6+IFERROR(INDEX(Scoring_Rules!$C$34:$C$40,MATCH(K71,Scoring_Rules!$B$34:$B$40,0)),0)*Scoring_Rules!$C$7+IFERROR(INDEX(Scoring_Rules!$C$16:$C$19,MATCH(P71,Scoring_Rules!$B$16:$B$19,0)),0)*Scoring_Rules!$C$8+IFERROR(INDEX(Scoring_Rules!$C$22:$C$25,MATCH(O71,Scoring_Rules!$B$22:$B$25,0)),0)*Scoring_Rules!$C$9+IFERROR(INDEX(Scoring_Rules!$C$47:$C$50,MATCH(X71,Scoring_Rules!$B$47:$B$50,0)),0)*Scoring_Rules!$C$10+IFERROR(INDEX(Scoring_Rules!$C$28:$C$31,MATCH(R71,Scoring_Rules!$B$28:$B$31,0)),0)*Scoring_Rules!$C$11,1),"")</x:f>
        <x:v>57</x:v>
      </x:c>
      <x:c r="AF71" s="35">
        <x:v>2</x:v>
      </x:c>
      <x:c r="AG71" s="33" t="s">
        <x:v>619</x:v>
      </x:c>
      <x:c r="AH71" s="36">
        <x:v>46390</x:v>
      </x:c>
      <x:c r="AI71" s="33" t="s">
        <x:v>124</x:v>
      </x:c>
      <x:c r="AJ71" s="34"/>
    </x:row>
    <x:row r="72" ht="15" customHeight="1">
      <x:c r="A72" s="31" t="s">
        <x:v>640</x:v>
      </x:c>
      <x:c r="B72" s="31" t="s">
        <x:v>641</x:v>
      </x:c>
      <x:c r="C72" s="31" t="s">
        <x:v>614</x:v>
      </x:c>
      <x:c r="D72" s="32" t="s">
        <x:v>642</x:v>
      </x:c>
      <x:c r="E72" s="32" t="str">
        <x:v>Functional Migration Only</x:v>
      </x:c>
      <x:c r="F72" s="33" t="s">
        <x:v>120</x:v>
      </x:c>
      <x:c r="G72" s="34" t="s">
        <x:v>643</x:v>
      </x:c>
      <x:c r="H72" s="33" t="s">
        <x:v>87</x:v>
      </x:c>
      <x:c r="I72" s="33" t="s">
        <x:v>617</x:v>
      </x:c>
      <x:c r="J72" s="33" t="s">
        <x:v>82</x:v>
      </x:c>
      <x:c r="K72" s="33" t="s">
        <x:v>60</x:v>
      </x:c>
      <x:c r="L72" s="33" t="s">
        <x:v>75</x:v>
      </x:c>
      <x:c r="M72" s="35">
        <x:v>40</x:v>
      </x:c>
      <x:c r="N72" s="35">
        <x:v>6252739</x:v>
      </x:c>
      <x:c r="O72" s="33" t="s">
        <x:v>73</x:v>
      </x:c>
      <x:c r="P72" s="33" t="s">
        <x:v>101</x:v>
      </x:c>
      <x:c r="Q72" s="33" t="s">
        <x:v>120</x:v>
      </x:c>
      <x:c r="R72" s="33" t="s">
        <x:v>101</x:v>
      </x:c>
      <x:c r="S72" s="31" t="s">
        <x:v>644</x:v>
      </x:c>
      <x:c r="T72" s="31" t="s">
        <x:v>645</x:v>
      </x:c>
      <x:c r="U72" s="31" t="s">
        <x:v>276</x:v>
      </x:c>
      <x:c r="V72" s="33" t="s">
        <x:v>329</x:v>
      </x:c>
      <x:c r="W72" s="33"/>
      <x:c r="X72" s="33" t="s">
        <x:v>238</x:v>
      </x:c>
      <x:c r="Y72" s="36"/>
      <x:c r="Z72" s="36"/>
      <x:c r="AA72" s="33" t="s">
        <x:v>120</x:v>
      </x:c>
      <x:c r="AB72" s="37" t="n">
        <x:f>IFERROR(INDEX(Effort_Model!$J$6:$J$33,MATCH(K72&amp;"|"&amp;L72,Effort_Model!$B$6:$B$33,0)),"")</x:f>
        <x:v>42.4</x:v>
      </x:c>
      <x:c r="AC72" s="38">
        <x:v>509.7</x:v>
      </x:c>
      <x:c r="AD72" s="37">
        <x:f t="shared" si="1"/>
        <x:v>623.03330000000005</x:v>
      </x:c>
      <x:c r="AE72" s="37" t="n">
        <x:f>IFERROR(ROUND(IFERROR(INDEX(Scoring_Rules!$C$43:$C$44,MATCH(Q72,Scoring_Rules!$B$43:$B$44,0)),0)*Scoring_Rules!$C$6+IFERROR(INDEX(Scoring_Rules!$C$34:$C$40,MATCH(K72,Scoring_Rules!$B$34:$B$40,0)),0)*Scoring_Rules!$C$7+IFERROR(INDEX(Scoring_Rules!$C$16:$C$19,MATCH(P72,Scoring_Rules!$B$16:$B$19,0)),0)*Scoring_Rules!$C$8+IFERROR(INDEX(Scoring_Rules!$C$22:$C$25,MATCH(O72,Scoring_Rules!$B$22:$B$25,0)),0)*Scoring_Rules!$C$9+IFERROR(INDEX(Scoring_Rules!$C$47:$C$50,MATCH(X72,Scoring_Rules!$B$47:$B$50,0)),0)*Scoring_Rules!$C$10+IFERROR(INDEX(Scoring_Rules!$C$28:$C$31,MATCH(R72,Scoring_Rules!$B$28:$B$31,0)),0)*Scoring_Rules!$C$11,1),"")</x:f>
        <x:v>49.3</x:v>
      </x:c>
      <x:c r="AF72" s="35">
        <x:v>6</x:v>
      </x:c>
      <x:c r="AG72" s="33" t="s">
        <x:v>625</x:v>
      </x:c>
      <x:c r="AH72" s="36">
        <x:v>46362</x:v>
      </x:c>
      <x:c r="AI72" s="33" t="s">
        <x:v>127</x:v>
      </x:c>
      <x:c r="AJ72" s="34" t="s">
        <x:v>383</x:v>
      </x:c>
    </x:row>
    <x:row r="73" ht="23.25" customHeight="1">
      <x:c r="A73" s="31" t="s">
        <x:v>646</x:v>
      </x:c>
      <x:c r="B73" s="31" t="s">
        <x:v>647</x:v>
      </x:c>
      <x:c r="C73" s="31" t="s">
        <x:v>614</x:v>
      </x:c>
      <x:c r="D73" s="32" t="s">
        <x:v>615</x:v>
      </x:c>
      <x:c r="E73" s="32" t="str">
        <x:v>Functional Migration Only</x:v>
      </x:c>
      <x:c r="F73" s="33" t="s">
        <x:v>118</x:v>
      </x:c>
      <x:c r="G73" s="34" t="s">
        <x:v>622</x:v>
      </x:c>
      <x:c r="H73" s="33" t="s">
        <x:v>87</x:v>
      </x:c>
      <x:c r="I73" s="33" t="s">
        <x:v>617</x:v>
      </x:c>
      <x:c r="J73" s="33" t="s">
        <x:v>82</x:v>
      </x:c>
      <x:c r="K73" s="33" t="s">
        <x:v>58</x:v>
      </x:c>
      <x:c r="L73" s="33" t="s">
        <x:v>73</x:v>
      </x:c>
      <x:c r="M73" s="35">
        <x:v>13</x:v>
      </x:c>
      <x:c r="N73" s="35">
        <x:v>1007689</x:v>
      </x:c>
      <x:c r="O73" s="33" t="s">
        <x:v>101</x:v>
      </x:c>
      <x:c r="P73" s="33" t="s">
        <x:v>73</x:v>
      </x:c>
      <x:c r="Q73" s="33" t="s">
        <x:v>120</x:v>
      </x:c>
      <x:c r="R73" s="33" t="s">
        <x:v>101</x:v>
      </x:c>
      <x:c r="S73" s="31" t="s">
        <x:v>644</x:v>
      </x:c>
      <x:c r="T73" s="31" t="s">
        <x:v>645</x:v>
      </x:c>
      <x:c r="U73" s="31" t="s">
        <x:v>276</x:v>
      </x:c>
      <x:c r="V73" s="33" t="s">
        <x:v>289</x:v>
      </x:c>
      <x:c r="W73" s="33" t="s">
        <x:v>640</x:v>
      </x:c>
      <x:c r="X73" s="33" t="s">
        <x:v>240</x:v>
      </x:c>
      <x:c r="Y73" s="36">
        <x:v>46520</x:v>
      </x:c>
      <x:c r="Z73" s="36">
        <x:v>46941</x:v>
      </x:c>
      <x:c r="AA73" s="33" t="s">
        <x:v>120</x:v>
      </x:c>
      <x:c r="AB73" s="37" t="n">
        <x:f>IFERROR(INDEX(Effort_Model!$J$6:$J$33,MATCH(K73&amp;"|"&amp;L73,Effort_Model!$B$6:$B$33,0)),"")</x:f>
        <x:v>26.4</x:v>
      </x:c>
      <x:c r="AC73" s="38">
        <x:v>247.7</x:v>
      </x:c>
      <x:c r="AD73" s="37">
        <x:f t="shared" si="1"/>
        <x:v>292.7</x:v>
      </x:c>
      <x:c r="AE73" s="37" t="n">
        <x:f>IFERROR(ROUND(IFERROR(INDEX(Scoring_Rules!$C$43:$C$44,MATCH(Q73,Scoring_Rules!$B$43:$B$44,0)),0)*Scoring_Rules!$C$6+IFERROR(INDEX(Scoring_Rules!$C$34:$C$40,MATCH(K73,Scoring_Rules!$B$34:$B$40,0)),0)*Scoring_Rules!$C$7+IFERROR(INDEX(Scoring_Rules!$C$16:$C$19,MATCH(P73,Scoring_Rules!$B$16:$B$19,0)),0)*Scoring_Rules!$C$8+IFERROR(INDEX(Scoring_Rules!$C$22:$C$25,MATCH(O73,Scoring_Rules!$B$22:$B$25,0)),0)*Scoring_Rules!$C$9+IFERROR(INDEX(Scoring_Rules!$C$47:$C$50,MATCH(X73,Scoring_Rules!$B$47:$B$50,0)),0)*Scoring_Rules!$C$10+IFERROR(INDEX(Scoring_Rules!$C$28:$C$31,MATCH(R73,Scoring_Rules!$B$28:$B$31,0)),0)*Scoring_Rules!$C$11,1),"")</x:f>
        <x:v>43.5</x:v>
      </x:c>
      <x:c r="AF73" s="35">
        <x:v>4</x:v>
      </x:c>
      <x:c r="AG73" s="33" t="s">
        <x:v>632</x:v>
      </x:c>
      <x:c r="AH73" s="36">
        <x:v>46356</x:v>
      </x:c>
      <x:c r="AI73" s="33" t="s">
        <x:v>126</x:v>
      </x:c>
      <x:c r="AJ73" s="34"/>
    </x:row>
    <x:row r="74" ht="23.25" customHeight="1">
      <x:c r="A74" s="31" t="s">
        <x:v>648</x:v>
      </x:c>
      <x:c r="B74" s="31" t="s">
        <x:v>649</x:v>
      </x:c>
      <x:c r="C74" s="31" t="s">
        <x:v>614</x:v>
      </x:c>
      <x:c r="D74" s="32" t="s">
        <x:v>615</x:v>
      </x:c>
      <x:c r="E74" s="32" t="str">
        <x:v>Functional Migration Only</x:v>
      </x:c>
      <x:c r="F74" s="33" t="s">
        <x:v>118</x:v>
      </x:c>
      <x:c r="G74" s="34" t="s">
        <x:v>616</x:v>
      </x:c>
      <x:c r="H74" s="33" t="s">
        <x:v>87</x:v>
      </x:c>
      <x:c r="I74" s="33" t="s">
        <x:v>617</x:v>
      </x:c>
      <x:c r="J74" s="33" t="s">
        <x:v>82</x:v>
      </x:c>
      <x:c r="K74" s="33" t="s">
        <x:v>58</x:v>
      </x:c>
      <x:c r="L74" s="33" t="s">
        <x:v>73</x:v>
      </x:c>
      <x:c r="M74" s="35">
        <x:v>25</x:v>
      </x:c>
      <x:c r="N74" s="35">
        <x:v>1403974</x:v>
      </x:c>
      <x:c r="O74" s="33" t="s">
        <x:v>101</x:v>
      </x:c>
      <x:c r="P74" s="33" t="s">
        <x:v>73</x:v>
      </x:c>
      <x:c r="Q74" s="33" t="s">
        <x:v>120</x:v>
      </x:c>
      <x:c r="R74" s="33" t="s">
        <x:v>101</x:v>
      </x:c>
      <x:c r="S74" s="31" t="s">
        <x:v>650</x:v>
      </x:c>
      <x:c r="T74" s="31" t="s">
        <x:v>651</x:v>
      </x:c>
      <x:c r="U74" s="31" t="s">
        <x:v>276</x:v>
      </x:c>
      <x:c r="V74" s="33" t="s">
        <x:v>379</x:v>
      </x:c>
      <x:c r="W74" s="33"/>
      <x:c r="X74" s="33" t="s">
        <x:v>238</x:v>
      </x:c>
      <x:c r="Y74" s="36"/>
      <x:c r="Z74" s="36"/>
      <x:c r="AA74" s="33" t="s">
        <x:v>120</x:v>
      </x:c>
      <x:c r="AB74" s="37" t="n">
        <x:f>IFERROR(INDEX(Effort_Model!$J$6:$J$33,MATCH(K74&amp;"|"&amp;L74,Effort_Model!$B$6:$B$33,0)),"")</x:f>
        <x:v>26.4</x:v>
      </x:c>
      <x:c r="AC74" s="38">
        <x:v>258.89999999999998</x:v>
      </x:c>
      <x:c r="AD74" s="37">
        <x:f t="shared" si="1"/>
        <x:v>303.89999999999998</x:v>
      </x:c>
      <x:c r="AE74" s="37" t="n">
        <x:f>IFERROR(ROUND(IFERROR(INDEX(Scoring_Rules!$C$43:$C$44,MATCH(Q74,Scoring_Rules!$B$43:$B$44,0)),0)*Scoring_Rules!$C$6+IFERROR(INDEX(Scoring_Rules!$C$34:$C$40,MATCH(K74,Scoring_Rules!$B$34:$B$40,0)),0)*Scoring_Rules!$C$7+IFERROR(INDEX(Scoring_Rules!$C$16:$C$19,MATCH(P74,Scoring_Rules!$B$16:$B$19,0)),0)*Scoring_Rules!$C$8+IFERROR(INDEX(Scoring_Rules!$C$22:$C$25,MATCH(O74,Scoring_Rules!$B$22:$B$25,0)),0)*Scoring_Rules!$C$9+IFERROR(INDEX(Scoring_Rules!$C$47:$C$50,MATCH(X74,Scoring_Rules!$B$47:$B$50,0)),0)*Scoring_Rules!$C$10+IFERROR(INDEX(Scoring_Rules!$C$28:$C$31,MATCH(R74,Scoring_Rules!$B$28:$B$31,0)),0)*Scoring_Rules!$C$11,1),"")</x:f>
        <x:v>54</x:v>
      </x:c>
      <x:c r="AF74" s="35">
        <x:v>3</x:v>
      </x:c>
      <x:c r="AG74" s="33" t="s">
        <x:v>636</x:v>
      </x:c>
      <x:c r="AH74" s="36">
        <x:v>46361</x:v>
      </x:c>
      <x:c r="AI74" s="33" t="s">
        <x:v>124</x:v>
      </x:c>
      <x:c r="AJ74" s="34" t="s">
        <x:v>336</x:v>
      </x:c>
    </x:row>
    <x:row r="75" ht="23.25" customHeight="1">
      <x:c r="A75" s="31" t="s">
        <x:v>652</x:v>
      </x:c>
      <x:c r="B75" s="31" t="s">
        <x:v>653</x:v>
      </x:c>
      <x:c r="C75" s="31" t="s">
        <x:v>614</x:v>
      </x:c>
      <x:c r="D75" s="32" t="s">
        <x:v>615</x:v>
      </x:c>
      <x:c r="E75" s="32" t="str">
        <x:v>Data Migration Only</x:v>
      </x:c>
      <x:c r="F75" s="33" t="s">
        <x:v>118</x:v>
      </x:c>
      <x:c r="G75" s="34" t="s">
        <x:v>616</x:v>
      </x:c>
      <x:c r="H75" s="33" t="s">
        <x:v>87</x:v>
      </x:c>
      <x:c r="I75" s="33" t="s">
        <x:v>617</x:v>
      </x:c>
      <x:c r="J75" s="33" t="s">
        <x:v>80</x:v>
      </x:c>
      <x:c r="K75" s="33" t="s">
        <x:v>62</x:v>
      </x:c>
      <x:c r="L75" s="33" t="s">
        <x:v>73</x:v>
      </x:c>
      <x:c r="M75" s="35">
        <x:v>53</x:v>
      </x:c>
      <x:c r="N75" s="35">
        <x:v>78506301</x:v>
      </x:c>
      <x:c r="O75" s="33" t="s">
        <x:v>73</x:v>
      </x:c>
      <x:c r="P75" s="33" t="s">
        <x:v>73</x:v>
      </x:c>
      <x:c r="Q75" s="33" t="s">
        <x:v>120</x:v>
      </x:c>
      <x:c r="R75" s="33" t="s">
        <x:v>115</x:v>
      </x:c>
      <x:c r="S75" s="31" t="s">
        <x:v>654</x:v>
      </x:c>
      <x:c r="T75" s="31" t="s">
        <x:v>655</x:v>
      </x:c>
      <x:c r="U75" s="31" t="s">
        <x:v>276</x:v>
      </x:c>
      <x:c r="V75" s="33" t="s">
        <x:v>365</x:v>
      </x:c>
      <x:c r="W75" s="33" t="s">
        <x:v>640</x:v>
      </x:c>
      <x:c r="X75" s="33" t="s">
        <x:v>240</x:v>
      </x:c>
      <x:c r="Y75" s="36"/>
      <x:c r="Z75" s="36"/>
      <x:c r="AA75" s="33" t="s">
        <x:v>120</x:v>
      </x:c>
      <x:c r="AB75" s="37" t="n">
        <x:f>IFERROR(INDEX(Effort_Model!$J$6:$J$33,MATCH(K75&amp;"|"&amp;L75,Effort_Model!$B$6:$B$33,0)),"")</x:f>
        <x:v>74.4</x:v>
      </x:c>
      <x:c r="AC75" s="38">
        <x:v>446.5</x:v>
      </x:c>
      <x:c r="AD75" s="37">
        <x:f t="shared" si="1"/>
        <x:v>587.5</x:v>
      </x:c>
      <x:c r="AE75" s="37" t="n">
        <x:f>IFERROR(ROUND(IFERROR(INDEX(Scoring_Rules!$C$43:$C$44,MATCH(Q75,Scoring_Rules!$B$43:$B$44,0)),0)*Scoring_Rules!$C$6+IFERROR(INDEX(Scoring_Rules!$C$34:$C$40,MATCH(K75,Scoring_Rules!$B$34:$B$40,0)),0)*Scoring_Rules!$C$7+IFERROR(INDEX(Scoring_Rules!$C$16:$C$19,MATCH(P75,Scoring_Rules!$B$16:$B$19,0)),0)*Scoring_Rules!$C$8+IFERROR(INDEX(Scoring_Rules!$C$22:$C$25,MATCH(O75,Scoring_Rules!$B$22:$B$25,0)),0)*Scoring_Rules!$C$9+IFERROR(INDEX(Scoring_Rules!$C$47:$C$50,MATCH(X75,Scoring_Rules!$B$47:$B$50,0)),0)*Scoring_Rules!$C$10+IFERROR(INDEX(Scoring_Rules!$C$28:$C$31,MATCH(R75,Scoring_Rules!$B$28:$B$31,0)),0)*Scoring_Rules!$C$11,1),"")</x:f>
        <x:v>40</x:v>
      </x:c>
      <x:c r="AF75" s="35">
        <x:v>4</x:v>
      </x:c>
      <x:c r="AG75" s="33" t="s">
        <x:v>619</x:v>
      </x:c>
      <x:c r="AH75" s="36">
        <x:v>46328</x:v>
      </x:c>
      <x:c r="AI75" s="33" t="s">
        <x:v>127</x:v>
      </x:c>
      <x:c r="AJ75" s="34"/>
    </x:row>
    <x:row r="76" ht="23.25" customHeight="1">
      <x:c r="A76" s="31" t="s">
        <x:v>656</x:v>
      </x:c>
      <x:c r="B76" s="31" t="s">
        <x:v>657</x:v>
      </x:c>
      <x:c r="C76" s="31" t="s">
        <x:v>614</x:v>
      </x:c>
      <x:c r="D76" s="32" t="s">
        <x:v>615</x:v>
      </x:c>
      <x:c r="E76" s="32" t="str">
        <x:v>Functional Migration Only</x:v>
      </x:c>
      <x:c r="F76" s="33" t="s">
        <x:v>118</x:v>
      </x:c>
      <x:c r="G76" s="34" t="s">
        <x:v>635</x:v>
      </x:c>
      <x:c r="H76" s="33" t="s">
        <x:v>87</x:v>
      </x:c>
      <x:c r="I76" s="33" t="s">
        <x:v>617</x:v>
      </x:c>
      <x:c r="J76" s="33" t="s">
        <x:v>82</x:v>
      </x:c>
      <x:c r="K76" s="33" t="s">
        <x:v>62</x:v>
      </x:c>
      <x:c r="L76" s="33" t="s">
        <x:v>75</x:v>
      </x:c>
      <x:c r="M76" s="35">
        <x:v>75</x:v>
      </x:c>
      <x:c r="N76" s="35">
        <x:v>64604930</x:v>
      </x:c>
      <x:c r="O76" s="33" t="s">
        <x:v>101</x:v>
      </x:c>
      <x:c r="P76" s="33" t="s">
        <x:v>101</x:v>
      </x:c>
      <x:c r="Q76" s="33" t="s">
        <x:v>120</x:v>
      </x:c>
      <x:c r="R76" s="33" t="s">
        <x:v>101</x:v>
      </x:c>
      <x:c r="S76" s="31" t="s">
        <x:v>658</x:v>
      </x:c>
      <x:c r="T76" s="31" t="s">
        <x:v>659</x:v>
      </x:c>
      <x:c r="U76" s="31" t="s">
        <x:v>276</x:v>
      </x:c>
      <x:c r="V76" s="33" t="s">
        <x:v>379</x:v>
      </x:c>
      <x:c r="W76" s="33"/>
      <x:c r="X76" s="33" t="s">
        <x:v>238</x:v>
      </x:c>
      <x:c r="Y76" s="36">
        <x:v>46406</x:v>
      </x:c>
      <x:c r="Z76" s="36"/>
      <x:c r="AA76" s="33" t="s">
        <x:v>120</x:v>
      </x:c>
      <x:c r="AB76" s="37" t="n">
        <x:f>IFERROR(INDEX(Effort_Model!$J$6:$J$33,MATCH(K76&amp;"|"&amp;L76,Effort_Model!$B$6:$B$33,0)),"")</x:f>
        <x:v>74.4</x:v>
      </x:c>
      <x:c r="AC76" s="38">
        <x:v>990.7</x:v>
      </x:c>
      <x:c r="AD76" s="37">
        <x:f t="shared" si="1"/>
        <x:v>1200.0333000000001</x:v>
      </x:c>
      <x:c r="AE76" s="37" t="n">
        <x:f>IFERROR(ROUND(IFERROR(INDEX(Scoring_Rules!$C$43:$C$44,MATCH(Q76,Scoring_Rules!$B$43:$B$44,0)),0)*Scoring_Rules!$C$6+IFERROR(INDEX(Scoring_Rules!$C$34:$C$40,MATCH(K76,Scoring_Rules!$B$34:$B$40,0)),0)*Scoring_Rules!$C$7+IFERROR(INDEX(Scoring_Rules!$C$16:$C$19,MATCH(P76,Scoring_Rules!$B$16:$B$19,0)),0)*Scoring_Rules!$C$8+IFERROR(INDEX(Scoring_Rules!$C$22:$C$25,MATCH(O76,Scoring_Rules!$B$22:$B$25,0)),0)*Scoring_Rules!$C$9+IFERROR(INDEX(Scoring_Rules!$C$47:$C$50,MATCH(X76,Scoring_Rules!$B$47:$B$50,0)),0)*Scoring_Rules!$C$10+IFERROR(INDEX(Scoring_Rules!$C$28:$C$31,MATCH(R76,Scoring_Rules!$B$28:$B$31,0)),0)*Scoring_Rules!$C$11,1),"")</x:f>
        <x:v>40</x:v>
      </x:c>
      <x:c r="AF76" s="35">
        <x:v>7</x:v>
      </x:c>
      <x:c r="AG76" s="33" t="s">
        <x:v>625</x:v>
      </x:c>
      <x:c r="AH76" s="36">
        <x:v>46367</x:v>
      </x:c>
      <x:c r="AI76" s="33" t="s">
        <x:v>127</x:v>
      </x:c>
      <x:c r="AJ76" s="34"/>
    </x:row>
    <x:row r="77" ht="23.25" customHeight="1">
      <x:c r="A77" s="31" t="s">
        <x:v>660</x:v>
      </x:c>
      <x:c r="B77" s="31" t="s">
        <x:v>661</x:v>
      </x:c>
      <x:c r="C77" s="31" t="s">
        <x:v>614</x:v>
      </x:c>
      <x:c r="D77" s="32" t="s">
        <x:v>615</x:v>
      </x:c>
      <x:c r="E77" s="32" t="str">
        <x:v>Data Migration Only</x:v>
      </x:c>
      <x:c r="F77" s="33" t="s">
        <x:v>118</x:v>
      </x:c>
      <x:c r="G77" s="34" t="s">
        <x:v>616</x:v>
      </x:c>
      <x:c r="H77" s="33" t="s">
        <x:v>87</x:v>
      </x:c>
      <x:c r="I77" s="33" t="s">
        <x:v>617</x:v>
      </x:c>
      <x:c r="J77" s="33" t="s">
        <x:v>80</x:v>
      </x:c>
      <x:c r="K77" s="33" t="s">
        <x:v>58</x:v>
      </x:c>
      <x:c r="L77" s="33" t="s">
        <x:v>73</x:v>
      </x:c>
      <x:c r="M77" s="35">
        <x:v>30</x:v>
      </x:c>
      <x:c r="N77" s="35">
        <x:v>1293899</x:v>
      </x:c>
      <x:c r="O77" s="33" t="s">
        <x:v>98</x:v>
      </x:c>
      <x:c r="P77" s="33" t="s">
        <x:v>101</x:v>
      </x:c>
      <x:c r="Q77" s="33" t="s">
        <x:v>120</x:v>
      </x:c>
      <x:c r="R77" s="33" t="s">
        <x:v>115</x:v>
      </x:c>
      <x:c r="S77" s="31" t="s">
        <x:v>662</x:v>
      </x:c>
      <x:c r="T77" s="31" t="s">
        <x:v>663</x:v>
      </x:c>
      <x:c r="U77" s="31" t="s">
        <x:v>276</x:v>
      </x:c>
      <x:c r="V77" s="33" t="s">
        <x:v>379</x:v>
      </x:c>
      <x:c r="W77" s="33" t="s">
        <x:v>646</x:v>
      </x:c>
      <x:c r="X77" s="33" t="s">
        <x:v>240</x:v>
      </x:c>
      <x:c r="Y77" s="36"/>
      <x:c r="Z77" s="36"/>
      <x:c r="AA77" s="33" t="s">
        <x:v>120</x:v>
      </x:c>
      <x:c r="AB77" s="37" t="n">
        <x:f>IFERROR(INDEX(Effort_Model!$J$6:$J$33,MATCH(K77&amp;"|"&amp;L77,Effort_Model!$B$6:$B$33,0)),"")</x:f>
        <x:v>26.4</x:v>
      </x:c>
      <x:c r="AC77" s="38">
        <x:v>154.5</x:v>
      </x:c>
      <x:c r="AD77" s="37">
        <x:f t="shared" si="1"/>
        <x:v>199.5</x:v>
      </x:c>
      <x:c r="AE77" s="37" t="n">
        <x:f>IFERROR(ROUND(IFERROR(INDEX(Scoring_Rules!$C$43:$C$44,MATCH(Q77,Scoring_Rules!$B$43:$B$44,0)),0)*Scoring_Rules!$C$6+IFERROR(INDEX(Scoring_Rules!$C$34:$C$40,MATCH(K77,Scoring_Rules!$B$34:$B$40,0)),0)*Scoring_Rules!$C$7+IFERROR(INDEX(Scoring_Rules!$C$16:$C$19,MATCH(P77,Scoring_Rules!$B$16:$B$19,0)),0)*Scoring_Rules!$C$8+IFERROR(INDEX(Scoring_Rules!$C$22:$C$25,MATCH(O77,Scoring_Rules!$B$22:$B$25,0)),0)*Scoring_Rules!$C$9+IFERROR(INDEX(Scoring_Rules!$C$47:$C$50,MATCH(X77,Scoring_Rules!$B$47:$B$50,0)),0)*Scoring_Rules!$C$10+IFERROR(INDEX(Scoring_Rules!$C$28:$C$31,MATCH(R77,Scoring_Rules!$B$28:$B$31,0)),0)*Scoring_Rules!$C$11,1),"")</x:f>
        <x:v>44.5</x:v>
      </x:c>
      <x:c r="AF77" s="35">
        <x:v>3</x:v>
      </x:c>
      <x:c r="AG77" s="33" t="s">
        <x:v>632</x:v>
      </x:c>
      <x:c r="AH77" s="36">
        <x:v>46346</x:v>
      </x:c>
      <x:c r="AI77" s="33" t="s">
        <x:v>127</x:v>
      </x:c>
      <x:c r="AJ77" s="34"/>
    </x:row>
    <x:row r="78" ht="23.25" customHeight="1">
      <x:c r="A78" s="31" t="s">
        <x:v>664</x:v>
      </x:c>
      <x:c r="B78" s="31" t="s">
        <x:v>665</x:v>
      </x:c>
      <x:c r="C78" s="31" t="s">
        <x:v>614</x:v>
      </x:c>
      <x:c r="D78" s="32" t="s">
        <x:v>615</x:v>
      </x:c>
      <x:c r="E78" s="32" t="str">
        <x:v>Functional Migration Only</x:v>
      </x:c>
      <x:c r="F78" s="33" t="s">
        <x:v>118</x:v>
      </x:c>
      <x:c r="G78" s="34" t="s">
        <x:v>622</x:v>
      </x:c>
      <x:c r="H78" s="33" t="s">
        <x:v>87</x:v>
      </x:c>
      <x:c r="I78" s="33" t="s">
        <x:v>617</x:v>
      </x:c>
      <x:c r="J78" s="33" t="s">
        <x:v>82</x:v>
      </x:c>
      <x:c r="K78" s="33" t="s">
        <x:v>58</x:v>
      </x:c>
      <x:c r="L78" s="33" t="s">
        <x:v>73</x:v>
      </x:c>
      <x:c r="M78" s="35">
        <x:v>30</x:v>
      </x:c>
      <x:c r="N78" s="35">
        <x:v>886881</x:v>
      </x:c>
      <x:c r="O78" s="33" t="s">
        <x:v>98</x:v>
      </x:c>
      <x:c r="P78" s="33" t="s">
        <x:v>98</x:v>
      </x:c>
      <x:c r="Q78" s="33" t="s">
        <x:v>120</x:v>
      </x:c>
      <x:c r="R78" s="33" t="s">
        <x:v>101</x:v>
      </x:c>
      <x:c r="S78" s="31" t="s">
        <x:v>662</x:v>
      </x:c>
      <x:c r="T78" s="31" t="s">
        <x:v>663</x:v>
      </x:c>
      <x:c r="U78" s="31" t="s">
        <x:v>276</x:v>
      </x:c>
      <x:c r="V78" s="33" t="s">
        <x:v>277</x:v>
      </x:c>
      <x:c r="W78" s="33"/>
      <x:c r="X78" s="33" t="s">
        <x:v>238</x:v>
      </x:c>
      <x:c r="Y78" s="36">
        <x:v>46476</x:v>
      </x:c>
      <x:c r="Z78" s="36"/>
      <x:c r="AA78" s="33" t="s">
        <x:v>120</x:v>
      </x:c>
      <x:c r="AB78" s="37" t="n">
        <x:f>IFERROR(INDEX(Effort_Model!$J$6:$J$33,MATCH(K78&amp;"|"&amp;L78,Effort_Model!$B$6:$B$33,0)),"")</x:f>
        <x:v>26.4</x:v>
      </x:c>
      <x:c r="AC78" s="38">
        <x:v>255.5</x:v>
      </x:c>
      <x:c r="AD78" s="37">
        <x:f t="shared" si="1"/>
        <x:v>300.5</x:v>
      </x:c>
      <x:c r="AE78" s="37" t="n">
        <x:f>IFERROR(ROUND(IFERROR(INDEX(Scoring_Rules!$C$43:$C$44,MATCH(Q78,Scoring_Rules!$B$43:$B$44,0)),0)*Scoring_Rules!$C$6+IFERROR(INDEX(Scoring_Rules!$C$34:$C$40,MATCH(K78,Scoring_Rules!$B$34:$B$40,0)),0)*Scoring_Rules!$C$7+IFERROR(INDEX(Scoring_Rules!$C$16:$C$19,MATCH(P78,Scoring_Rules!$B$16:$B$19,0)),0)*Scoring_Rules!$C$8+IFERROR(INDEX(Scoring_Rules!$C$22:$C$25,MATCH(O78,Scoring_Rules!$B$22:$B$25,0)),0)*Scoring_Rules!$C$9+IFERROR(INDEX(Scoring_Rules!$C$47:$C$50,MATCH(X78,Scoring_Rules!$B$47:$B$50,0)),0)*Scoring_Rules!$C$10+IFERROR(INDEX(Scoring_Rules!$C$28:$C$31,MATCH(R78,Scoring_Rules!$B$28:$B$31,0)),0)*Scoring_Rules!$C$11,1),"")</x:f>
        <x:v>69.8</x:v>
      </x:c>
      <x:c r="AF78" s="35">
        <x:v>2</x:v>
      </x:c>
      <x:c r="AG78" s="33" t="s">
        <x:v>636</x:v>
      </x:c>
      <x:c r="AH78" s="36">
        <x:v>46399</x:v>
      </x:c>
      <x:c r="AI78" s="33" t="s">
        <x:v>126</x:v>
      </x:c>
      <x:c r="AJ78" s="34"/>
    </x:row>
    <x:row r="79" ht="15" customHeight="1">
      <x:c r="A79" s="31" t="s">
        <x:v>666</x:v>
      </x:c>
      <x:c r="B79" s="31" t="s">
        <x:v>667</x:v>
      </x:c>
      <x:c r="C79" s="31" t="s">
        <x:v>614</x:v>
      </x:c>
      <x:c r="D79" s="32"/>
      <x:c r="E79" s="32" t="str">
        <x:v>Data Migration Only</x:v>
      </x:c>
      <x:c r="F79" s="33" t="s">
        <x:v>118</x:v>
      </x:c>
      <x:c r="G79" s="34" t="s">
        <x:v>561</x:v>
      </x:c>
      <x:c r="H79" s="33" t="s">
        <x:v>89</x:v>
      </x:c>
      <x:c r="I79" s="33" t="s">
        <x:v>617</x:v>
      </x:c>
      <x:c r="J79" s="33" t="s">
        <x:v>80</x:v>
      </x:c>
      <x:c r="K79" s="33" t="s">
        <x:v>60</x:v>
      </x:c>
      <x:c r="L79" s="33" t="s">
        <x:v>75</x:v>
      </x:c>
      <x:c r="M79" s="35">
        <x:v>32</x:v>
      </x:c>
      <x:c r="N79" s="35">
        <x:v>5864180</x:v>
      </x:c>
      <x:c r="O79" s="33" t="s">
        <x:v>101</x:v>
      </x:c>
      <x:c r="P79" s="33" t="s">
        <x:v>73</x:v>
      </x:c>
      <x:c r="Q79" s="33" t="s">
        <x:v>120</x:v>
      </x:c>
      <x:c r="R79" s="33" t="s">
        <x:v>98</x:v>
      </x:c>
      <x:c r="S79" s="31" t="s">
        <x:v>668</x:v>
      </x:c>
      <x:c r="T79" s="31" t="s">
        <x:v>669</x:v>
      </x:c>
      <x:c r="U79" s="31" t="s">
        <x:v>276</x:v>
      </x:c>
      <x:c r="V79" s="33" t="s">
        <x:v>365</x:v>
      </x:c>
      <x:c r="W79" s="33" t="s">
        <x:v>646</x:v>
      </x:c>
      <x:c r="X79" s="33" t="s">
        <x:v>241</x:v>
      </x:c>
      <x:c r="Y79" s="36"/>
      <x:c r="Z79" s="36"/>
      <x:c r="AA79" s="33" t="s">
        <x:v>120</x:v>
      </x:c>
      <x:c r="AB79" s="37" t="n">
        <x:f>IFERROR(INDEX(Effort_Model!$J$6:$J$33,MATCH(K79&amp;"|"&amp;L79,Effort_Model!$B$6:$B$33,0)),"")</x:f>
        <x:v>42.4</x:v>
      </x:c>
      <x:c r="AC79" s="38">
        <x:v>316.60000000000002</x:v>
      </x:c>
      <x:c r="AD79" s="37">
        <x:f t="shared" si="1"/>
        <x:v>429.93330000000003</x:v>
      </x:c>
      <x:c r="AE79" s="37" t="n">
        <x:f>IFERROR(ROUND(IFERROR(INDEX(Scoring_Rules!$C$43:$C$44,MATCH(Q79,Scoring_Rules!$B$43:$B$44,0)),0)*Scoring_Rules!$C$6+IFERROR(INDEX(Scoring_Rules!$C$34:$C$40,MATCH(K79,Scoring_Rules!$B$34:$B$40,0)),0)*Scoring_Rules!$C$7+IFERROR(INDEX(Scoring_Rules!$C$16:$C$19,MATCH(P79,Scoring_Rules!$B$16:$B$19,0)),0)*Scoring_Rules!$C$8+IFERROR(INDEX(Scoring_Rules!$C$22:$C$25,MATCH(O79,Scoring_Rules!$B$22:$B$25,0)),0)*Scoring_Rules!$C$9+IFERROR(INDEX(Scoring_Rules!$C$47:$C$50,MATCH(X79,Scoring_Rules!$B$47:$B$50,0)),0)*Scoring_Rules!$C$10+IFERROR(INDEX(Scoring_Rules!$C$28:$C$31,MATCH(R79,Scoring_Rules!$B$28:$B$31,0)),0)*Scoring_Rules!$C$11,1),"")</x:f>
        <x:v>39.3</x:v>
      </x:c>
      <x:c r="AF79" s="35"/>
      <x:c r="AG79" s="33" t="s">
        <x:v>619</x:v>
      </x:c>
      <x:c r="AH79" s="36">
        <x:v>46399</x:v>
      </x:c>
      <x:c r="AI79" s="33" t="s">
        <x:v>127</x:v>
      </x:c>
      <x:c r="AJ79" s="34"/>
    </x:row>
    <x:row r="80" ht="23.25" customHeight="1">
      <x:c r="A80" s="31" t="s">
        <x:v>670</x:v>
      </x:c>
      <x:c r="B80" s="31" t="s">
        <x:v>671</x:v>
      </x:c>
      <x:c r="C80" s="31" t="s">
        <x:v>614</x:v>
      </x:c>
      <x:c r="D80" s="32" t="s">
        <x:v>615</x:v>
      </x:c>
      <x:c r="E80" s="32" t="str">
        <x:v>Functional Migration Only</x:v>
      </x:c>
      <x:c r="F80" s="33" t="s">
        <x:v>118</x:v>
      </x:c>
      <x:c r="G80" s="34" t="s">
        <x:v>635</x:v>
      </x:c>
      <x:c r="H80" s="33" t="s">
        <x:v>87</x:v>
      </x:c>
      <x:c r="I80" s="33" t="s">
        <x:v>617</x:v>
      </x:c>
      <x:c r="J80" s="33" t="s">
        <x:v>82</x:v>
      </x:c>
      <x:c r="K80" s="33" t="s">
        <x:v>58</x:v>
      </x:c>
      <x:c r="L80" s="33" t="s">
        <x:v>75</x:v>
      </x:c>
      <x:c r="M80" s="35">
        <x:v>23</x:v>
      </x:c>
      <x:c r="N80" s="35">
        <x:v>1389486</x:v>
      </x:c>
      <x:c r="O80" s="33" t="s">
        <x:v>73</x:v>
      </x:c>
      <x:c r="P80" s="33" t="s">
        <x:v>109</x:v>
      </x:c>
      <x:c r="Q80" s="33" t="s">
        <x:v>120</x:v>
      </x:c>
      <x:c r="R80" s="33" t="s">
        <x:v>101</x:v>
      </x:c>
      <x:c r="S80" s="31" t="s">
        <x:v>672</x:v>
      </x:c>
      <x:c r="T80" s="31" t="s">
        <x:v>673</x:v>
      </x:c>
      <x:c r="U80" s="31" t="s">
        <x:v>276</x:v>
      </x:c>
      <x:c r="V80" s="33" t="s">
        <x:v>379</x:v>
      </x:c>
      <x:c r="W80" s="33"/>
      <x:c r="X80" s="33" t="s">
        <x:v>238</x:v>
      </x:c>
      <x:c r="Y80" s="36"/>
      <x:c r="Z80" s="36"/>
      <x:c r="AA80" s="33" t="s">
        <x:v>120</x:v>
      </x:c>
      <x:c r="AB80" s="37" t="n">
        <x:f>IFERROR(INDEX(Effort_Model!$J$6:$J$33,MATCH(K80&amp;"|"&amp;L80,Effort_Model!$B$6:$B$33,0)),"")</x:f>
        <x:v>26.4</x:v>
      </x:c>
      <x:c r="AC80" s="38">
        <x:v>284.8</x:v>
      </x:c>
      <x:c r="AD80" s="37">
        <x:f t="shared" si="1"/>
        <x:v>350.13330000000002</x:v>
      </x:c>
      <x:c r="AE80" s="37" t="n">
        <x:f>IFERROR(ROUND(IFERROR(INDEX(Scoring_Rules!$C$43:$C$44,MATCH(Q80,Scoring_Rules!$B$43:$B$44,0)),0)*Scoring_Rules!$C$6+IFERROR(INDEX(Scoring_Rules!$C$34:$C$40,MATCH(K80,Scoring_Rules!$B$34:$B$40,0)),0)*Scoring_Rules!$C$7+IFERROR(INDEX(Scoring_Rules!$C$16:$C$19,MATCH(P80,Scoring_Rules!$B$16:$B$19,0)),0)*Scoring_Rules!$C$8+IFERROR(INDEX(Scoring_Rules!$C$22:$C$25,MATCH(O80,Scoring_Rules!$B$22:$B$25,0)),0)*Scoring_Rules!$C$9+IFERROR(INDEX(Scoring_Rules!$C$47:$C$50,MATCH(X80,Scoring_Rules!$B$47:$B$50,0)),0)*Scoring_Rules!$C$10+IFERROR(INDEX(Scoring_Rules!$C$28:$C$31,MATCH(R80,Scoring_Rules!$B$28:$B$31,0)),0)*Scoring_Rules!$C$11,1),"")</x:f>
        <x:v>45.3</x:v>
      </x:c>
      <x:c r="AF80" s="35">
        <x:v>6</x:v>
      </x:c>
      <x:c r="AG80" s="33" t="s">
        <x:v>625</x:v>
      </x:c>
      <x:c r="AH80" s="36">
        <x:v>46405</x:v>
      </x:c>
      <x:c r="AI80" s="33" t="s">
        <x:v>127</x:v>
      </x:c>
      <x:c r="AJ80" s="34"/>
    </x:row>
    <x:row r="81" ht="23.25" customHeight="1">
      <x:c r="A81" s="31" t="s">
        <x:v>674</x:v>
      </x:c>
      <x:c r="B81" s="31" t="s">
        <x:v>675</x:v>
      </x:c>
      <x:c r="C81" s="31" t="s">
        <x:v>614</x:v>
      </x:c>
      <x:c r="D81" s="32" t="s">
        <x:v>676</x:v>
      </x:c>
      <x:c r="E81" s="32" t="str">
        <x:v>Data Migration Only</x:v>
      </x:c>
      <x:c r="F81" s="33" t="s">
        <x:v>118</x:v>
      </x:c>
      <x:c r="G81" s="34" t="s">
        <x:v>616</x:v>
      </x:c>
      <x:c r="H81" s="33" t="s">
        <x:v>87</x:v>
      </x:c>
      <x:c r="I81" s="33" t="s">
        <x:v>617</x:v>
      </x:c>
      <x:c r="J81" s="33" t="s">
        <x:v>80</x:v>
      </x:c>
      <x:c r="K81" s="33" t="s">
        <x:v>58</x:v>
      </x:c>
      <x:c r="L81" s="33" t="s">
        <x:v>71</x:v>
      </x:c>
      <x:c r="M81" s="35">
        <x:v>19</x:v>
      </x:c>
      <x:c r="N81" s="35">
        <x:v>945915</x:v>
      </x:c>
      <x:c r="O81" s="33" t="s">
        <x:v>101</x:v>
      </x:c>
      <x:c r="P81" s="33" t="s">
        <x:v>98</x:v>
      </x:c>
      <x:c r="Q81" s="33" t="s">
        <x:v>120</x:v>
      </x:c>
      <x:c r="R81" s="33" t="s">
        <x:v>101</x:v>
      </x:c>
      <x:c r="S81" s="31" t="s">
        <x:v>677</x:v>
      </x:c>
      <x:c r="T81" s="31" t="s">
        <x:v>678</x:v>
      </x:c>
      <x:c r="U81" s="31" t="s">
        <x:v>276</x:v>
      </x:c>
      <x:c r="V81" s="33" t="s">
        <x:v>329</x:v>
      </x:c>
      <x:c r="W81" s="33"/>
      <x:c r="X81" s="33" t="s">
        <x:v>238</x:v>
      </x:c>
      <x:c r="Y81" s="36"/>
      <x:c r="Z81" s="36">
        <x:v>46983</x:v>
      </x:c>
      <x:c r="AA81" s="33" t="s">
        <x:v>120</x:v>
      </x:c>
      <x:c r="AB81" s="37" t="n">
        <x:f>IFERROR(INDEX(Effort_Model!$J$6:$J$33,MATCH(K81&amp;"|"&amp;L81,Effort_Model!$B$6:$B$33,0)),"")</x:f>
        <x:v>18.4</x:v>
      </x:c>
      <x:c r="AC81" s="38">
        <x:v>106.4</x:v>
      </x:c>
      <x:c r="AD81" s="37">
        <x:f t="shared" si="1"/>
        <x:v>132.80000000000001</x:v>
      </x:c>
      <x:c r="AE81" s="37" t="n">
        <x:f>IFERROR(ROUND(IFERROR(INDEX(Scoring_Rules!$C$43:$C$44,MATCH(Q81,Scoring_Rules!$B$43:$B$44,0)),0)*Scoring_Rules!$C$6+IFERROR(INDEX(Scoring_Rules!$C$34:$C$40,MATCH(K81,Scoring_Rules!$B$34:$B$40,0)),0)*Scoring_Rules!$C$7+IFERROR(INDEX(Scoring_Rules!$C$16:$C$19,MATCH(P81,Scoring_Rules!$B$16:$B$19,0)),0)*Scoring_Rules!$C$8+IFERROR(INDEX(Scoring_Rules!$C$22:$C$25,MATCH(O81,Scoring_Rules!$B$22:$B$25,0)),0)*Scoring_Rules!$C$9+IFERROR(INDEX(Scoring_Rules!$C$47:$C$50,MATCH(X81,Scoring_Rules!$B$47:$B$50,0)),0)*Scoring_Rules!$C$10+IFERROR(INDEX(Scoring_Rules!$C$28:$C$31,MATCH(R81,Scoring_Rules!$B$28:$B$31,0)),0)*Scoring_Rules!$C$11,1),"")</x:f>
        <x:v>60</x:v>
      </x:c>
      <x:c r="AF81" s="35">
        <x:v>2</x:v>
      </x:c>
      <x:c r="AG81" s="33" t="s">
        <x:v>632</x:v>
      </x:c>
      <x:c r="AH81" s="36">
        <x:v>46386</x:v>
      </x:c>
      <x:c r="AI81" s="33" t="s">
        <x:v>127</x:v>
      </x:c>
      <x:c r="AJ81" s="34" t="s">
        <x:v>342</x:v>
      </x:c>
    </x:row>
    <x:row r="82" ht="15" customHeight="1">
      <x:c r="A82" s="31" t="s">
        <x:v>679</x:v>
      </x:c>
      <x:c r="B82" s="31" t="s">
        <x:v>680</x:v>
      </x:c>
      <x:c r="C82" s="31" t="s">
        <x:v>614</x:v>
      </x:c>
      <x:c r="D82" s="32" t="s">
        <x:v>681</x:v>
      </x:c>
      <x:c r="E82" s="32" t="str">
        <x:v>Functional Migration Only</x:v>
      </x:c>
      <x:c r="F82" s="33" t="s">
        <x:v>118</x:v>
      </x:c>
      <x:c r="G82" s="34" t="s">
        <x:v>635</x:v>
      </x:c>
      <x:c r="H82" s="33" t="s">
        <x:v>87</x:v>
      </x:c>
      <x:c r="I82" s="33" t="s">
        <x:v>617</x:v>
      </x:c>
      <x:c r="J82" s="33" t="s">
        <x:v>82</x:v>
      </x:c>
      <x:c r="K82" s="33" t="s">
        <x:v>58</x:v>
      </x:c>
      <x:c r="L82" s="33" t="s">
        <x:v>75</x:v>
      </x:c>
      <x:c r="M82" s="35">
        <x:v>24</x:v>
      </x:c>
      <x:c r="N82" s="35">
        <x:v>534798</x:v>
      </x:c>
      <x:c r="O82" s="33" t="s">
        <x:v>73</x:v>
      </x:c>
      <x:c r="P82" s="33" t="s">
        <x:v>73</x:v>
      </x:c>
      <x:c r="Q82" s="33" t="s">
        <x:v>120</x:v>
      </x:c>
      <x:c r="R82" s="33" t="s">
        <x:v>101</x:v>
      </x:c>
      <x:c r="S82" s="31" t="s">
        <x:v>682</x:v>
      </x:c>
      <x:c r="T82" s="31" t="s">
        <x:v>683</x:v>
      </x:c>
      <x:c r="U82" s="31" t="s">
        <x:v>276</x:v>
      </x:c>
      <x:c r="V82" s="33" t="s">
        <x:v>329</x:v>
      </x:c>
      <x:c r="W82" s="33"/>
      <x:c r="X82" s="33" t="s">
        <x:v>238</x:v>
      </x:c>
      <x:c r="Y82" s="36"/>
      <x:c r="Z82" s="36"/>
      <x:c r="AA82" s="33" t="s">
        <x:v>120</x:v>
      </x:c>
      <x:c r="AB82" s="37" t="n">
        <x:f>IFERROR(INDEX(Effort_Model!$J$6:$J$33,MATCH(K82&amp;"|"&amp;L82,Effort_Model!$B$6:$B$33,0)),"")</x:f>
        <x:v>26.4</x:v>
      </x:c>
      <x:c r="AC82" s="38">
        <x:v>322.39999999999998</x:v>
      </x:c>
      <x:c r="AD82" s="37">
        <x:f t="shared" si="1"/>
        <x:v>387.73329999999999</x:v>
      </x:c>
      <x:c r="AE82" s="37" t="n">
        <x:f>IFERROR(ROUND(IFERROR(INDEX(Scoring_Rules!$C$43:$C$44,MATCH(Q82,Scoring_Rules!$B$43:$B$44,0)),0)*Scoring_Rules!$C$6+IFERROR(INDEX(Scoring_Rules!$C$34:$C$40,MATCH(K82,Scoring_Rules!$B$34:$B$40,0)),0)*Scoring_Rules!$C$7+IFERROR(INDEX(Scoring_Rules!$C$16:$C$19,MATCH(P82,Scoring_Rules!$B$16:$B$19,0)),0)*Scoring_Rules!$C$8+IFERROR(INDEX(Scoring_Rules!$C$22:$C$25,MATCH(O82,Scoring_Rules!$B$22:$B$25,0)),0)*Scoring_Rules!$C$9+IFERROR(INDEX(Scoring_Rules!$C$47:$C$50,MATCH(X82,Scoring_Rules!$B$47:$B$50,0)),0)*Scoring_Rules!$C$10+IFERROR(INDEX(Scoring_Rules!$C$28:$C$31,MATCH(R82,Scoring_Rules!$B$28:$B$31,0)),0)*Scoring_Rules!$C$11,1),"")</x:f>
        <x:v>59.3</x:v>
      </x:c>
      <x:c r="AF82" s="35">
        <x:v>4</x:v>
      </x:c>
      <x:c r="AG82" s="33" t="s">
        <x:v>636</x:v>
      </x:c>
      <x:c r="AH82" s="36">
        <x:v>46350</x:v>
      </x:c>
      <x:c r="AI82" s="33" t="s">
        <x:v>127</x:v>
      </x:c>
      <x:c r="AJ82" s="34" t="s">
        <x:v>354</x:v>
      </x:c>
    </x:row>
    <x:row r="83" ht="23.25" customHeight="1">
      <x:c r="A83" s="31" t="s">
        <x:v>684</x:v>
      </x:c>
      <x:c r="B83" s="31" t="s">
        <x:v>685</x:v>
      </x:c>
      <x:c r="C83" s="31" t="s">
        <x:v>686</x:v>
      </x:c>
      <x:c r="D83" s="32" t="s">
        <x:v>687</x:v>
      </x:c>
      <x:c r="E83" s="32" t="str">
        <x:v>Data Migration Only</x:v>
      </x:c>
      <x:c r="F83" s="33" t="s">
        <x:v>120</x:v>
      </x:c>
      <x:c r="G83" s="34" t="s">
        <x:v>688</x:v>
      </x:c>
      <x:c r="H83" s="33" t="s">
        <x:v>87</x:v>
      </x:c>
      <x:c r="I83" s="33" t="s">
        <x:v>689</x:v>
      </x:c>
      <x:c r="J83" s="33" t="s">
        <x:v>80</x:v>
      </x:c>
      <x:c r="K83" s="33" t="s">
        <x:v>60</x:v>
      </x:c>
      <x:c r="L83" s="33" t="s">
        <x:v>71</x:v>
      </x:c>
      <x:c r="M83" s="35">
        <x:v>45</x:v>
      </x:c>
      <x:c r="N83" s="35">
        <x:v>5070981</x:v>
      </x:c>
      <x:c r="O83" s="33" t="s">
        <x:v>73</x:v>
      </x:c>
      <x:c r="P83" s="33" t="s">
        <x:v>73</x:v>
      </x:c>
      <x:c r="Q83" s="33" t="s">
        <x:v>120</x:v>
      </x:c>
      <x:c r="R83" s="33" t="s">
        <x:v>101</x:v>
      </x:c>
      <x:c r="S83" s="31" t="s">
        <x:v>690</x:v>
      </x:c>
      <x:c r="T83" s="31" t="s">
        <x:v>691</x:v>
      </x:c>
      <x:c r="U83" s="31" t="s">
        <x:v>276</x:v>
      </x:c>
      <x:c r="V83" s="33" t="s">
        <x:v>323</x:v>
      </x:c>
      <x:c r="W83" s="33"/>
      <x:c r="X83" s="33" t="s">
        <x:v>238</x:v>
      </x:c>
      <x:c r="Y83" s="36"/>
      <x:c r="Z83" s="36">
        <x:v>46643</x:v>
      </x:c>
      <x:c r="AA83" s="33" t="s">
        <x:v>120</x:v>
      </x:c>
      <x:c r="AB83" s="37" t="n">
        <x:f>IFERROR(INDEX(Effort_Model!$J$6:$J$33,MATCH(K83&amp;"|"&amp;L83,Effort_Model!$B$6:$B$33,0)),"")</x:f>
        <x:v>18.4</x:v>
      </x:c>
      <x:c r="AC83" s="38">
        <x:v>187.8</x:v>
      </x:c>
      <x:c r="AD83" s="37">
        <x:f t="shared" si="1"/>
        <x:v>230.20000000000002</x:v>
      </x:c>
      <x:c r="AE83" s="37" t="n">
        <x:f>IFERROR(ROUND(IFERROR(INDEX(Scoring_Rules!$C$43:$C$44,MATCH(Q83,Scoring_Rules!$B$43:$B$44,0)),0)*Scoring_Rules!$C$6+IFERROR(INDEX(Scoring_Rules!$C$34:$C$40,MATCH(K83,Scoring_Rules!$B$34:$B$40,0)),0)*Scoring_Rules!$C$7+IFERROR(INDEX(Scoring_Rules!$C$16:$C$19,MATCH(P83,Scoring_Rules!$B$16:$B$19,0)),0)*Scoring_Rules!$C$8+IFERROR(INDEX(Scoring_Rules!$C$22:$C$25,MATCH(O83,Scoring_Rules!$B$22:$B$25,0)),0)*Scoring_Rules!$C$9+IFERROR(INDEX(Scoring_Rules!$C$47:$C$50,MATCH(X83,Scoring_Rules!$B$47:$B$50,0)),0)*Scoring_Rules!$C$10+IFERROR(INDEX(Scoring_Rules!$C$28:$C$31,MATCH(R83,Scoring_Rules!$B$28:$B$31,0)),0)*Scoring_Rules!$C$11,1),"")</x:f>
        <x:v>56.3</x:v>
      </x:c>
      <x:c r="AF83" s="35">
        <x:v>2</x:v>
      </x:c>
      <x:c r="AG83" s="33" t="s">
        <x:v>692</x:v>
      </x:c>
      <x:c r="AH83" s="36">
        <x:v>46356</x:v>
      </x:c>
      <x:c r="AI83" s="33" t="s">
        <x:v>128</x:v>
      </x:c>
      <x:c r="AJ83" s="34"/>
    </x:row>
    <x:row r="84" ht="15" customHeight="1">
      <x:c r="A84" s="31" t="s">
        <x:v>693</x:v>
      </x:c>
      <x:c r="B84" s="31" t="s">
        <x:v>694</x:v>
      </x:c>
      <x:c r="C84" s="31" t="s">
        <x:v>686</x:v>
      </x:c>
      <x:c r="D84" s="32" t="s">
        <x:v>695</x:v>
      </x:c>
      <x:c r="E84" s="32" t="str">
        <x:v>Functional Migration Only</x:v>
      </x:c>
      <x:c r="F84" s="33" t="s">
        <x:v>118</x:v>
      </x:c>
      <x:c r="G84" s="34" t="s">
        <x:v>696</x:v>
      </x:c>
      <x:c r="H84" s="33" t="s">
        <x:v>87</x:v>
      </x:c>
      <x:c r="I84" s="33" t="s">
        <x:v>689</x:v>
      </x:c>
      <x:c r="J84" s="33" t="s">
        <x:v>82</x:v>
      </x:c>
      <x:c r="K84" s="33" t="s">
        <x:v>62</x:v>
      </x:c>
      <x:c r="L84" s="33" t="s">
        <x:v>75</x:v>
      </x:c>
      <x:c r="M84" s="35">
        <x:v>67</x:v>
      </x:c>
      <x:c r="N84" s="35">
        <x:v>104217136</x:v>
      </x:c>
      <x:c r="O84" s="33" t="s">
        <x:v>101</x:v>
      </x:c>
      <x:c r="P84" s="33" t="s">
        <x:v>109</x:v>
      </x:c>
      <x:c r="Q84" s="33" t="s">
        <x:v>120</x:v>
      </x:c>
      <x:c r="R84" s="33" t="s">
        <x:v>101</x:v>
      </x:c>
      <x:c r="S84" s="31" t="s">
        <x:v>690</x:v>
      </x:c>
      <x:c r="T84" s="31" t="s">
        <x:v>697</x:v>
      </x:c>
      <x:c r="U84" s="31" t="s">
        <x:v>276</x:v>
      </x:c>
      <x:c r="V84" s="33" t="s">
        <x:v>451</x:v>
      </x:c>
      <x:c r="W84" s="33"/>
      <x:c r="X84" s="33" t="s">
        <x:v>238</x:v>
      </x:c>
      <x:c r="Y84" s="36"/>
      <x:c r="Z84" s="36">
        <x:v>47073</x:v>
      </x:c>
      <x:c r="AA84" s="33" t="s">
        <x:v>120</x:v>
      </x:c>
      <x:c r="AB84" s="37" t="n">
        <x:f>IFERROR(INDEX(Effort_Model!$J$6:$J$33,MATCH(K84&amp;"|"&amp;L84,Effort_Model!$B$6:$B$33,0)),"")</x:f>
        <x:v>74.4</x:v>
      </x:c>
      <x:c r="AC84" s="38">
        <x:v>867.9</x:v>
      </x:c>
      <x:c r="AD84" s="37">
        <x:f t="shared" si="1"/>
        <x:v>1077.2332999999999</x:v>
      </x:c>
      <x:c r="AE84" s="37" t="n">
        <x:f>IFERROR(ROUND(IFERROR(INDEX(Scoring_Rules!$C$43:$C$44,MATCH(Q84,Scoring_Rules!$B$43:$B$44,0)),0)*Scoring_Rules!$C$6+IFERROR(INDEX(Scoring_Rules!$C$34:$C$40,MATCH(K84,Scoring_Rules!$B$34:$B$40,0)),0)*Scoring_Rules!$C$7+IFERROR(INDEX(Scoring_Rules!$C$16:$C$19,MATCH(P84,Scoring_Rules!$B$16:$B$19,0)),0)*Scoring_Rules!$C$8+IFERROR(INDEX(Scoring_Rules!$C$22:$C$25,MATCH(O84,Scoring_Rules!$B$22:$B$25,0)),0)*Scoring_Rules!$C$9+IFERROR(INDEX(Scoring_Rules!$C$47:$C$50,MATCH(X84,Scoring_Rules!$B$47:$B$50,0)),0)*Scoring_Rules!$C$10+IFERROR(INDEX(Scoring_Rules!$C$28:$C$31,MATCH(R84,Scoring_Rules!$B$28:$B$31,0)),0)*Scoring_Rules!$C$11,1),"")</x:f>
        <x:v>33</x:v>
      </x:c>
      <x:c r="AF84" s="35">
        <x:v>7</x:v>
      </x:c>
      <x:c r="AG84" s="33" t="s">
        <x:v>698</x:v>
      </x:c>
      <x:c r="AH84" s="36">
        <x:v>46347</x:v>
      </x:c>
      <x:c r="AI84" s="33" t="s">
        <x:v>126</x:v>
      </x:c>
      <x:c r="AJ84" s="34" t="s">
        <x:v>383</x:v>
      </x:c>
    </x:row>
    <x:row r="85" ht="23.25" customHeight="1">
      <x:c r="A85" s="31" t="s">
        <x:v>699</x:v>
      </x:c>
      <x:c r="B85" s="31" t="s">
        <x:v>700</x:v>
      </x:c>
      <x:c r="C85" s="31" t="s">
        <x:v>686</x:v>
      </x:c>
      <x:c r="D85" s="32" t="s">
        <x:v>701</x:v>
      </x:c>
      <x:c r="E85" s="32" t="str">
        <x:v>Functional Migration Only</x:v>
      </x:c>
      <x:c r="F85" s="33" t="s">
        <x:v>118</x:v>
      </x:c>
      <x:c r="G85" s="34" t="s">
        <x:v>696</x:v>
      </x:c>
      <x:c r="H85" s="33" t="s">
        <x:v>87</x:v>
      </x:c>
      <x:c r="I85" s="33" t="s">
        <x:v>689</x:v>
      </x:c>
      <x:c r="J85" s="33" t="s">
        <x:v>82</x:v>
      </x:c>
      <x:c r="K85" s="33" t="s">
        <x:v>62</x:v>
      </x:c>
      <x:c r="L85" s="33" t="s">
        <x:v>71</x:v>
      </x:c>
      <x:c r="M85" s="35">
        <x:v>72</x:v>
      </x:c>
      <x:c r="N85" s="35">
        <x:v>121886965</x:v>
      </x:c>
      <x:c r="O85" s="33" t="s">
        <x:v>103</x:v>
      </x:c>
      <x:c r="P85" s="33" t="s">
        <x:v>98</x:v>
      </x:c>
      <x:c r="Q85" s="33" t="s">
        <x:v>120</x:v>
      </x:c>
      <x:c r="R85" s="33" t="s">
        <x:v>101</x:v>
      </x:c>
      <x:c r="S85" s="31" t="s">
        <x:v>702</x:v>
      </x:c>
      <x:c r="T85" s="31" t="s">
        <x:v>703</x:v>
      </x:c>
      <x:c r="U85" s="31" t="s">
        <x:v>276</x:v>
      </x:c>
      <x:c r="V85" s="33" t="s">
        <x:v>329</x:v>
      </x:c>
      <x:c r="W85" s="33"/>
      <x:c r="X85" s="33" t="s">
        <x:v>238</x:v>
      </x:c>
      <x:c r="Y85" s="36"/>
      <x:c r="Z85" s="36"/>
      <x:c r="AA85" s="33" t="s">
        <x:v>120</x:v>
      </x:c>
      <x:c r="AB85" s="37" t="n">
        <x:f>IFERROR(INDEX(Effort_Model!$J$6:$J$33,MATCH(K85&amp;"|"&amp;L85,Effort_Model!$B$6:$B$33,0)),"")</x:f>
        <x:v>18.4</x:v>
      </x:c>
      <x:c r="AC85" s="38">
        <x:v>580.6</x:v>
      </x:c>
      <x:c r="AD85" s="37">
        <x:f t="shared" si="1"/>
        <x:v>655</x:v>
      </x:c>
      <x:c r="AE85" s="37" t="n">
        <x:f>IFERROR(ROUND(IFERROR(INDEX(Scoring_Rules!$C$43:$C$44,MATCH(Q85,Scoring_Rules!$B$43:$B$44,0)),0)*Scoring_Rules!$C$6+IFERROR(INDEX(Scoring_Rules!$C$34:$C$40,MATCH(K85,Scoring_Rules!$B$34:$B$40,0)),0)*Scoring_Rules!$C$7+IFERROR(INDEX(Scoring_Rules!$C$16:$C$19,MATCH(P85,Scoring_Rules!$B$16:$B$19,0)),0)*Scoring_Rules!$C$8+IFERROR(INDEX(Scoring_Rules!$C$22:$C$25,MATCH(O85,Scoring_Rules!$B$22:$B$25,0)),0)*Scoring_Rules!$C$9+IFERROR(INDEX(Scoring_Rules!$C$47:$C$50,MATCH(X85,Scoring_Rules!$B$47:$B$50,0)),0)*Scoring_Rules!$C$10+IFERROR(INDEX(Scoring_Rules!$C$28:$C$31,MATCH(R85,Scoring_Rules!$B$28:$B$31,0)),0)*Scoring_Rules!$C$11,1),"")</x:f>
        <x:v>47.8</x:v>
      </x:c>
      <x:c r="AF85" s="35">
        <x:v>3</x:v>
      </x:c>
      <x:c r="AG85" s="33" t="s">
        <x:v>704</x:v>
      </x:c>
      <x:c r="AH85" s="36">
        <x:v>46323</x:v>
      </x:c>
      <x:c r="AI85" s="33" t="s">
        <x:v>125</x:v>
      </x:c>
      <x:c r="AJ85" s="34"/>
    </x:row>
    <x:row r="86" ht="15" customHeight="1">
      <x:c r="A86" s="31" t="s">
        <x:v>705</x:v>
      </x:c>
      <x:c r="B86" s="31" t="s">
        <x:v>706</x:v>
      </x:c>
      <x:c r="C86" s="31" t="s">
        <x:v>686</x:v>
      </x:c>
      <x:c r="D86" s="32" t="s">
        <x:v>695</x:v>
      </x:c>
      <x:c r="E86" s="32" t="str">
        <x:v>Data Migration Only</x:v>
      </x:c>
      <x:c r="F86" s="33" t="s">
        <x:v>118</x:v>
      </x:c>
      <x:c r="G86" s="34" t="s">
        <x:v>707</x:v>
      </x:c>
      <x:c r="H86" s="33" t="s">
        <x:v>87</x:v>
      </x:c>
      <x:c r="I86" s="33" t="s">
        <x:v>689</x:v>
      </x:c>
      <x:c r="J86" s="33" t="s">
        <x:v>80</x:v>
      </x:c>
      <x:c r="K86" s="33" t="s">
        <x:v>62</x:v>
      </x:c>
      <x:c r="L86" s="33" t="s">
        <x:v>77</x:v>
      </x:c>
      <x:c r="M86" s="35">
        <x:v>51</x:v>
      </x:c>
      <x:c r="N86" s="35">
        <x:v>133139080</x:v>
      </x:c>
      <x:c r="O86" s="33" t="s">
        <x:v>73</x:v>
      </x:c>
      <x:c r="P86" s="33" t="s">
        <x:v>109</x:v>
      </x:c>
      <x:c r="Q86" s="33" t="s">
        <x:v>120</x:v>
      </x:c>
      <x:c r="R86" s="33" t="s">
        <x:v>98</x:v>
      </x:c>
      <x:c r="S86" s="31" t="s">
        <x:v>690</x:v>
      </x:c>
      <x:c r="T86" s="31" t="s">
        <x:v>691</x:v>
      </x:c>
      <x:c r="U86" s="31" t="s">
        <x:v>276</x:v>
      </x:c>
      <x:c r="V86" s="33" t="s">
        <x:v>365</x:v>
      </x:c>
      <x:c r="W86" s="33"/>
      <x:c r="X86" s="33" t="s">
        <x:v>238</x:v>
      </x:c>
      <x:c r="Y86" s="36">
        <x:v>46396</x:v>
      </x:c>
      <x:c r="Z86" s="36"/>
      <x:c r="AA86" s="33" t="s">
        <x:v>120</x:v>
      </x:c>
      <x:c r="AB86" s="37" t="n">
        <x:f>IFERROR(INDEX(Effort_Model!$J$6:$J$33,MATCH(K86&amp;"|"&amp;L86,Effort_Model!$B$6:$B$33,0)),"")</x:f>
        <x:v>74.4</x:v>
      </x:c>
      <x:c r="AC86" s="38">
        <x:v>791.5</x:v>
      </x:c>
      <x:c r="AD86" s="37">
        <x:f t="shared" si="1"/>
        <x:v>1064.8333</x:v>
      </x:c>
      <x:c r="AE86" s="37" t="n">
        <x:f>IFERROR(ROUND(IFERROR(INDEX(Scoring_Rules!$C$43:$C$44,MATCH(Q86,Scoring_Rules!$B$43:$B$44,0)),0)*Scoring_Rules!$C$6+IFERROR(INDEX(Scoring_Rules!$C$34:$C$40,MATCH(K86,Scoring_Rules!$B$34:$B$40,0)),0)*Scoring_Rules!$C$7+IFERROR(INDEX(Scoring_Rules!$C$16:$C$19,MATCH(P86,Scoring_Rules!$B$16:$B$19,0)),0)*Scoring_Rules!$C$8+IFERROR(INDEX(Scoring_Rules!$C$22:$C$25,MATCH(O86,Scoring_Rules!$B$22:$B$25,0)),0)*Scoring_Rules!$C$9+IFERROR(INDEX(Scoring_Rules!$C$47:$C$50,MATCH(X86,Scoring_Rules!$B$47:$B$50,0)),0)*Scoring_Rules!$C$10+IFERROR(INDEX(Scoring_Rules!$C$28:$C$31,MATCH(R86,Scoring_Rules!$B$28:$B$31,0)),0)*Scoring_Rules!$C$11,1),"")</x:f>
        <x:v>41.5</x:v>
      </x:c>
      <x:c r="AF86" s="35">
        <x:v>8</x:v>
      </x:c>
      <x:c r="AG86" s="33" t="s">
        <x:v>708</x:v>
      </x:c>
      <x:c r="AH86" s="36">
        <x:v>46338</x:v>
      </x:c>
      <x:c r="AI86" s="33" t="s">
        <x:v>126</x:v>
      </x:c>
      <x:c r="AJ86" s="34" t="s">
        <x:v>336</x:v>
      </x:c>
    </x:row>
    <x:row r="87" ht="23.25" customHeight="1">
      <x:c r="A87" s="31" t="s">
        <x:v>709</x:v>
      </x:c>
      <x:c r="B87" s="31" t="s">
        <x:v>710</x:v>
      </x:c>
      <x:c r="C87" s="31" t="s">
        <x:v>711</x:v>
      </x:c>
      <x:c r="D87" s="32" t="s">
        <x:v>712</x:v>
      </x:c>
      <x:c r="E87" s="32" t="str">
        <x:v>Functional Migration Only</x:v>
      </x:c>
      <x:c r="F87" s="33" t="s">
        <x:v>118</x:v>
      </x:c>
      <x:c r="G87" s="34" t="s">
        <x:v>713</x:v>
      </x:c>
      <x:c r="H87" s="33" t="s">
        <x:v>87</x:v>
      </x:c>
      <x:c r="I87" s="33" t="s">
        <x:v>714</x:v>
      </x:c>
      <x:c r="J87" s="33" t="s">
        <x:v>82</x:v>
      </x:c>
      <x:c r="K87" s="33" t="s">
        <x:v>60</x:v>
      </x:c>
      <x:c r="L87" s="33" t="s">
        <x:v>71</x:v>
      </x:c>
      <x:c r="M87" s="35">
        <x:v>34</x:v>
      </x:c>
      <x:c r="N87" s="35">
        <x:v>3684802</x:v>
      </x:c>
      <x:c r="O87" s="33" t="s">
        <x:v>98</x:v>
      </x:c>
      <x:c r="P87" s="33" t="s">
        <x:v>101</x:v>
      </x:c>
      <x:c r="Q87" s="33" t="s">
        <x:v>120</x:v>
      </x:c>
      <x:c r="R87" s="33" t="s">
        <x:v>73</x:v>
      </x:c>
      <x:c r="S87" s="31" t="s">
        <x:v>715</x:v>
      </x:c>
      <x:c r="T87" s="31" t="s">
        <x:v>716</x:v>
      </x:c>
      <x:c r="U87" s="31" t="s">
        <x:v>276</x:v>
      </x:c>
      <x:c r="V87" s="33" t="s">
        <x:v>365</x:v>
      </x:c>
      <x:c r="W87" s="33"/>
      <x:c r="X87" s="33" t="s">
        <x:v>238</x:v>
      </x:c>
      <x:c r="Y87" s="36"/>
      <x:c r="Z87" s="36"/>
      <x:c r="AA87" s="33" t="s">
        <x:v>120</x:v>
      </x:c>
      <x:c r="AB87" s="37" t="n">
        <x:f>IFERROR(INDEX(Effort_Model!$J$6:$J$33,MATCH(K87&amp;"|"&amp;L87,Effort_Model!$B$6:$B$33,0)),"")</x:f>
        <x:v>18.4</x:v>
      </x:c>
      <x:c r="AC87" s="38">
        <x:v>286.8</x:v>
      </x:c>
      <x:c r="AD87" s="37">
        <x:f t="shared" si="1"/>
        <x:v>329.2</x:v>
      </x:c>
      <x:c r="AE87" s="37" t="n">
        <x:f>IFERROR(ROUND(IFERROR(INDEX(Scoring_Rules!$C$43:$C$44,MATCH(Q87,Scoring_Rules!$B$43:$B$44,0)),0)*Scoring_Rules!$C$6+IFERROR(INDEX(Scoring_Rules!$C$34:$C$40,MATCH(K87,Scoring_Rules!$B$34:$B$40,0)),0)*Scoring_Rules!$C$7+IFERROR(INDEX(Scoring_Rules!$C$16:$C$19,MATCH(P87,Scoring_Rules!$B$16:$B$19,0)),0)*Scoring_Rules!$C$8+IFERROR(INDEX(Scoring_Rules!$C$22:$C$25,MATCH(O87,Scoring_Rules!$B$22:$B$25,0)),0)*Scoring_Rules!$C$9+IFERROR(INDEX(Scoring_Rules!$C$47:$C$50,MATCH(X87,Scoring_Rules!$B$47:$B$50,0)),0)*Scoring_Rules!$C$10+IFERROR(INDEX(Scoring_Rules!$C$28:$C$31,MATCH(R87,Scoring_Rules!$B$28:$B$31,0)),0)*Scoring_Rules!$C$11,1),"")</x:f>
        <x:v>55.5</x:v>
      </x:c>
      <x:c r="AF87" s="35">
        <x:v>2</x:v>
      </x:c>
      <x:c r="AG87" s="33" t="s">
        <x:v>717</x:v>
      </x:c>
      <x:c r="AH87" s="36">
        <x:v>46373</x:v>
      </x:c>
      <x:c r="AI87" s="33" t="s">
        <x:v>127</x:v>
      </x:c>
      <x:c r="AJ87" s="34" t="s">
        <x:v>395</x:v>
      </x:c>
    </x:row>
    <x:row r="88" ht="15" customHeight="1">
      <x:c r="A88" s="31" t="s">
        <x:v>718</x:v>
      </x:c>
      <x:c r="B88" s="31" t="s">
        <x:v>719</x:v>
      </x:c>
      <x:c r="C88" s="31" t="s">
        <x:v>711</x:v>
      </x:c>
      <x:c r="D88" s="32" t="s">
        <x:v>493</x:v>
      </x:c>
      <x:c r="E88" s="32" t="str">
        <x:v>Data Migration Only</x:v>
      </x:c>
      <x:c r="F88" s="33" t="s">
        <x:v>120</x:v>
      </x:c>
      <x:c r="G88" s="34" t="s">
        <x:v>720</x:v>
      </x:c>
      <x:c r="H88" s="33" t="s">
        <x:v>87</x:v>
      </x:c>
      <x:c r="I88" s="33" t="s">
        <x:v>714</x:v>
      </x:c>
      <x:c r="J88" s="33" t="s">
        <x:v>80</x:v>
      </x:c>
      <x:c r="K88" s="33" t="s">
        <x:v>60</x:v>
      </x:c>
      <x:c r="L88" s="33" t="s">
        <x:v>75</x:v>
      </x:c>
      <x:c r="M88" s="35">
        <x:v>39</x:v>
      </x:c>
      <x:c r="N88" s="35">
        <x:v>5567629</x:v>
      </x:c>
      <x:c r="O88" s="33" t="s">
        <x:v>73</x:v>
      </x:c>
      <x:c r="P88" s="33" t="s">
        <x:v>73</x:v>
      </x:c>
      <x:c r="Q88" s="33" t="s">
        <x:v>120</x:v>
      </x:c>
      <x:c r="R88" s="33" t="s">
        <x:v>101</x:v>
      </x:c>
      <x:c r="S88" s="31" t="s">
        <x:v>721</x:v>
      </x:c>
      <x:c r="T88" s="31" t="s">
        <x:v>722</x:v>
      </x:c>
      <x:c r="U88" s="31" t="s">
        <x:v>522</x:v>
      </x:c>
      <x:c r="V88" s="33" t="s">
        <x:v>323</x:v>
      </x:c>
      <x:c r="W88" s="33" t="s">
        <x:v>709</x:v>
      </x:c>
      <x:c r="X88" s="33" t="s">
        <x:v>239</x:v>
      </x:c>
      <x:c r="Y88" s="36"/>
      <x:c r="Z88" s="36"/>
      <x:c r="AA88" s="33" t="s">
        <x:v>120</x:v>
      </x:c>
      <x:c r="AB88" s="37" t="n">
        <x:f>IFERROR(INDEX(Effort_Model!$J$6:$J$33,MATCH(K88&amp;"|"&amp;L88,Effort_Model!$B$6:$B$33,0)),"")</x:f>
        <x:v>42.4</x:v>
      </x:c>
      <x:c r="AC88" s="38">
        <x:v>361.2</x:v>
      </x:c>
      <x:c r="AD88" s="37">
        <x:f t="shared" si="1"/>
        <x:v>474.5333</x:v>
      </x:c>
      <x:c r="AE88" s="37" t="n">
        <x:f>IFERROR(ROUND(IFERROR(INDEX(Scoring_Rules!$C$43:$C$44,MATCH(Q88,Scoring_Rules!$B$43:$B$44,0)),0)*Scoring_Rules!$C$6+IFERROR(INDEX(Scoring_Rules!$C$34:$C$40,MATCH(K88,Scoring_Rules!$B$34:$B$40,0)),0)*Scoring_Rules!$C$7+IFERROR(INDEX(Scoring_Rules!$C$16:$C$19,MATCH(P88,Scoring_Rules!$B$16:$B$19,0)),0)*Scoring_Rules!$C$8+IFERROR(INDEX(Scoring_Rules!$C$22:$C$25,MATCH(O88,Scoring_Rules!$B$22:$B$25,0)),0)*Scoring_Rules!$C$9+IFERROR(INDEX(Scoring_Rules!$C$47:$C$50,MATCH(X88,Scoring_Rules!$B$47:$B$50,0)),0)*Scoring_Rules!$C$10+IFERROR(INDEX(Scoring_Rules!$C$28:$C$31,MATCH(R88,Scoring_Rules!$B$28:$B$31,0)),0)*Scoring_Rules!$C$11,1),"")</x:f>
        <x:v>51.8</x:v>
      </x:c>
      <x:c r="AF88" s="35">
        <x:v>5</x:v>
      </x:c>
      <x:c r="AG88" s="33" t="s">
        <x:v>723</x:v>
      </x:c>
      <x:c r="AH88" s="36">
        <x:v>46351</x:v>
      </x:c>
      <x:c r="AI88" s="33" t="s">
        <x:v>127</x:v>
      </x:c>
      <x:c r="AJ88" s="34" t="s">
        <x:v>395</x:v>
      </x:c>
    </x:row>
    <x:row r="89" ht="15" customHeight="1">
      <x:c r="A89" s="31" t="s">
        <x:v>724</x:v>
      </x:c>
      <x:c r="B89" s="31" t="s">
        <x:v>725</x:v>
      </x:c>
      <x:c r="C89" s="31" t="s">
        <x:v>711</x:v>
      </x:c>
      <x:c r="D89" s="32" t="s">
        <x:v>726</x:v>
      </x:c>
      <x:c r="E89" s="32" t="str">
        <x:v>Data Migration Only</x:v>
      </x:c>
      <x:c r="F89" s="33" t="s">
        <x:v>118</x:v>
      </x:c>
      <x:c r="G89" s="34" t="s">
        <x:v>727</x:v>
      </x:c>
      <x:c r="H89" s="33" t="s">
        <x:v>87</x:v>
      </x:c>
      <x:c r="I89" s="33" t="s">
        <x:v>714</x:v>
      </x:c>
      <x:c r="J89" s="33" t="s">
        <x:v>80</x:v>
      </x:c>
      <x:c r="K89" s="33" t="s">
        <x:v>60</x:v>
      </x:c>
      <x:c r="L89" s="33" t="s">
        <x:v>73</x:v>
      </x:c>
      <x:c r="M89" s="35">
        <x:v>33</x:v>
      </x:c>
      <x:c r="N89" s="35">
        <x:v>4069886</x:v>
      </x:c>
      <x:c r="O89" s="33" t="s">
        <x:v>73</x:v>
      </x:c>
      <x:c r="P89" s="33" t="s">
        <x:v>73</x:v>
      </x:c>
      <x:c r="Q89" s="33" t="s">
        <x:v>118</x:v>
      </x:c>
      <x:c r="R89" s="33" t="s">
        <x:v>73</x:v>
      </x:c>
      <x:c r="S89" s="31" t="s">
        <x:v>495</x:v>
      </x:c>
      <x:c r="T89" s="31" t="s">
        <x:v>496</x:v>
      </x:c>
      <x:c r="U89" s="31" t="s">
        <x:v>276</x:v>
      </x:c>
      <x:c r="V89" s="33" t="s">
        <x:v>365</x:v>
      </x:c>
      <x:c r="W89" s="33" t="s">
        <x:v>718</x:v>
      </x:c>
      <x:c r="X89" s="33" t="s">
        <x:v>240</x:v>
      </x:c>
      <x:c r="Y89" s="36"/>
      <x:c r="Z89" s="36"/>
      <x:c r="AA89" s="33" t="s">
        <x:v>120</x:v>
      </x:c>
      <x:c r="AB89" s="37" t="n">
        <x:f>IFERROR(INDEX(Effort_Model!$J$6:$J$33,MATCH(K89&amp;"|"&amp;L89,Effort_Model!$B$6:$B$33,0)),"")</x:f>
        <x:v>42.4</x:v>
      </x:c>
      <x:c r="AC89" s="38">
        <x:v>279.8</x:v>
      </x:c>
      <x:c r="AD89" s="37">
        <x:f t="shared" si="1"/>
        <x:v>356.8</x:v>
      </x:c>
      <x:c r="AE89" s="37" t="n">
        <x:f>IFERROR(ROUND(IFERROR(INDEX(Scoring_Rules!$C$43:$C$44,MATCH(Q89,Scoring_Rules!$B$43:$B$44,0)),0)*Scoring_Rules!$C$6+IFERROR(INDEX(Scoring_Rules!$C$34:$C$40,MATCH(K89,Scoring_Rules!$B$34:$B$40,0)),0)*Scoring_Rules!$C$7+IFERROR(INDEX(Scoring_Rules!$C$16:$C$19,MATCH(P89,Scoring_Rules!$B$16:$B$19,0)),0)*Scoring_Rules!$C$8+IFERROR(INDEX(Scoring_Rules!$C$22:$C$25,MATCH(O89,Scoring_Rules!$B$22:$B$25,0)),0)*Scoring_Rules!$C$9+IFERROR(INDEX(Scoring_Rules!$C$47:$C$50,MATCH(X89,Scoring_Rules!$B$47:$B$50,0)),0)*Scoring_Rules!$C$10+IFERROR(INDEX(Scoring_Rules!$C$28:$C$31,MATCH(R89,Scoring_Rules!$B$28:$B$31,0)),0)*Scoring_Rules!$C$11,1),"")</x:f>
        <x:v>72.5</x:v>
      </x:c>
      <x:c r="AF89" s="35">
        <x:v>1</x:v>
      </x:c>
      <x:c r="AG89" s="33" t="s">
        <x:v>728</x:v>
      </x:c>
      <x:c r="AH89" s="36">
        <x:v>46311</x:v>
      </x:c>
      <x:c r="AI89" s="33" t="s">
        <x:v>124</x:v>
      </x:c>
      <x:c r="AJ89" s="34" t="s">
        <x:v>342</x:v>
      </x:c>
    </x:row>
    <x:row r="90" ht="15" customHeight="1">
      <x:c r="A90" s="31" t="s">
        <x:v>729</x:v>
      </x:c>
      <x:c r="B90" s="31" t="s">
        <x:v>730</x:v>
      </x:c>
      <x:c r="C90" s="31" t="s">
        <x:v>711</x:v>
      </x:c>
      <x:c r="D90" s="32" t="s">
        <x:v>726</x:v>
      </x:c>
      <x:c r="E90" s="32" t="str">
        <x:v>Functional Migration Only</x:v>
      </x:c>
      <x:c r="F90" s="33" t="s">
        <x:v>118</x:v>
      </x:c>
      <x:c r="G90" s="34" t="s">
        <x:v>727</x:v>
      </x:c>
      <x:c r="H90" s="33" t="s">
        <x:v>87</x:v>
      </x:c>
      <x:c r="I90" s="33" t="s">
        <x:v>714</x:v>
      </x:c>
      <x:c r="J90" s="33" t="s">
        <x:v>82</x:v>
      </x:c>
      <x:c r="K90" s="33" t="s">
        <x:v>66</x:v>
      </x:c>
      <x:c r="L90" s="33" t="s">
        <x:v>73</x:v>
      </x:c>
      <x:c r="M90" s="35">
        <x:v>172</x:v>
      </x:c>
      <x:c r="N90" s="35">
        <x:v>5486581329</x:v>
      </x:c>
      <x:c r="O90" s="33" t="s">
        <x:v>101</x:v>
      </x:c>
      <x:c r="P90" s="33" t="s">
        <x:v>73</x:v>
      </x:c>
      <x:c r="Q90" s="33" t="s">
        <x:v>120</x:v>
      </x:c>
      <x:c r="R90" s="33" t="s">
        <x:v>101</x:v>
      </x:c>
      <x:c r="S90" s="31" t="s">
        <x:v>501</x:v>
      </x:c>
      <x:c r="T90" s="31" t="s">
        <x:v>502</x:v>
      </x:c>
      <x:c r="U90" s="31" t="s">
        <x:v>276</x:v>
      </x:c>
      <x:c r="V90" s="33" t="s">
        <x:v>277</x:v>
      </x:c>
      <x:c r="W90" s="33" t="s">
        <x:v>718</x:v>
      </x:c>
      <x:c r="X90" s="33" t="s">
        <x:v>239</x:v>
      </x:c>
      <x:c r="Y90" s="36"/>
      <x:c r="Z90" s="36"/>
      <x:c r="AA90" s="33" t="s">
        <x:v>120</x:v>
      </x:c>
      <x:c r="AB90" s="37" t="n">
        <x:f>IFERROR(INDEX(Effort_Model!$J$6:$J$33,MATCH(K90&amp;"|"&amp;L90,Effort_Model!$B$6:$B$33,0)),"")</x:f>
        <x:v>138.4</x:v>
      </x:c>
      <x:c r="AC90" s="38">
        <x:v>1801.1</x:v>
      </x:c>
      <x:c r="AD90" s="37">
        <x:f t="shared" si="1"/>
        <x:v>2070.1</x:v>
      </x:c>
      <x:c r="AE90" s="37" t="n">
        <x:f>IFERROR(ROUND(IFERROR(INDEX(Scoring_Rules!$C$43:$C$44,MATCH(Q90,Scoring_Rules!$B$43:$B$44,0)),0)*Scoring_Rules!$C$6+IFERROR(INDEX(Scoring_Rules!$C$34:$C$40,MATCH(K90,Scoring_Rules!$B$34:$B$40,0)),0)*Scoring_Rules!$C$7+IFERROR(INDEX(Scoring_Rules!$C$16:$C$19,MATCH(P90,Scoring_Rules!$B$16:$B$19,0)),0)*Scoring_Rules!$C$8+IFERROR(INDEX(Scoring_Rules!$C$22:$C$25,MATCH(O90,Scoring_Rules!$B$22:$B$25,0)),0)*Scoring_Rules!$C$9+IFERROR(INDEX(Scoring_Rules!$C$47:$C$50,MATCH(X90,Scoring_Rules!$B$47:$B$50,0)),0)*Scoring_Rules!$C$10+IFERROR(INDEX(Scoring_Rules!$C$28:$C$31,MATCH(R90,Scoring_Rules!$B$28:$B$31,0)),0)*Scoring_Rules!$C$11,1),"")</x:f>
        <x:v>35.5</x:v>
      </x:c>
      <x:c r="AF90" s="35">
        <x:v>6</x:v>
      </x:c>
      <x:c r="AG90" s="33" t="s">
        <x:v>731</x:v>
      </x:c>
      <x:c r="AH90" s="36">
        <x:v>46370</x:v>
      </x:c>
      <x:c r="AI90" s="33" t="s">
        <x:v>127</x:v>
      </x:c>
      <x:c r="AJ90" s="34" t="s">
        <x:v>383</x:v>
      </x:c>
    </x:row>
    <x:row r="91" ht="15" customHeight="1">
      <x:c r="A91" s="31" t="s">
        <x:v>732</x:v>
      </x:c>
      <x:c r="B91" s="31" t="s">
        <x:v>733</x:v>
      </x:c>
      <x:c r="C91" s="31" t="s">
        <x:v>711</x:v>
      </x:c>
      <x:c r="D91" s="32" t="s">
        <x:v>525</x:v>
      </x:c>
      <x:c r="E91" s="32" t="str">
        <x:v>Functional Migration Only</x:v>
      </x:c>
      <x:c r="F91" s="33" t="s">
        <x:v>118</x:v>
      </x:c>
      <x:c r="G91" s="34" t="s">
        <x:v>727</x:v>
      </x:c>
      <x:c r="H91" s="33" t="s">
        <x:v>87</x:v>
      </x:c>
      <x:c r="I91" s="33" t="s">
        <x:v>714</x:v>
      </x:c>
      <x:c r="J91" s="33" t="s">
        <x:v>82</x:v>
      </x:c>
      <x:c r="K91" s="33" t="s">
        <x:v>60</x:v>
      </x:c>
      <x:c r="L91" s="33" t="s">
        <x:v>75</x:v>
      </x:c>
      <x:c r="M91" s="35">
        <x:v>38</x:v>
      </x:c>
      <x:c r="N91" s="35">
        <x:v>6301245</x:v>
      </x:c>
      <x:c r="O91" s="33" t="s">
        <x:v>73</x:v>
      </x:c>
      <x:c r="P91" s="33" t="s">
        <x:v>98</x:v>
      </x:c>
      <x:c r="Q91" s="33" t="s">
        <x:v>120</x:v>
      </x:c>
      <x:c r="R91" s="33" t="s">
        <x:v>98</x:v>
      </x:c>
      <x:c r="S91" s="31" t="s">
        <x:v>526</x:v>
      </x:c>
      <x:c r="T91" s="31" t="s">
        <x:v>734</x:v>
      </x:c>
      <x:c r="U91" s="31" t="s">
        <x:v>276</x:v>
      </x:c>
      <x:c r="V91" s="33" t="s">
        <x:v>365</x:v>
      </x:c>
      <x:c r="W91" s="33"/>
      <x:c r="X91" s="33" t="s">
        <x:v>238</x:v>
      </x:c>
      <x:c r="Y91" s="36">
        <x:v>46604</x:v>
      </x:c>
      <x:c r="Z91" s="36"/>
      <x:c r="AA91" s="33" t="s">
        <x:v>120</x:v>
      </x:c>
      <x:c r="AB91" s="37" t="n">
        <x:f>IFERROR(INDEX(Effort_Model!$J$6:$J$33,MATCH(K91&amp;"|"&amp;L91,Effort_Model!$B$6:$B$33,0)),"")</x:f>
        <x:v>42.4</x:v>
      </x:c>
      <x:c r="AC91" s="38">
        <x:v>547.20000000000005</x:v>
      </x:c>
      <x:c r="AD91" s="37">
        <x:f t="shared" si="1"/>
        <x:v>660.53330000000005</x:v>
      </x:c>
      <x:c r="AE91" s="37" t="n">
        <x:f>IFERROR(ROUND(IFERROR(INDEX(Scoring_Rules!$C$43:$C$44,MATCH(Q91,Scoring_Rules!$B$43:$B$44,0)),0)*Scoring_Rules!$C$6+IFERROR(INDEX(Scoring_Rules!$C$34:$C$40,MATCH(K91,Scoring_Rules!$B$34:$B$40,0)),0)*Scoring_Rules!$C$7+IFERROR(INDEX(Scoring_Rules!$C$16:$C$19,MATCH(P91,Scoring_Rules!$B$16:$B$19,0)),0)*Scoring_Rules!$C$8+IFERROR(INDEX(Scoring_Rules!$C$22:$C$25,MATCH(O91,Scoring_Rules!$B$22:$B$25,0)),0)*Scoring_Rules!$C$9+IFERROR(INDEX(Scoring_Rules!$C$47:$C$50,MATCH(X91,Scoring_Rules!$B$47:$B$50,0)),0)*Scoring_Rules!$C$10+IFERROR(INDEX(Scoring_Rules!$C$28:$C$31,MATCH(R91,Scoring_Rules!$B$28:$B$31,0)),0)*Scoring_Rules!$C$11,1),"")</x:f>
        <x:v>65.5</x:v>
      </x:c>
      <x:c r="AF91" s="35">
        <x:v>4</x:v>
      </x:c>
      <x:c r="AG91" s="33" t="s">
        <x:v>717</x:v>
      </x:c>
      <x:c r="AH91" s="36">
        <x:v>46317</x:v>
      </x:c>
      <x:c r="AI91" s="33" t="s">
        <x:v>125</x:v>
      </x:c>
      <x:c r="AJ91" s="34"/>
    </x:row>
    <x:row r="92" ht="23.25" customHeight="1">
      <x:c r="A92" s="31" t="s">
        <x:v>735</x:v>
      </x:c>
      <x:c r="B92" s="31" t="s">
        <x:v>736</x:v>
      </x:c>
      <x:c r="C92" s="31" t="s">
        <x:v>711</x:v>
      </x:c>
      <x:c r="D92" s="32" t="s">
        <x:v>737</x:v>
      </x:c>
      <x:c r="E92" s="32" t="str">
        <x:v>Data Migration Only</x:v>
      </x:c>
      <x:c r="F92" s="33" t="s">
        <x:v>118</x:v>
      </x:c>
      <x:c r="G92" s="34" t="s">
        <x:v>727</x:v>
      </x:c>
      <x:c r="H92" s="33" t="s">
        <x:v>87</x:v>
      </x:c>
      <x:c r="I92" s="33" t="s">
        <x:v>714</x:v>
      </x:c>
      <x:c r="J92" s="33" t="s">
        <x:v>80</x:v>
      </x:c>
      <x:c r="K92" s="33" t="s">
        <x:v>60</x:v>
      </x:c>
      <x:c r="L92" s="33" t="s">
        <x:v>71</x:v>
      </x:c>
      <x:c r="M92" s="35">
        <x:v>34</x:v>
      </x:c>
      <x:c r="N92" s="35">
        <x:v>4311863</x:v>
      </x:c>
      <x:c r="O92" s="33" t="s">
        <x:v>73</x:v>
      </x:c>
      <x:c r="P92" s="33" t="s">
        <x:v>101</x:v>
      </x:c>
      <x:c r="Q92" s="33" t="s">
        <x:v>120</x:v>
      </x:c>
      <x:c r="R92" s="33" t="s">
        <x:v>115</x:v>
      </x:c>
      <x:c r="S92" s="31" t="s">
        <x:v>738</x:v>
      </x:c>
      <x:c r="T92" s="31" t="s">
        <x:v>739</x:v>
      </x:c>
      <x:c r="U92" s="31" t="s">
        <x:v>276</x:v>
      </x:c>
      <x:c r="V92" s="33" t="s">
        <x:v>303</x:v>
      </x:c>
      <x:c r="W92" s="33"/>
      <x:c r="X92" s="33" t="s">
        <x:v>238</x:v>
      </x:c>
      <x:c r="Y92" s="36"/>
      <x:c r="Z92" s="36"/>
      <x:c r="AA92" s="33" t="s">
        <x:v>120</x:v>
      </x:c>
      <x:c r="AB92" s="37" t="n">
        <x:f>IFERROR(INDEX(Effort_Model!$J$6:$J$33,MATCH(K92&amp;"|"&amp;L92,Effort_Model!$B$6:$B$33,0)),"")</x:f>
        <x:v>18.4</x:v>
      </x:c>
      <x:c r="AC92" s="38">
        <x:v>204.4</x:v>
      </x:c>
      <x:c r="AD92" s="37">
        <x:f t="shared" si="1"/>
        <x:v>246.8</x:v>
      </x:c>
      <x:c r="AE92" s="37" t="n">
        <x:f>IFERROR(ROUND(IFERROR(INDEX(Scoring_Rules!$C$43:$C$44,MATCH(Q92,Scoring_Rules!$B$43:$B$44,0)),0)*Scoring_Rules!$C$6+IFERROR(INDEX(Scoring_Rules!$C$34:$C$40,MATCH(K92,Scoring_Rules!$B$34:$B$40,0)),0)*Scoring_Rules!$C$7+IFERROR(INDEX(Scoring_Rules!$C$16:$C$19,MATCH(P92,Scoring_Rules!$B$16:$B$19,0)),0)*Scoring_Rules!$C$8+IFERROR(INDEX(Scoring_Rules!$C$22:$C$25,MATCH(O92,Scoring_Rules!$B$22:$B$25,0)),0)*Scoring_Rules!$C$9+IFERROR(INDEX(Scoring_Rules!$C$47:$C$50,MATCH(X92,Scoring_Rules!$B$47:$B$50,0)),0)*Scoring_Rules!$C$10+IFERROR(INDEX(Scoring_Rules!$C$28:$C$31,MATCH(R92,Scoring_Rules!$B$28:$B$31,0)),0)*Scoring_Rules!$C$11,1),"")</x:f>
        <x:v>47.5</x:v>
      </x:c>
      <x:c r="AF92" s="35">
        <x:v>3</x:v>
      </x:c>
      <x:c r="AG92" s="33" t="s">
        <x:v>723</x:v>
      </x:c>
      <x:c r="AH92" s="36">
        <x:v>46386</x:v>
      </x:c>
      <x:c r="AI92" s="33" t="s">
        <x:v>127</x:v>
      </x:c>
      <x:c r="AJ92" s="34" t="s">
        <x:v>354</x:v>
      </x:c>
    </x:row>
    <x:row r="93" ht="23.25" customHeight="1">
      <x:c r="A93" s="31" t="s">
        <x:v>740</x:v>
      </x:c>
      <x:c r="B93" s="31" t="s">
        <x:v>741</x:v>
      </x:c>
      <x:c r="C93" s="31" t="s">
        <x:v>711</x:v>
      </x:c>
      <x:c r="D93" s="32" t="s">
        <x:v>742</x:v>
      </x:c>
      <x:c r="E93" s="32" t="str">
        <x:v>Functional Migration Only</x:v>
      </x:c>
      <x:c r="F93" s="33" t="s">
        <x:v>118</x:v>
      </x:c>
      <x:c r="G93" s="34" t="s">
        <x:v>713</x:v>
      </x:c>
      <x:c r="H93" s="33" t="s">
        <x:v>87</x:v>
      </x:c>
      <x:c r="I93" s="33" t="s">
        <x:v>714</x:v>
      </x:c>
      <x:c r="J93" s="33" t="s">
        <x:v>82</x:v>
      </x:c>
      <x:c r="K93" s="33" t="s">
        <x:v>60</x:v>
      </x:c>
      <x:c r="L93" s="33" t="s">
        <x:v>75</x:v>
      </x:c>
      <x:c r="M93" s="35">
        <x:v>50</x:v>
      </x:c>
      <x:c r="N93" s="35">
        <x:v>3106588</x:v>
      </x:c>
      <x:c r="O93" s="33" t="s">
        <x:v>73</x:v>
      </x:c>
      <x:c r="P93" s="33" t="s">
        <x:v>101</x:v>
      </x:c>
      <x:c r="Q93" s="33" t="s">
        <x:v>120</x:v>
      </x:c>
      <x:c r="R93" s="33" t="s">
        <x:v>101</x:v>
      </x:c>
      <x:c r="S93" s="31" t="s">
        <x:v>526</x:v>
      </x:c>
      <x:c r="T93" s="31" t="s">
        <x:v>743</x:v>
      </x:c>
      <x:c r="U93" s="31" t="s">
        <x:v>276</x:v>
      </x:c>
      <x:c r="V93" s="33" t="s">
        <x:v>323</x:v>
      </x:c>
      <x:c r="W93" s="33"/>
      <x:c r="X93" s="33" t="s">
        <x:v>238</x:v>
      </x:c>
      <x:c r="Y93" s="36"/>
      <x:c r="Z93" s="36"/>
      <x:c r="AA93" s="33" t="s">
        <x:v>120</x:v>
      </x:c>
      <x:c r="AB93" s="37" t="n">
        <x:f>IFERROR(INDEX(Effort_Model!$J$6:$J$33,MATCH(K93&amp;"|"&amp;L93,Effort_Model!$B$6:$B$33,0)),"")</x:f>
        <x:v>42.4</x:v>
      </x:c>
      <x:c r="AC93" s="38">
        <x:v>592</x:v>
      </x:c>
      <x:c r="AD93" s="37">
        <x:f t="shared" si="1"/>
        <x:v>705.33330000000001</x:v>
      </x:c>
      <x:c r="AE93" s="37" t="n">
        <x:f>IFERROR(ROUND(IFERROR(INDEX(Scoring_Rules!$C$43:$C$44,MATCH(Q93,Scoring_Rules!$B$43:$B$44,0)),0)*Scoring_Rules!$C$6+IFERROR(INDEX(Scoring_Rules!$C$34:$C$40,MATCH(K93,Scoring_Rules!$B$34:$B$40,0)),0)*Scoring_Rules!$C$7+IFERROR(INDEX(Scoring_Rules!$C$16:$C$19,MATCH(P93,Scoring_Rules!$B$16:$B$19,0)),0)*Scoring_Rules!$C$8+IFERROR(INDEX(Scoring_Rules!$C$22:$C$25,MATCH(O93,Scoring_Rules!$B$22:$B$25,0)),0)*Scoring_Rules!$C$9+IFERROR(INDEX(Scoring_Rules!$C$47:$C$50,MATCH(X93,Scoring_Rules!$B$47:$B$50,0)),0)*Scoring_Rules!$C$10+IFERROR(INDEX(Scoring_Rules!$C$28:$C$31,MATCH(R93,Scoring_Rules!$B$28:$B$31,0)),0)*Scoring_Rules!$C$11,1),"")</x:f>
        <x:v>49.3</x:v>
      </x:c>
      <x:c r="AF93" s="35">
        <x:v>6</x:v>
      </x:c>
      <x:c r="AG93" s="33" t="s">
        <x:v>728</x:v>
      </x:c>
      <x:c r="AH93" s="36">
        <x:v>46387</x:v>
      </x:c>
      <x:c r="AI93" s="33" t="s">
        <x:v>127</x:v>
      </x:c>
      <x:c r="AJ93" s="34" t="s">
        <x:v>312</x:v>
      </x:c>
    </x:row>
    <x:row r="94" ht="15" customHeight="1">
      <x:c r="A94" s="31" t="s">
        <x:v>744</x:v>
      </x:c>
      <x:c r="B94" s="31" t="s">
        <x:v>745</x:v>
      </x:c>
      <x:c r="C94" s="31" t="s">
        <x:v>711</x:v>
      </x:c>
      <x:c r="D94" s="32" t="s">
        <x:v>746</x:v>
      </x:c>
      <x:c r="E94" s="32" t="str">
        <x:v>Data Migration Only</x:v>
      </x:c>
      <x:c r="F94" s="33" t="s">
        <x:v>118</x:v>
      </x:c>
      <x:c r="G94" s="34" t="s">
        <x:v>720</x:v>
      </x:c>
      <x:c r="H94" s="33" t="s">
        <x:v>87</x:v>
      </x:c>
      <x:c r="I94" s="33" t="s">
        <x:v>714</x:v>
      </x:c>
      <x:c r="J94" s="33" t="s">
        <x:v>80</x:v>
      </x:c>
      <x:c r="K94" s="33" t="s">
        <x:v>58</x:v>
      </x:c>
      <x:c r="L94" s="33" t="s">
        <x:v>73</x:v>
      </x:c>
      <x:c r="M94" s="35">
        <x:v>23</x:v>
      </x:c>
      <x:c r="N94" s="35">
        <x:v>651431</x:v>
      </x:c>
      <x:c r="O94" s="33" t="s">
        <x:v>101</x:v>
      </x:c>
      <x:c r="P94" s="33" t="s">
        <x:v>101</x:v>
      </x:c>
      <x:c r="Q94" s="33" t="s">
        <x:v>120</x:v>
      </x:c>
      <x:c r="R94" s="33" t="s">
        <x:v>101</x:v>
      </x:c>
      <x:c r="S94" s="31" t="s">
        <x:v>747</x:v>
      </x:c>
      <x:c r="T94" s="31" t="s">
        <x:v>748</x:v>
      </x:c>
      <x:c r="U94" s="31" t="s">
        <x:v>276</x:v>
      </x:c>
      <x:c r="V94" s="33" t="s">
        <x:v>347</x:v>
      </x:c>
      <x:c r="W94" s="33" t="s">
        <x:v>718</x:v>
      </x:c>
      <x:c r="X94" s="33" t="s">
        <x:v>240</x:v>
      </x:c>
      <x:c r="Y94" s="36"/>
      <x:c r="Z94" s="36"/>
      <x:c r="AA94" s="33" t="s">
        <x:v>120</x:v>
      </x:c>
      <x:c r="AB94" s="37" t="n">
        <x:f>IFERROR(INDEX(Effort_Model!$J$6:$J$33,MATCH(K94&amp;"|"&amp;L94,Effort_Model!$B$6:$B$33,0)),"")</x:f>
        <x:v>26.4</x:v>
      </x:c>
      <x:c r="AC94" s="38">
        <x:v>164.8</x:v>
      </x:c>
      <x:c r="AD94" s="37">
        <x:f t="shared" si="1"/>
        <x:v>209.8</x:v>
      </x:c>
      <x:c r="AE94" s="37" t="n">
        <x:f>IFERROR(ROUND(IFERROR(INDEX(Scoring_Rules!$C$43:$C$44,MATCH(Q94,Scoring_Rules!$B$43:$B$44,0)),0)*Scoring_Rules!$C$6+IFERROR(INDEX(Scoring_Rules!$C$34:$C$40,MATCH(K94,Scoring_Rules!$B$34:$B$40,0)),0)*Scoring_Rules!$C$7+IFERROR(INDEX(Scoring_Rules!$C$16:$C$19,MATCH(P94,Scoring_Rules!$B$16:$B$19,0)),0)*Scoring_Rules!$C$8+IFERROR(INDEX(Scoring_Rules!$C$22:$C$25,MATCH(O94,Scoring_Rules!$B$22:$B$25,0)),0)*Scoring_Rules!$C$9+IFERROR(INDEX(Scoring_Rules!$C$47:$C$50,MATCH(X94,Scoring_Rules!$B$47:$B$50,0)),0)*Scoring_Rules!$C$10+IFERROR(INDEX(Scoring_Rules!$C$28:$C$31,MATCH(R94,Scoring_Rules!$B$28:$B$31,0)),0)*Scoring_Rules!$C$11,1),"")</x:f>
        <x:v>36.5</x:v>
      </x:c>
      <x:c r="AF94" s="35">
        <x:v>4</x:v>
      </x:c>
      <x:c r="AG94" s="33" t="s">
        <x:v>731</x:v>
      </x:c>
      <x:c r="AH94" s="36">
        <x:v>46368</x:v>
      </x:c>
      <x:c r="AI94" s="33" t="s">
        <x:v>127</x:v>
      </x:c>
      <x:c r="AJ94" s="34"/>
    </x:row>
    <x:row r="95" ht="15" customHeight="1">
      <x:c r="A95" s="31" t="s">
        <x:v>749</x:v>
      </x:c>
      <x:c r="B95" s="31" t="s">
        <x:v>750</x:v>
      </x:c>
      <x:c r="C95" s="31" t="s">
        <x:v>711</x:v>
      </x:c>
      <x:c r="D95" s="32" t="s">
        <x:v>525</x:v>
      </x:c>
      <x:c r="E95" s="32" t="str">
        <x:v>Functional Migration Only</x:v>
      </x:c>
      <x:c r="F95" s="33" t="s">
        <x:v>118</x:v>
      </x:c>
      <x:c r="G95" s="34" t="s">
        <x:v>720</x:v>
      </x:c>
      <x:c r="H95" s="33" t="s">
        <x:v>87</x:v>
      </x:c>
      <x:c r="I95" s="33" t="s">
        <x:v>714</x:v>
      </x:c>
      <x:c r="J95" s="33" t="s">
        <x:v>82</x:v>
      </x:c>
      <x:c r="K95" s="33" t="s">
        <x:v>62</x:v>
      </x:c>
      <x:c r="L95" s="33" t="s">
        <x:v>75</x:v>
      </x:c>
      <x:c r="M95" s="35">
        <x:v>71</x:v>
      </x:c>
      <x:c r="N95" s="35">
        <x:v>114330909</x:v>
      </x:c>
      <x:c r="O95" s="33" t="s">
        <x:v>73</x:v>
      </x:c>
      <x:c r="P95" s="33" t="s">
        <x:v>73</x:v>
      </x:c>
      <x:c r="Q95" s="33" t="s">
        <x:v>120</x:v>
      </x:c>
      <x:c r="R95" s="33" t="s">
        <x:v>73</x:v>
      </x:c>
      <x:c r="S95" s="31" t="s">
        <x:v>526</x:v>
      </x:c>
      <x:c r="T95" s="31" t="s">
        <x:v>751</x:v>
      </x:c>
      <x:c r="U95" s="31" t="s">
        <x:v>276</x:v>
      </x:c>
      <x:c r="V95" s="33" t="s">
        <x:v>303</x:v>
      </x:c>
      <x:c r="W95" s="33"/>
      <x:c r="X95" s="33" t="s">
        <x:v>238</x:v>
      </x:c>
      <x:c r="Y95" s="36"/>
      <x:c r="Z95" s="36"/>
      <x:c r="AA95" s="33" t="s">
        <x:v>120</x:v>
      </x:c>
      <x:c r="AB95" s="37" t="n">
        <x:f>IFERROR(INDEX(Effort_Model!$J$6:$J$33,MATCH(K95&amp;"|"&amp;L95,Effort_Model!$B$6:$B$33,0)),"")</x:f>
        <x:v>74.4</x:v>
      </x:c>
      <x:c r="AC95" s="38">
        <x:v>1027.4000000000001</x:v>
      </x:c>
      <x:c r="AD95" s="37">
        <x:f t="shared" si="1"/>
        <x:v>1236.7333000000001</x:v>
      </x:c>
      <x:c r="AE95" s="37" t="n">
        <x:f>IFERROR(ROUND(IFERROR(INDEX(Scoring_Rules!$C$43:$C$44,MATCH(Q95,Scoring_Rules!$B$43:$B$44,0)),0)*Scoring_Rules!$C$6+IFERROR(INDEX(Scoring_Rules!$C$34:$C$40,MATCH(K95,Scoring_Rules!$B$34:$B$40,0)),0)*Scoring_Rules!$C$7+IFERROR(INDEX(Scoring_Rules!$C$16:$C$19,MATCH(P95,Scoring_Rules!$B$16:$B$19,0)),0)*Scoring_Rules!$C$8+IFERROR(INDEX(Scoring_Rules!$C$22:$C$25,MATCH(O95,Scoring_Rules!$B$22:$B$25,0)),0)*Scoring_Rules!$C$9+IFERROR(INDEX(Scoring_Rules!$C$47:$C$50,MATCH(X95,Scoring_Rules!$B$47:$B$50,0)),0)*Scoring_Rules!$C$10+IFERROR(INDEX(Scoring_Rules!$C$28:$C$31,MATCH(R95,Scoring_Rules!$B$28:$B$31,0)),0)*Scoring_Rules!$C$11,1),"")</x:f>
        <x:v>54</x:v>
      </x:c>
      <x:c r="AF95" s="35">
        <x:v>5</x:v>
      </x:c>
      <x:c r="AG95" s="33" t="s">
        <x:v>717</x:v>
      </x:c>
      <x:c r="AH95" s="36">
        <x:v>46344</x:v>
      </x:c>
      <x:c r="AI95" s="33" t="s">
        <x:v>126</x:v>
      </x:c>
      <x:c r="AJ95" s="34" t="s">
        <x:v>354</x:v>
      </x:c>
    </x:row>
    <x:row r="96" ht="23.25" customHeight="1">
      <x:c r="A96" s="31" t="s">
        <x:v>752</x:v>
      </x:c>
      <x:c r="B96" s="31" t="s">
        <x:v>753</x:v>
      </x:c>
      <x:c r="C96" s="31" t="s">
        <x:v>711</x:v>
      </x:c>
      <x:c r="D96" s="32" t="s">
        <x:v>754</x:v>
      </x:c>
      <x:c r="E96" s="32" t="str">
        <x:v>Data Migration Only</x:v>
      </x:c>
      <x:c r="F96" s="33" t="s">
        <x:v>118</x:v>
      </x:c>
      <x:c r="G96" s="34" t="s">
        <x:v>629</x:v>
      </x:c>
      <x:c r="H96" s="33" t="s">
        <x:v>89</x:v>
      </x:c>
      <x:c r="I96" s="33" t="s">
        <x:v>714</x:v>
      </x:c>
      <x:c r="J96" s="33" t="s">
        <x:v>80</x:v>
      </x:c>
      <x:c r="K96" s="33" t="s">
        <x:v>58</x:v>
      </x:c>
      <x:c r="L96" s="33" t="s">
        <x:v>73</x:v>
      </x:c>
      <x:c r="M96" s="35">
        <x:v>27</x:v>
      </x:c>
      <x:c r="N96" s="35">
        <x:v>879694</x:v>
      </x:c>
      <x:c r="O96" s="33" t="s">
        <x:v>101</x:v>
      </x:c>
      <x:c r="P96" s="33" t="s">
        <x:v>101</x:v>
      </x:c>
      <x:c r="Q96" s="33" t="s">
        <x:v>120</x:v>
      </x:c>
      <x:c r="R96" s="33" t="s">
        <x:v>101</x:v>
      </x:c>
      <x:c r="S96" s="31" t="s">
        <x:v>755</x:v>
      </x:c>
      <x:c r="T96" s="31" t="s">
        <x:v>756</x:v>
      </x:c>
      <x:c r="U96" s="31" t="s">
        <x:v>522</x:v>
      </x:c>
      <x:c r="V96" s="33" t="s">
        <x:v>303</x:v>
      </x:c>
      <x:c r="W96" s="33" t="s">
        <x:v>757</x:v>
      </x:c>
      <x:c r="X96" s="33" t="s">
        <x:v>239</x:v>
      </x:c>
      <x:c r="Y96" s="36"/>
      <x:c r="Z96" s="36"/>
      <x:c r="AA96" s="33" t="s">
        <x:v>120</x:v>
      </x:c>
      <x:c r="AB96" s="37" t="n">
        <x:f>IFERROR(INDEX(Effort_Model!$J$6:$J$33,MATCH(K96&amp;"|"&amp;L96,Effort_Model!$B$6:$B$33,0)),"")</x:f>
        <x:v>26.4</x:v>
      </x:c>
      <x:c r="AC96" s="38">
        <x:v>140.30000000000001</x:v>
      </x:c>
      <x:c r="AD96" s="37">
        <x:f t="shared" si="1"/>
        <x:v>185.3</x:v>
      </x:c>
      <x:c r="AE96" s="37" t="n">
        <x:f>IFERROR(ROUND(IFERROR(INDEX(Scoring_Rules!$C$43:$C$44,MATCH(Q96,Scoring_Rules!$B$43:$B$44,0)),0)*Scoring_Rules!$C$6+IFERROR(INDEX(Scoring_Rules!$C$34:$C$40,MATCH(K96,Scoring_Rules!$B$34:$B$40,0)),0)*Scoring_Rules!$C$7+IFERROR(INDEX(Scoring_Rules!$C$16:$C$19,MATCH(P96,Scoring_Rules!$B$16:$B$19,0)),0)*Scoring_Rules!$C$8+IFERROR(INDEX(Scoring_Rules!$C$22:$C$25,MATCH(O96,Scoring_Rules!$B$22:$B$25,0)),0)*Scoring_Rules!$C$9+IFERROR(INDEX(Scoring_Rules!$C$47:$C$50,MATCH(X96,Scoring_Rules!$B$47:$B$50,0)),0)*Scoring_Rules!$C$10+IFERROR(INDEX(Scoring_Rules!$C$28:$C$31,MATCH(R96,Scoring_Rules!$B$28:$B$31,0)),0)*Scoring_Rules!$C$11,1),"")</x:f>
        <x:v>42.5</x:v>
      </x:c>
      <x:c r="AF96" s="35"/>
      <x:c r="AG96" s="33" t="s">
        <x:v>723</x:v>
      </x:c>
      <x:c r="AH96" s="36">
        <x:v>46334</x:v>
      </x:c>
      <x:c r="AI96" s="33" t="s">
        <x:v>127</x:v>
      </x:c>
      <x:c r="AJ96" s="34"/>
    </x:row>
    <x:row r="97" ht="15" customHeight="1">
      <x:c r="A97" s="31" t="s">
        <x:v>758</x:v>
      </x:c>
      <x:c r="B97" s="31" t="s">
        <x:v>759</x:v>
      </x:c>
      <x:c r="C97" s="31" t="s">
        <x:v>711</x:v>
      </x:c>
      <x:c r="D97" s="32" t="s">
        <x:v>760</x:v>
      </x:c>
      <x:c r="E97" s="32" t="str">
        <x:v>Data Migration Only</x:v>
      </x:c>
      <x:c r="F97" s="33" t="s">
        <x:v>118</x:v>
      </x:c>
      <x:c r="G97" s="34" t="s">
        <x:v>720</x:v>
      </x:c>
      <x:c r="H97" s="33" t="s">
        <x:v>87</x:v>
      </x:c>
      <x:c r="I97" s="33" t="s">
        <x:v>714</x:v>
      </x:c>
      <x:c r="J97" s="33" t="s">
        <x:v>80</x:v>
      </x:c>
      <x:c r="K97" s="33" t="s">
        <x:v>58</x:v>
      </x:c>
      <x:c r="L97" s="33" t="s">
        <x:v>75</x:v>
      </x:c>
      <x:c r="M97" s="35">
        <x:v>26</x:v>
      </x:c>
      <x:c r="N97" s="35">
        <x:v>725671</x:v>
      </x:c>
      <x:c r="O97" s="33" t="s">
        <x:v>73</x:v>
      </x:c>
      <x:c r="P97" s="33" t="s">
        <x:v>101</x:v>
      </x:c>
      <x:c r="Q97" s="33" t="s">
        <x:v>120</x:v>
      </x:c>
      <x:c r="R97" s="33" t="s">
        <x:v>73</x:v>
      </x:c>
      <x:c r="S97" s="31" t="s">
        <x:v>514</x:v>
      </x:c>
      <x:c r="T97" s="31" t="s">
        <x:v>761</x:v>
      </x:c>
      <x:c r="U97" s="31" t="s">
        <x:v>522</x:v>
      </x:c>
      <x:c r="V97" s="33" t="s">
        <x:v>277</x:v>
      </x:c>
      <x:c r="W97" s="33"/>
      <x:c r="X97" s="33" t="s">
        <x:v>238</x:v>
      </x:c>
      <x:c r="Y97" s="36">
        <x:v>46630</x:v>
      </x:c>
      <x:c r="Z97" s="36"/>
      <x:c r="AA97" s="33" t="s">
        <x:v>120</x:v>
      </x:c>
      <x:c r="AB97" s="37" t="n">
        <x:f>IFERROR(INDEX(Effort_Model!$J$6:$J$33,MATCH(K97&amp;"|"&amp;L97,Effort_Model!$B$6:$B$33,0)),"")</x:f>
        <x:v>26.4</x:v>
      </x:c>
      <x:c r="AC97" s="38">
        <x:v>216</x:v>
      </x:c>
      <x:c r="AD97" s="37">
        <x:f t="shared" si="1"/>
        <x:v>281.33330000000001</x:v>
      </x:c>
      <x:c r="AE97" s="37" t="n">
        <x:f>IFERROR(ROUND(IFERROR(INDEX(Scoring_Rules!$C$43:$C$44,MATCH(Q97,Scoring_Rules!$B$43:$B$44,0)),0)*Scoring_Rules!$C$6+IFERROR(INDEX(Scoring_Rules!$C$34:$C$40,MATCH(K97,Scoring_Rules!$B$34:$B$40,0)),0)*Scoring_Rules!$C$7+IFERROR(INDEX(Scoring_Rules!$C$16:$C$19,MATCH(P97,Scoring_Rules!$B$16:$B$19,0)),0)*Scoring_Rules!$C$8+IFERROR(INDEX(Scoring_Rules!$C$22:$C$25,MATCH(O97,Scoring_Rules!$B$22:$B$25,0)),0)*Scoring_Rules!$C$9+IFERROR(INDEX(Scoring_Rules!$C$47:$C$50,MATCH(X97,Scoring_Rules!$B$47:$B$50,0)),0)*Scoring_Rules!$C$10+IFERROR(INDEX(Scoring_Rules!$C$28:$C$31,MATCH(R97,Scoring_Rules!$B$28:$B$31,0)),0)*Scoring_Rules!$C$11,1),"")</x:f>
        <x:v>54</x:v>
      </x:c>
      <x:c r="AF97" s="35">
        <x:v>5</x:v>
      </x:c>
      <x:c r="AG97" s="33" t="s">
        <x:v>728</x:v>
      </x:c>
      <x:c r="AH97" s="36">
        <x:v>46325</x:v>
      </x:c>
      <x:c r="AI97" s="33" t="s">
        <x:v>125</x:v>
      </x:c>
      <x:c r="AJ97" s="34" t="s">
        <x:v>336</x:v>
      </x:c>
    </x:row>
    <x:row r="98" ht="15" customHeight="1">
      <x:c r="A98" s="31" t="s">
        <x:v>762</x:v>
      </x:c>
      <x:c r="B98" s="31" t="s">
        <x:v>763</x:v>
      </x:c>
      <x:c r="C98" s="31" t="s">
        <x:v>711</x:v>
      </x:c>
      <x:c r="D98" s="32" t="s">
        <x:v>726</x:v>
      </x:c>
      <x:c r="E98" s="32" t="str">
        <x:v>Functional Migration Only</x:v>
      </x:c>
      <x:c r="F98" s="33" t="s">
        <x:v>118</x:v>
      </x:c>
      <x:c r="G98" s="34" t="s">
        <x:v>713</x:v>
      </x:c>
      <x:c r="H98" s="33" t="s">
        <x:v>87</x:v>
      </x:c>
      <x:c r="I98" s="33" t="s">
        <x:v>714</x:v>
      </x:c>
      <x:c r="J98" s="33" t="s">
        <x:v>82</x:v>
      </x:c>
      <x:c r="K98" s="33" t="s">
        <x:v>60</x:v>
      </x:c>
      <x:c r="L98" s="33" t="s">
        <x:v>75</x:v>
      </x:c>
      <x:c r="M98" s="35">
        <x:v>32</x:v>
      </x:c>
      <x:c r="N98" s="35">
        <x:v>5609194</x:v>
      </x:c>
      <x:c r="O98" s="33" t="s">
        <x:v>103</x:v>
      </x:c>
      <x:c r="P98" s="33" t="s">
        <x:v>98</x:v>
      </x:c>
      <x:c r="Q98" s="33" t="s">
        <x:v>120</x:v>
      </x:c>
      <x:c r="R98" s="33" t="s">
        <x:v>101</x:v>
      </x:c>
      <x:c r="S98" s="31" t="s">
        <x:v>764</x:v>
      </x:c>
      <x:c r="T98" s="31" t="s">
        <x:v>765</x:v>
      </x:c>
      <x:c r="U98" s="31" t="s">
        <x:v>276</x:v>
      </x:c>
      <x:c r="V98" s="33" t="s">
        <x:v>444</x:v>
      </x:c>
      <x:c r="W98" s="33"/>
      <x:c r="X98" s="33" t="s">
        <x:v>238</x:v>
      </x:c>
      <x:c r="Y98" s="36">
        <x:v>46499</x:v>
      </x:c>
      <x:c r="Z98" s="36"/>
      <x:c r="AA98" s="33" t="s">
        <x:v>120</x:v>
      </x:c>
      <x:c r="AB98" s="37" t="n">
        <x:f>IFERROR(INDEX(Effort_Model!$J$6:$J$33,MATCH(K98&amp;"|"&amp;L98,Effort_Model!$B$6:$B$33,0)),"")</x:f>
        <x:v>42.4</x:v>
      </x:c>
      <x:c r="AC98" s="38">
        <x:v>506</x:v>
      </x:c>
      <x:c r="AD98" s="37">
        <x:f t="shared" si="1"/>
        <x:v>619.33330000000001</x:v>
      </x:c>
      <x:c r="AE98" s="37" t="n">
        <x:f>IFERROR(ROUND(IFERROR(INDEX(Scoring_Rules!$C$43:$C$44,MATCH(Q98,Scoring_Rules!$B$43:$B$44,0)),0)*Scoring_Rules!$C$6+IFERROR(INDEX(Scoring_Rules!$C$34:$C$40,MATCH(K98,Scoring_Rules!$B$34:$B$40,0)),0)*Scoring_Rules!$C$7+IFERROR(INDEX(Scoring_Rules!$C$16:$C$19,MATCH(P98,Scoring_Rules!$B$16:$B$19,0)),0)*Scoring_Rules!$C$8+IFERROR(INDEX(Scoring_Rules!$C$22:$C$25,MATCH(O98,Scoring_Rules!$B$22:$B$25,0)),0)*Scoring_Rules!$C$9+IFERROR(INDEX(Scoring_Rules!$C$47:$C$50,MATCH(X98,Scoring_Rules!$B$47:$B$50,0)),0)*Scoring_Rules!$C$10+IFERROR(INDEX(Scoring_Rules!$C$28:$C$31,MATCH(R98,Scoring_Rules!$B$28:$B$31,0)),0)*Scoring_Rules!$C$11,1),"")</x:f>
        <x:v>51.8</x:v>
      </x:c>
      <x:c r="AF98" s="35">
        <x:v>5</x:v>
      </x:c>
      <x:c r="AG98" s="33" t="s">
        <x:v>731</x:v>
      </x:c>
      <x:c r="AH98" s="36">
        <x:v>46337</x:v>
      </x:c>
      <x:c r="AI98" s="33" t="s">
        <x:v>124</x:v>
      </x:c>
      <x:c r="AJ98" s="34" t="s">
        <x:v>383</x:v>
      </x:c>
    </x:row>
    <x:row r="99" ht="23.25" customHeight="1">
      <x:c r="A99" s="31" t="s">
        <x:v>766</x:v>
      </x:c>
      <x:c r="B99" s="31" t="s">
        <x:v>767</x:v>
      </x:c>
      <x:c r="C99" s="31" t="s">
        <x:v>711</x:v>
      </x:c>
      <x:c r="D99" s="32" t="s">
        <x:v>575</x:v>
      </x:c>
      <x:c r="E99" s="32" t="str">
        <x:v>Data Migration Only</x:v>
      </x:c>
      <x:c r="F99" s="33" t="s">
        <x:v>118</x:v>
      </x:c>
      <x:c r="G99" s="34" t="s">
        <x:v>768</x:v>
      </x:c>
      <x:c r="H99" s="33" t="s">
        <x:v>89</x:v>
      </x:c>
      <x:c r="I99" s="33" t="s">
        <x:v>714</x:v>
      </x:c>
      <x:c r="J99" s="33" t="s">
        <x:v>80</x:v>
      </x:c>
      <x:c r="K99" s="33" t="s">
        <x:v>58</x:v>
      </x:c>
      <x:c r="L99" s="33" t="s">
        <x:v>75</x:v>
      </x:c>
      <x:c r="M99" s="35">
        <x:v>20</x:v>
      </x:c>
      <x:c r="N99" s="35">
        <x:v>784561</x:v>
      </x:c>
      <x:c r="O99" s="33" t="s">
        <x:v>101</x:v>
      </x:c>
      <x:c r="P99" s="33" t="s">
        <x:v>101</x:v>
      </x:c>
      <x:c r="Q99" s="33" t="s">
        <x:v>120</x:v>
      </x:c>
      <x:c r="R99" s="33" t="s">
        <x:v>73</x:v>
      </x:c>
      <x:c r="S99" s="31" t="s">
        <x:v>769</x:v>
      </x:c>
      <x:c r="T99" s="31" t="s">
        <x:v>770</x:v>
      </x:c>
      <x:c r="U99" s="31" t="s">
        <x:v>522</x:v>
      </x:c>
      <x:c r="V99" s="33" t="s">
        <x:v>365</x:v>
      </x:c>
      <x:c r="W99" s="33"/>
      <x:c r="X99" s="33" t="s">
        <x:v>238</x:v>
      </x:c>
      <x:c r="Y99" s="36">
        <x:v>46379</x:v>
      </x:c>
      <x:c r="Z99" s="36"/>
      <x:c r="AA99" s="33" t="s">
        <x:v>120</x:v>
      </x:c>
      <x:c r="AB99" s="37" t="n">
        <x:f>IFERROR(INDEX(Effort_Model!$J$6:$J$33,MATCH(K99&amp;"|"&amp;L99,Effort_Model!$B$6:$B$33,0)),"")</x:f>
        <x:v>26.4</x:v>
      </x:c>
      <x:c r="AC99" s="38">
        <x:v>205</x:v>
      </x:c>
      <x:c r="AD99" s="37">
        <x:f t="shared" si="1"/>
        <x:v>270.33330000000001</x:v>
      </x:c>
      <x:c r="AE99" s="37" t="n">
        <x:f>IFERROR(ROUND(IFERROR(INDEX(Scoring_Rules!$C$43:$C$44,MATCH(Q99,Scoring_Rules!$B$43:$B$44,0)),0)*Scoring_Rules!$C$6+IFERROR(INDEX(Scoring_Rules!$C$34:$C$40,MATCH(K99,Scoring_Rules!$B$34:$B$40,0)),0)*Scoring_Rules!$C$7+IFERROR(INDEX(Scoring_Rules!$C$16:$C$19,MATCH(P99,Scoring_Rules!$B$16:$B$19,0)),0)*Scoring_Rules!$C$8+IFERROR(INDEX(Scoring_Rules!$C$22:$C$25,MATCH(O99,Scoring_Rules!$B$22:$B$25,0)),0)*Scoring_Rules!$C$9+IFERROR(INDEX(Scoring_Rules!$C$47:$C$50,MATCH(X99,Scoring_Rules!$B$47:$B$50,0)),0)*Scoring_Rules!$C$10+IFERROR(INDEX(Scoring_Rules!$C$28:$C$31,MATCH(R99,Scoring_Rules!$B$28:$B$31,0)),0)*Scoring_Rules!$C$11,1),"")</x:f>
        <x:v>48.8</x:v>
      </x:c>
      <x:c r="AF99" s="35"/>
      <x:c r="AG99" s="33" t="s">
        <x:v>717</x:v>
      </x:c>
      <x:c r="AH99" s="36">
        <x:v>46301</x:v>
      </x:c>
      <x:c r="AI99" s="33" t="s">
        <x:v>125</x:v>
      </x:c>
      <x:c r="AJ99" s="34"/>
    </x:row>
    <x:row r="100" ht="23.25" customHeight="1">
      <x:c r="A100" s="31" t="s">
        <x:v>771</x:v>
      </x:c>
      <x:c r="B100" s="31" t="s">
        <x:v>772</x:v>
      </x:c>
      <x:c r="C100" s="31" t="s">
        <x:v>711</x:v>
      </x:c>
      <x:c r="D100" s="32" t="s">
        <x:v>575</x:v>
      </x:c>
      <x:c r="E100" s="32" t="str">
        <x:v>Functional Migration Only</x:v>
      </x:c>
      <x:c r="F100" s="33" t="s">
        <x:v>118</x:v>
      </x:c>
      <x:c r="G100" s="34" t="s">
        <x:v>713</x:v>
      </x:c>
      <x:c r="H100" s="33" t="s">
        <x:v>87</x:v>
      </x:c>
      <x:c r="I100" s="33" t="s">
        <x:v>714</x:v>
      </x:c>
      <x:c r="J100" s="33" t="s">
        <x:v>82</x:v>
      </x:c>
      <x:c r="K100" s="33" t="s">
        <x:v>60</x:v>
      </x:c>
      <x:c r="L100" s="33" t="s">
        <x:v>75</x:v>
      </x:c>
      <x:c r="M100" s="35">
        <x:v>35</x:v>
      </x:c>
      <x:c r="N100" s="35">
        <x:v>5443817</x:v>
      </x:c>
      <x:c r="O100" s="33" t="s">
        <x:v>73</x:v>
      </x:c>
      <x:c r="P100" s="33" t="s">
        <x:v>73</x:v>
      </x:c>
      <x:c r="Q100" s="33" t="s">
        <x:v>120</x:v>
      </x:c>
      <x:c r="R100" s="33" t="s">
        <x:v>73</x:v>
      </x:c>
      <x:c r="S100" s="31" t="s">
        <x:v>769</x:v>
      </x:c>
      <x:c r="T100" s="31" t="s">
        <x:v>770</x:v>
      </x:c>
      <x:c r="U100" s="31" t="s">
        <x:v>522</x:v>
      </x:c>
      <x:c r="V100" s="33" t="s">
        <x:v>277</x:v>
      </x:c>
      <x:c r="W100" s="33"/>
      <x:c r="X100" s="33" t="s">
        <x:v>238</x:v>
      </x:c>
      <x:c r="Y100" s="36"/>
      <x:c r="Z100" s="36">
        <x:v>46960</x:v>
      </x:c>
      <x:c r="AA100" s="33" t="s">
        <x:v>120</x:v>
      </x:c>
      <x:c r="AB100" s="37" t="n">
        <x:f>IFERROR(INDEX(Effort_Model!$J$6:$J$33,MATCH(K100&amp;"|"&amp;L100,Effort_Model!$B$6:$B$33,0)),"")</x:f>
        <x:v>42.4</x:v>
      </x:c>
      <x:c r="AC100" s="38">
        <x:v>512.5</x:v>
      </x:c>
      <x:c r="AD100" s="37">
        <x:f t="shared" si="1"/>
        <x:v>625.83330000000001</x:v>
      </x:c>
      <x:c r="AE100" s="37" t="n">
        <x:f>IFERROR(ROUND(IFERROR(INDEX(Scoring_Rules!$C$43:$C$44,MATCH(Q100,Scoring_Rules!$B$43:$B$44,0)),0)*Scoring_Rules!$C$6+IFERROR(INDEX(Scoring_Rules!$C$34:$C$40,MATCH(K100,Scoring_Rules!$B$34:$B$40,0)),0)*Scoring_Rules!$C$7+IFERROR(INDEX(Scoring_Rules!$C$16:$C$19,MATCH(P100,Scoring_Rules!$B$16:$B$19,0)),0)*Scoring_Rules!$C$8+IFERROR(INDEX(Scoring_Rules!$C$22:$C$25,MATCH(O100,Scoring_Rules!$B$22:$B$25,0)),0)*Scoring_Rules!$C$9+IFERROR(INDEX(Scoring_Rules!$C$47:$C$50,MATCH(X100,Scoring_Rules!$B$47:$B$50,0)),0)*Scoring_Rules!$C$10+IFERROR(INDEX(Scoring_Rules!$C$28:$C$31,MATCH(R100,Scoring_Rules!$B$28:$B$31,0)),0)*Scoring_Rules!$C$11,1),"")</x:f>
        <x:v>58</x:v>
      </x:c>
      <x:c r="AF100" s="35">
        <x:v>5</x:v>
      </x:c>
      <x:c r="AG100" s="33" t="s">
        <x:v>723</x:v>
      </x:c>
      <x:c r="AH100" s="36">
        <x:v>46342</x:v>
      </x:c>
      <x:c r="AI100" s="33" t="s">
        <x:v>127</x:v>
      </x:c>
      <x:c r="AJ100" s="34" t="s">
        <x:v>445</x:v>
      </x:c>
    </x:row>
    <x:row r="101" ht="15" customHeight="1">
      <x:c r="A101" s="31" t="s">
        <x:v>773</x:v>
      </x:c>
      <x:c r="B101" s="31" t="s">
        <x:v>774</x:v>
      </x:c>
      <x:c r="C101" s="31" t="s">
        <x:v>711</x:v>
      </x:c>
      <x:c r="D101" s="32" t="s">
        <x:v>726</x:v>
      </x:c>
      <x:c r="E101" s="32" t="str">
        <x:v>Data Migration Only</x:v>
      </x:c>
      <x:c r="F101" s="33" t="s">
        <x:v>118</x:v>
      </x:c>
      <x:c r="G101" s="34" t="s">
        <x:v>727</x:v>
      </x:c>
      <x:c r="H101" s="33" t="s">
        <x:v>87</x:v>
      </x:c>
      <x:c r="I101" s="33" t="s">
        <x:v>714</x:v>
      </x:c>
      <x:c r="J101" s="33" t="s">
        <x:v>80</x:v>
      </x:c>
      <x:c r="K101" s="33" t="s">
        <x:v>58</x:v>
      </x:c>
      <x:c r="L101" s="33" t="s">
        <x:v>73</x:v>
      </x:c>
      <x:c r="M101" s="35">
        <x:v>17</x:v>
      </x:c>
      <x:c r="N101" s="35">
        <x:v>562124</x:v>
      </x:c>
      <x:c r="O101" s="33" t="s">
        <x:v>101</x:v>
      </x:c>
      <x:c r="P101" s="33" t="s">
        <x:v>73</x:v>
      </x:c>
      <x:c r="Q101" s="33" t="s">
        <x:v>120</x:v>
      </x:c>
      <x:c r="R101" s="33" t="s">
        <x:v>73</x:v>
      </x:c>
      <x:c r="S101" s="31" t="s">
        <x:v>530</x:v>
      </x:c>
      <x:c r="T101" s="31" t="s">
        <x:v>531</x:v>
      </x:c>
      <x:c r="U101" s="31" t="s">
        <x:v>276</x:v>
      </x:c>
      <x:c r="V101" s="33" t="s">
        <x:v>303</x:v>
      </x:c>
      <x:c r="W101" s="33" t="s">
        <x:v>775</x:v>
      </x:c>
      <x:c r="X101" s="33" t="s">
        <x:v>240</x:v>
      </x:c>
      <x:c r="Y101" s="36">
        <x:v>46374</x:v>
      </x:c>
      <x:c r="Z101" s="36"/>
      <x:c r="AA101" s="33" t="s">
        <x:v>120</x:v>
      </x:c>
      <x:c r="AB101" s="37" t="n">
        <x:f>IFERROR(INDEX(Effort_Model!$J$6:$J$33,MATCH(K101&amp;"|"&amp;L101,Effort_Model!$B$6:$B$33,0)),"")</x:f>
        <x:v>26.4</x:v>
      </x:c>
      <x:c r="AC101" s="38">
        <x:v>165.9</x:v>
      </x:c>
      <x:c r="AD101" s="37">
        <x:f t="shared" si="1"/>
        <x:v>210.9</x:v>
      </x:c>
      <x:c r="AE101" s="37" t="n">
        <x:f>IFERROR(ROUND(IFERROR(INDEX(Scoring_Rules!$C$43:$C$44,MATCH(Q101,Scoring_Rules!$B$43:$B$44,0)),0)*Scoring_Rules!$C$6+IFERROR(INDEX(Scoring_Rules!$C$34:$C$40,MATCH(K101,Scoring_Rules!$B$34:$B$40,0)),0)*Scoring_Rules!$C$7+IFERROR(INDEX(Scoring_Rules!$C$16:$C$19,MATCH(P101,Scoring_Rules!$B$16:$B$19,0)),0)*Scoring_Rules!$C$8+IFERROR(INDEX(Scoring_Rules!$C$22:$C$25,MATCH(O101,Scoring_Rules!$B$22:$B$25,0)),0)*Scoring_Rules!$C$9+IFERROR(INDEX(Scoring_Rules!$C$47:$C$50,MATCH(X101,Scoring_Rules!$B$47:$B$50,0)),0)*Scoring_Rules!$C$10+IFERROR(INDEX(Scoring_Rules!$C$28:$C$31,MATCH(R101,Scoring_Rules!$B$28:$B$31,0)),0)*Scoring_Rules!$C$11,1),"")</x:f>
        <x:v>45.3</x:v>
      </x:c>
      <x:c r="AF101" s="35">
        <x:v>4</x:v>
      </x:c>
      <x:c r="AG101" s="33" t="s">
        <x:v>728</x:v>
      </x:c>
      <x:c r="AH101" s="36">
        <x:v>46389</x:v>
      </x:c>
      <x:c r="AI101" s="33" t="s">
        <x:v>126</x:v>
      </x:c>
      <x:c r="AJ101" s="34" t="s">
        <x:v>383</x:v>
      </x:c>
    </x:row>
    <x:row r="102" ht="15" customHeight="1">
      <x:c r="A102" s="31" t="s">
        <x:v>776</x:v>
      </x:c>
      <x:c r="B102" s="31" t="s">
        <x:v>777</x:v>
      </x:c>
      <x:c r="C102" s="31" t="s">
        <x:v>711</x:v>
      </x:c>
      <x:c r="D102" s="32" t="s">
        <x:v>493</x:v>
      </x:c>
      <x:c r="E102" s="32" t="str">
        <x:v>Functional Migration Only</x:v>
      </x:c>
      <x:c r="F102" s="33" t="s">
        <x:v>118</x:v>
      </x:c>
      <x:c r="G102" s="34" t="s">
        <x:v>727</x:v>
      </x:c>
      <x:c r="H102" s="33" t="s">
        <x:v>87</x:v>
      </x:c>
      <x:c r="I102" s="33" t="s">
        <x:v>714</x:v>
      </x:c>
      <x:c r="J102" s="33" t="s">
        <x:v>82</x:v>
      </x:c>
      <x:c r="K102" s="33" t="s">
        <x:v>62</x:v>
      </x:c>
      <x:c r="L102" s="33" t="s">
        <x:v>75</x:v>
      </x:c>
      <x:c r="M102" s="35">
        <x:v>56</x:v>
      </x:c>
      <x:c r="N102" s="35">
        <x:v>126185961</x:v>
      </x:c>
      <x:c r="O102" s="33" t="s">
        <x:v>101</x:v>
      </x:c>
      <x:c r="P102" s="33" t="s">
        <x:v>101</x:v>
      </x:c>
      <x:c r="Q102" s="33" t="s">
        <x:v>120</x:v>
      </x:c>
      <x:c r="R102" s="33" t="s">
        <x:v>101</x:v>
      </x:c>
      <x:c r="S102" s="31" t="s">
        <x:v>715</x:v>
      </x:c>
      <x:c r="T102" s="31" t="s">
        <x:v>778</x:v>
      </x:c>
      <x:c r="U102" s="31" t="s">
        <x:v>276</x:v>
      </x:c>
      <x:c r="V102" s="33" t="s">
        <x:v>444</x:v>
      </x:c>
      <x:c r="W102" s="33"/>
      <x:c r="X102" s="33" t="s">
        <x:v>238</x:v>
      </x:c>
      <x:c r="Y102" s="36"/>
      <x:c r="Z102" s="36"/>
      <x:c r="AA102" s="33" t="s">
        <x:v>120</x:v>
      </x:c>
      <x:c r="AB102" s="37" t="n">
        <x:f>IFERROR(INDEX(Effort_Model!$J$6:$J$33,MATCH(K102&amp;"|"&amp;L102,Effort_Model!$B$6:$B$33,0)),"")</x:f>
        <x:v>74.4</x:v>
      </x:c>
      <x:c r="AC102" s="38">
        <x:v>909.2</x:v>
      </x:c>
      <x:c r="AD102" s="37">
        <x:f t="shared" si="1"/>
        <x:v>1118.5333000000001</x:v>
      </x:c>
      <x:c r="AE102" s="37" t="n">
        <x:f>IFERROR(ROUND(IFERROR(INDEX(Scoring_Rules!$C$43:$C$44,MATCH(Q102,Scoring_Rules!$B$43:$B$44,0)),0)*Scoring_Rules!$C$6+IFERROR(INDEX(Scoring_Rules!$C$34:$C$40,MATCH(K102,Scoring_Rules!$B$34:$B$40,0)),0)*Scoring_Rules!$C$7+IFERROR(INDEX(Scoring_Rules!$C$16:$C$19,MATCH(P102,Scoring_Rules!$B$16:$B$19,0)),0)*Scoring_Rules!$C$8+IFERROR(INDEX(Scoring_Rules!$C$22:$C$25,MATCH(O102,Scoring_Rules!$B$22:$B$25,0)),0)*Scoring_Rules!$C$9+IFERROR(INDEX(Scoring_Rules!$C$47:$C$50,MATCH(X102,Scoring_Rules!$B$47:$B$50,0)),0)*Scoring_Rules!$C$10+IFERROR(INDEX(Scoring_Rules!$C$28:$C$31,MATCH(R102,Scoring_Rules!$B$28:$B$31,0)),0)*Scoring_Rules!$C$11,1),"")</x:f>
        <x:v>40</x:v>
      </x:c>
      <x:c r="AF102" s="35">
        <x:v>7</x:v>
      </x:c>
      <x:c r="AG102" s="33" t="s">
        <x:v>731</x:v>
      </x:c>
      <x:c r="AH102" s="36">
        <x:v>46321</x:v>
      </x:c>
      <x:c r="AI102" s="33" t="s">
        <x:v>127</x:v>
      </x:c>
      <x:c r="AJ102" s="34"/>
    </x:row>
    <x:row r="103" ht="23.25" customHeight="1">
      <x:c r="A103" s="31" t="s">
        <x:v>779</x:v>
      </x:c>
      <x:c r="B103" s="31" t="s">
        <x:v>780</x:v>
      </x:c>
      <x:c r="C103" s="31" t="s">
        <x:v>711</x:v>
      </x:c>
      <x:c r="D103" s="32" t="s">
        <x:v>781</x:v>
      </x:c>
      <x:c r="E103" s="32" t="str">
        <x:v>Data Migration Only</x:v>
      </x:c>
      <x:c r="F103" s="33" t="s">
        <x:v>118</x:v>
      </x:c>
      <x:c r="G103" s="34" t="s">
        <x:v>713</x:v>
      </x:c>
      <x:c r="H103" s="33" t="s">
        <x:v>87</x:v>
      </x:c>
      <x:c r="I103" s="33" t="s">
        <x:v>714</x:v>
      </x:c>
      <x:c r="J103" s="33" t="s">
        <x:v>80</x:v>
      </x:c>
      <x:c r="K103" s="33" t="s">
        <x:v>58</x:v>
      </x:c>
      <x:c r="L103" s="33" t="s">
        <x:v>73</x:v>
      </x:c>
      <x:c r="M103" s="35">
        <x:v>28</x:v>
      </x:c>
      <x:c r="N103" s="35">
        <x:v>988827</x:v>
      </x:c>
      <x:c r="O103" s="33" t="s">
        <x:v>98</x:v>
      </x:c>
      <x:c r="P103" s="33" t="s">
        <x:v>98</x:v>
      </x:c>
      <x:c r="Q103" s="33" t="s">
        <x:v>120</x:v>
      </x:c>
      <x:c r="R103" s="33" t="s">
        <x:v>98</x:v>
      </x:c>
      <x:c r="S103" s="31" t="s">
        <x:v>782</x:v>
      </x:c>
      <x:c r="T103" s="31" t="s">
        <x:v>783</x:v>
      </x:c>
      <x:c r="U103" s="31" t="s">
        <x:v>522</x:v>
      </x:c>
      <x:c r="V103" s="33" t="s">
        <x:v>289</x:v>
      </x:c>
      <x:c r="W103" s="33"/>
      <x:c r="X103" s="33" t="s">
        <x:v>238</x:v>
      </x:c>
      <x:c r="Y103" s="36">
        <x:v>46426</x:v>
      </x:c>
      <x:c r="Z103" s="36"/>
      <x:c r="AA103" s="33" t="s">
        <x:v>120</x:v>
      </x:c>
      <x:c r="AB103" s="37" t="n">
        <x:f>IFERROR(INDEX(Effort_Model!$J$6:$J$33,MATCH(K103&amp;"|"&amp;L103,Effort_Model!$B$6:$B$33,0)),"")</x:f>
        <x:v>26.4</x:v>
      </x:c>
      <x:c r="AC103" s="38">
        <x:v>157.30000000000001</x:v>
      </x:c>
      <x:c r="AD103" s="37">
        <x:f t="shared" si="1"/>
        <x:v>202.3</x:v>
      </x:c>
      <x:c r="AE103" s="37" t="n">
        <x:f>IFERROR(ROUND(IFERROR(INDEX(Scoring_Rules!$C$43:$C$44,MATCH(Q103,Scoring_Rules!$B$43:$B$44,0)),0)*Scoring_Rules!$C$6+IFERROR(INDEX(Scoring_Rules!$C$34:$C$40,MATCH(K103,Scoring_Rules!$B$34:$B$40,0)),0)*Scoring_Rules!$C$7+IFERROR(INDEX(Scoring_Rules!$C$16:$C$19,MATCH(P103,Scoring_Rules!$B$16:$B$19,0)),0)*Scoring_Rules!$C$8+IFERROR(INDEX(Scoring_Rules!$C$22:$C$25,MATCH(O103,Scoring_Rules!$B$22:$B$25,0)),0)*Scoring_Rules!$C$9+IFERROR(INDEX(Scoring_Rules!$C$47:$C$50,MATCH(X103,Scoring_Rules!$B$47:$B$50,0)),0)*Scoring_Rules!$C$10+IFERROR(INDEX(Scoring_Rules!$C$28:$C$31,MATCH(R103,Scoring_Rules!$B$28:$B$31,0)),0)*Scoring_Rules!$C$11,1),"")</x:f>
        <x:v>73</x:v>
      </x:c>
      <x:c r="AF103" s="35">
        <x:v>2</x:v>
      </x:c>
      <x:c r="AG103" s="33" t="s">
        <x:v>717</x:v>
      </x:c>
      <x:c r="AH103" s="36">
        <x:v>46305</x:v>
      </x:c>
      <x:c r="AI103" s="33" t="s">
        <x:v>127</x:v>
      </x:c>
      <x:c r="AJ103" s="34" t="s">
        <x:v>336</x:v>
      </x:c>
    </x:row>
    <x:row r="104" ht="23.25" customHeight="1">
      <x:c r="A104" s="31" t="s">
        <x:v>784</x:v>
      </x:c>
      <x:c r="B104" s="31" t="s">
        <x:v>785</x:v>
      </x:c>
      <x:c r="C104" s="31" t="s">
        <x:v>711</x:v>
      </x:c>
      <x:c r="D104" s="32" t="s">
        <x:v>786</x:v>
      </x:c>
      <x:c r="E104" s="32" t="str">
        <x:v>Functional Migration Only</x:v>
      </x:c>
      <x:c r="F104" s="33" t="s">
        <x:v>118</x:v>
      </x:c>
      <x:c r="G104" s="34" t="s">
        <x:v>787</x:v>
      </x:c>
      <x:c r="H104" s="33" t="s">
        <x:v>87</x:v>
      </x:c>
      <x:c r="I104" s="33" t="s">
        <x:v>714</x:v>
      </x:c>
      <x:c r="J104" s="33" t="s">
        <x:v>82</x:v>
      </x:c>
      <x:c r="K104" s="33" t="s">
        <x:v>60</x:v>
      </x:c>
      <x:c r="L104" s="33" t="s">
        <x:v>71</x:v>
      </x:c>
      <x:c r="M104" s="35">
        <x:v>45</x:v>
      </x:c>
      <x:c r="N104" s="35">
        <x:v>3126939</x:v>
      </x:c>
      <x:c r="O104" s="33" t="s">
        <x:v>101</x:v>
      </x:c>
      <x:c r="P104" s="33" t="s">
        <x:v>101</x:v>
      </x:c>
      <x:c r="Q104" s="33" t="s">
        <x:v>120</x:v>
      </x:c>
      <x:c r="R104" s="33" t="s">
        <x:v>101</x:v>
      </x:c>
      <x:c r="S104" s="31" t="s">
        <x:v>530</x:v>
      </x:c>
      <x:c r="T104" s="31" t="s">
        <x:v>788</x:v>
      </x:c>
      <x:c r="U104" s="31" t="s">
        <x:v>276</x:v>
      </x:c>
      <x:c r="V104" s="33" t="s">
        <x:v>444</x:v>
      </x:c>
      <x:c r="W104" s="33"/>
      <x:c r="X104" s="33" t="s">
        <x:v>238</x:v>
      </x:c>
      <x:c r="Y104" s="36"/>
      <x:c r="Z104" s="36"/>
      <x:c r="AA104" s="33" t="s">
        <x:v>120</x:v>
      </x:c>
      <x:c r="AB104" s="37" t="n">
        <x:f>IFERROR(INDEX(Effort_Model!$J$6:$J$33,MATCH(K104&amp;"|"&amp;L104,Effort_Model!$B$6:$B$33,0)),"")</x:f>
        <x:v>18.4</x:v>
      </x:c>
      <x:c r="AC104" s="38">
        <x:v>294.89999999999998</x:v>
      </x:c>
      <x:c r="AD104" s="37">
        <x:f t="shared" si="1"/>
        <x:v>337.29999999999995</x:v>
      </x:c>
      <x:c r="AE104" s="37" t="n">
        <x:f>IFERROR(ROUND(IFERROR(INDEX(Scoring_Rules!$C$43:$C$44,MATCH(Q104,Scoring_Rules!$B$43:$B$44,0)),0)*Scoring_Rules!$C$6+IFERROR(INDEX(Scoring_Rules!$C$34:$C$40,MATCH(K104,Scoring_Rules!$B$34:$B$40,0)),0)*Scoring_Rules!$C$7+IFERROR(INDEX(Scoring_Rules!$C$16:$C$19,MATCH(P104,Scoring_Rules!$B$16:$B$19,0)),0)*Scoring_Rules!$C$8+IFERROR(INDEX(Scoring_Rules!$C$22:$C$25,MATCH(O104,Scoring_Rules!$B$22:$B$25,0)),0)*Scoring_Rules!$C$9+IFERROR(INDEX(Scoring_Rules!$C$47:$C$50,MATCH(X104,Scoring_Rules!$B$47:$B$50,0)),0)*Scoring_Rules!$C$10+IFERROR(INDEX(Scoring_Rules!$C$28:$C$31,MATCH(R104,Scoring_Rules!$B$28:$B$31,0)),0)*Scoring_Rules!$C$11,1),"")</x:f>
        <x:v>44</x:v>
      </x:c>
      <x:c r="AF104" s="35">
        <x:v>3</x:v>
      </x:c>
      <x:c r="AG104" s="33" t="s">
        <x:v>723</x:v>
      </x:c>
      <x:c r="AH104" s="36">
        <x:v>46384</x:v>
      </x:c>
      <x:c r="AI104" s="33" t="s">
        <x:v>124</x:v>
      </x:c>
      <x:c r="AJ104" s="34" t="s">
        <x:v>312</x:v>
      </x:c>
    </x:row>
    <x:row r="105" ht="15" customHeight="1">
      <x:c r="A105" s="31" t="s">
        <x:v>789</x:v>
      </x:c>
      <x:c r="B105" s="31" t="s">
        <x:v>790</x:v>
      </x:c>
      <x:c r="C105" s="31" t="s">
        <x:v>711</x:v>
      </x:c>
      <x:c r="D105" s="32" t="s">
        <x:v>485</x:v>
      </x:c>
      <x:c r="E105" s="32" t="str">
        <x:v>Data Migration Only</x:v>
      </x:c>
      <x:c r="F105" s="33" t="s">
        <x:v>118</x:v>
      </x:c>
      <x:c r="G105" s="34" t="s">
        <x:v>713</x:v>
      </x:c>
      <x:c r="H105" s="33" t="s">
        <x:v>87</x:v>
      </x:c>
      <x:c r="I105" s="33" t="s">
        <x:v>714</x:v>
      </x:c>
      <x:c r="J105" s="33" t="s">
        <x:v>80</x:v>
      </x:c>
      <x:c r="K105" s="33" t="s">
        <x:v>62</x:v>
      </x:c>
      <x:c r="L105" s="33" t="s">
        <x:v>73</x:v>
      </x:c>
      <x:c r="M105" s="35">
        <x:v>55</x:v>
      </x:c>
      <x:c r="N105" s="35">
        <x:v>149284677</x:v>
      </x:c>
      <x:c r="O105" s="33" t="s">
        <x:v>101</x:v>
      </x:c>
      <x:c r="P105" s="33" t="s">
        <x:v>101</x:v>
      </x:c>
      <x:c r="Q105" s="33" t="s">
        <x:v>120</x:v>
      </x:c>
      <x:c r="R105" s="33" t="s">
        <x:v>115</x:v>
      </x:c>
      <x:c r="S105" s="31" t="s">
        <x:v>535</x:v>
      </x:c>
      <x:c r="T105" s="31" t="s">
        <x:v>536</x:v>
      </x:c>
      <x:c r="U105" s="31" t="s">
        <x:v>276</x:v>
      </x:c>
      <x:c r="V105" s="33" t="s">
        <x:v>365</x:v>
      </x:c>
      <x:c r="W105" s="33"/>
      <x:c r="X105" s="33" t="s">
        <x:v>238</x:v>
      </x:c>
      <x:c r="Y105" s="36"/>
      <x:c r="Z105" s="36"/>
      <x:c r="AA105" s="33" t="s">
        <x:v>120</x:v>
      </x:c>
      <x:c r="AB105" s="37" t="n">
        <x:f>IFERROR(INDEX(Effort_Model!$J$6:$J$33,MATCH(K105&amp;"|"&amp;L105,Effort_Model!$B$6:$B$33,0)),"")</x:f>
        <x:v>74.4</x:v>
      </x:c>
      <x:c r="AC105" s="38">
        <x:v>429.2</x:v>
      </x:c>
      <x:c r="AD105" s="37">
        <x:f t="shared" si="1"/>
        <x:v>570.20000000000005</x:v>
      </x:c>
      <x:c r="AE105" s="37" t="n">
        <x:f>IFERROR(ROUND(IFERROR(INDEX(Scoring_Rules!$C$43:$C$44,MATCH(Q105,Scoring_Rules!$B$43:$B$44,0)),0)*Scoring_Rules!$C$6+IFERROR(INDEX(Scoring_Rules!$C$34:$C$40,MATCH(K105,Scoring_Rules!$B$34:$B$40,0)),0)*Scoring_Rules!$C$7+IFERROR(INDEX(Scoring_Rules!$C$16:$C$19,MATCH(P105,Scoring_Rules!$B$16:$B$19,0)),0)*Scoring_Rules!$C$8+IFERROR(INDEX(Scoring_Rules!$C$22:$C$25,MATCH(O105,Scoring_Rules!$B$22:$B$25,0)),0)*Scoring_Rules!$C$9+IFERROR(INDEX(Scoring_Rules!$C$47:$C$50,MATCH(X105,Scoring_Rules!$B$47:$B$50,0)),0)*Scoring_Rules!$C$10+IFERROR(INDEX(Scoring_Rules!$C$28:$C$31,MATCH(R105,Scoring_Rules!$B$28:$B$31,0)),0)*Scoring_Rules!$C$11,1),"")</x:f>
        <x:v>38.3</x:v>
      </x:c>
      <x:c r="AF105" s="35">
        <x:v>5</x:v>
      </x:c>
      <x:c r="AG105" s="33" t="s">
        <x:v>728</x:v>
      </x:c>
      <x:c r="AH105" s="36">
        <x:v>46319</x:v>
      </x:c>
      <x:c r="AI105" s="33" t="s">
        <x:v>127</x:v>
      </x:c>
      <x:c r="AJ105" s="34"/>
    </x:row>
    <x:row r="106" ht="15" customHeight="1">
      <x:c r="A106" s="31" t="s">
        <x:v>791</x:v>
      </x:c>
      <x:c r="B106" s="31" t="s">
        <x:v>792</x:v>
      </x:c>
      <x:c r="C106" s="31" t="s">
        <x:v>711</x:v>
      </x:c>
      <x:c r="D106" s="32" t="s">
        <x:v>485</x:v>
      </x:c>
      <x:c r="E106" s="32" t="str">
        <x:v>Data Migration Only</x:v>
      </x:c>
      <x:c r="F106" s="33" t="s">
        <x:v>118</x:v>
      </x:c>
      <x:c r="G106" s="34" t="s">
        <x:v>787</x:v>
      </x:c>
      <x:c r="H106" s="33" t="s">
        <x:v>87</x:v>
      </x:c>
      <x:c r="I106" s="33" t="s">
        <x:v>714</x:v>
      </x:c>
      <x:c r="J106" s="33" t="s">
        <x:v>80</x:v>
      </x:c>
      <x:c r="K106" s="33" t="s">
        <x:v>56</x:v>
      </x:c>
      <x:c r="L106" s="33" t="s">
        <x:v>75</x:v>
      </x:c>
      <x:c r="M106" s="35">
        <x:v>9</x:v>
      </x:c>
      <x:c r="N106" s="35">
        <x:v>126605</x:v>
      </x:c>
      <x:c r="O106" s="33" t="s">
        <x:v>98</x:v>
      </x:c>
      <x:c r="P106" s="33" t="s">
        <x:v>73</x:v>
      </x:c>
      <x:c r="Q106" s="33" t="s">
        <x:v>120</x:v>
      </x:c>
      <x:c r="R106" s="33" t="s">
        <x:v>73</x:v>
      </x:c>
      <x:c r="S106" s="31" t="s">
        <x:v>535</x:v>
      </x:c>
      <x:c r="T106" s="31" t="s">
        <x:v>793</x:v>
      </x:c>
      <x:c r="U106" s="31" t="s">
        <x:v>276</x:v>
      </x:c>
      <x:c r="V106" s="33" t="s">
        <x:v>289</x:v>
      </x:c>
      <x:c r="W106" s="33"/>
      <x:c r="X106" s="33" t="s">
        <x:v>238</x:v>
      </x:c>
      <x:c r="Y106" s="36"/>
      <x:c r="Z106" s="36"/>
      <x:c r="AA106" s="33" t="s">
        <x:v>120</x:v>
      </x:c>
      <x:c r="AB106" s="37" t="n">
        <x:f>IFERROR(INDEX(Effort_Model!$J$6:$J$33,MATCH(K106&amp;"|"&amp;L106,Effort_Model!$B$6:$B$33,0)),"")</x:f>
        <x:v>18.4</x:v>
      </x:c>
      <x:c r="AC106" s="38">
        <x:v>101.1</x:v>
      </x:c>
      <x:c r="AD106" s="37">
        <x:f t="shared" si="1"/>
        <x:v>142.4333</x:v>
      </x:c>
      <x:c r="AE106" s="37" t="n">
        <x:f>IFERROR(ROUND(IFERROR(INDEX(Scoring_Rules!$C$43:$C$44,MATCH(Q106,Scoring_Rules!$B$43:$B$44,0)),0)*Scoring_Rules!$C$6+IFERROR(INDEX(Scoring_Rules!$C$34:$C$40,MATCH(K106,Scoring_Rules!$B$34:$B$40,0)),0)*Scoring_Rules!$C$7+IFERROR(INDEX(Scoring_Rules!$C$16:$C$19,MATCH(P106,Scoring_Rules!$B$16:$B$19,0)),0)*Scoring_Rules!$C$8+IFERROR(INDEX(Scoring_Rules!$C$22:$C$25,MATCH(O106,Scoring_Rules!$B$22:$B$25,0)),0)*Scoring_Rules!$C$9+IFERROR(INDEX(Scoring_Rules!$C$47:$C$50,MATCH(X106,Scoring_Rules!$B$47:$B$50,0)),0)*Scoring_Rules!$C$10+IFERROR(INDEX(Scoring_Rules!$C$28:$C$31,MATCH(R106,Scoring_Rules!$B$28:$B$31,0)),0)*Scoring_Rules!$C$11,1),"")</x:f>
        <x:v>67.5</x:v>
      </x:c>
      <x:c r="AF106" s="35">
        <x:v>3</x:v>
      </x:c>
      <x:c r="AG106" s="33" t="s">
        <x:v>731</x:v>
      </x:c>
      <x:c r="AH106" s="36">
        <x:v>46410</x:v>
      </x:c>
      <x:c r="AI106" s="33" t="s">
        <x:v>125</x:v>
      </x:c>
      <x:c r="AJ106" s="34"/>
    </x:row>
    <x:row r="107" ht="15" customHeight="1">
      <x:c r="A107" s="31" t="s">
        <x:v>794</x:v>
      </x:c>
      <x:c r="B107" s="31" t="s">
        <x:v>795</x:v>
      </x:c>
      <x:c r="C107" s="31" t="s">
        <x:v>711</x:v>
      </x:c>
      <x:c r="D107" s="32" t="s">
        <x:v>726</x:v>
      </x:c>
      <x:c r="E107" s="32" t="str">
        <x:v>Functional Migration Only</x:v>
      </x:c>
      <x:c r="F107" s="33" t="s">
        <x:v>120</x:v>
      </x:c>
      <x:c r="G107" s="34" t="s">
        <x:v>720</x:v>
      </x:c>
      <x:c r="H107" s="33" t="s">
        <x:v>87</x:v>
      </x:c>
      <x:c r="I107" s="33" t="s">
        <x:v>714</x:v>
      </x:c>
      <x:c r="J107" s="33" t="s">
        <x:v>82</x:v>
      </x:c>
      <x:c r="K107" s="33" t="s">
        <x:v>60</x:v>
      </x:c>
      <x:c r="L107" s="33" t="s">
        <x:v>73</x:v>
      </x:c>
      <x:c r="M107" s="35">
        <x:v>48</x:v>
      </x:c>
      <x:c r="N107" s="35">
        <x:v>4275614</x:v>
      </x:c>
      <x:c r="O107" s="33" t="s">
        <x:v>98</x:v>
      </x:c>
      <x:c r="P107" s="33" t="s">
        <x:v>73</x:v>
      </x:c>
      <x:c r="Q107" s="33" t="s">
        <x:v>120</x:v>
      </x:c>
      <x:c r="R107" s="33" t="s">
        <x:v>73</x:v>
      </x:c>
      <x:c r="S107" s="31" t="s">
        <x:v>604</x:v>
      </x:c>
      <x:c r="T107" s="31" t="s">
        <x:v>796</x:v>
      </x:c>
      <x:c r="U107" s="31" t="s">
        <x:v>276</x:v>
      </x:c>
      <x:c r="V107" s="33" t="s">
        <x:v>303</x:v>
      </x:c>
      <x:c r="W107" s="33" t="s">
        <x:v>789</x:v>
      </x:c>
      <x:c r="X107" s="33" t="s">
        <x:v>240</x:v>
      </x:c>
      <x:c r="Y107" s="36"/>
      <x:c r="Z107" s="36"/>
      <x:c r="AA107" s="33" t="s">
        <x:v>120</x:v>
      </x:c>
      <x:c r="AB107" s="37" t="n">
        <x:f>IFERROR(INDEX(Effort_Model!$J$6:$J$33,MATCH(K107&amp;"|"&amp;L107,Effort_Model!$B$6:$B$33,0)),"")</x:f>
        <x:v>42.4</x:v>
      </x:c>
      <x:c r="AC107" s="38">
        <x:v>410</x:v>
      </x:c>
      <x:c r="AD107" s="37">
        <x:f t="shared" si="1"/>
        <x:v>487</x:v>
      </x:c>
      <x:c r="AE107" s="37" t="n">
        <x:f>IFERROR(ROUND(IFERROR(INDEX(Scoring_Rules!$C$43:$C$44,MATCH(Q107,Scoring_Rules!$B$43:$B$44,0)),0)*Scoring_Rules!$C$6+IFERROR(INDEX(Scoring_Rules!$C$34:$C$40,MATCH(K107,Scoring_Rules!$B$34:$B$40,0)),0)*Scoring_Rules!$C$7+IFERROR(INDEX(Scoring_Rules!$C$16:$C$19,MATCH(P107,Scoring_Rules!$B$16:$B$19,0)),0)*Scoring_Rules!$C$8+IFERROR(INDEX(Scoring_Rules!$C$22:$C$25,MATCH(O107,Scoring_Rules!$B$22:$B$25,0)),0)*Scoring_Rules!$C$9+IFERROR(INDEX(Scoring_Rules!$C$47:$C$50,MATCH(X107,Scoring_Rules!$B$47:$B$50,0)),0)*Scoring_Rules!$C$10+IFERROR(INDEX(Scoring_Rules!$C$28:$C$31,MATCH(R107,Scoring_Rules!$B$28:$B$31,0)),0)*Scoring_Rules!$C$11,1),"")</x:f>
        <x:v>52</x:v>
      </x:c>
      <x:c r="AF107" s="35">
        <x:v>3</x:v>
      </x:c>
      <x:c r="AG107" s="33" t="s">
        <x:v>717</x:v>
      </x:c>
      <x:c r="AH107" s="36">
        <x:v>46382</x:v>
      </x:c>
      <x:c r="AI107" s="33" t="s">
        <x:v>126</x:v>
      </x:c>
      <x:c r="AJ107" s="34" t="s">
        <x:v>312</x:v>
      </x:c>
    </x:row>
    <x:row r="108" ht="15" customHeight="1">
      <x:c r="A108" s="31" t="s">
        <x:v>797</x:v>
      </x:c>
      <x:c r="B108" s="31" t="s">
        <x:v>798</x:v>
      </x:c>
      <x:c r="C108" s="31" t="s">
        <x:v>711</x:v>
      </x:c>
      <x:c r="D108" s="32" t="s">
        <x:v>799</x:v>
      </x:c>
      <x:c r="E108" s="32" t="str">
        <x:v>Data Migration Only</x:v>
      </x:c>
      <x:c r="F108" s="33" t="s">
        <x:v>118</x:v>
      </x:c>
      <x:c r="G108" s="34" t="s">
        <x:v>713</x:v>
      </x:c>
      <x:c r="H108" s="33" t="s">
        <x:v>87</x:v>
      </x:c>
      <x:c r="I108" s="33" t="s">
        <x:v>714</x:v>
      </x:c>
      <x:c r="J108" s="33" t="s">
        <x:v>80</x:v>
      </x:c>
      <x:c r="K108" s="33" t="s">
        <x:v>62</x:v>
      </x:c>
      <x:c r="L108" s="33" t="s">
        <x:v>73</x:v>
      </x:c>
      <x:c r="M108" s="35">
        <x:v>59</x:v>
      </x:c>
      <x:c r="N108" s="35">
        <x:v>87646018</x:v>
      </x:c>
      <x:c r="O108" s="33" t="s">
        <x:v>101</x:v>
      </x:c>
      <x:c r="P108" s="33" t="s">
        <x:v>73</x:v>
      </x:c>
      <x:c r="Q108" s="33" t="s">
        <x:v>120</x:v>
      </x:c>
      <x:c r="R108" s="33" t="s">
        <x:v>101</x:v>
      </x:c>
      <x:c r="S108" s="31" t="s">
        <x:v>800</x:v>
      </x:c>
      <x:c r="T108" s="31" t="s">
        <x:v>801</x:v>
      </x:c>
      <x:c r="U108" s="31" t="s">
        <x:v>276</x:v>
      </x:c>
      <x:c r="V108" s="33" t="s">
        <x:v>451</x:v>
      </x:c>
      <x:c r="W108" s="33"/>
      <x:c r="X108" s="33" t="s">
        <x:v>238</x:v>
      </x:c>
      <x:c r="Y108" s="36"/>
      <x:c r="Z108" s="36"/>
      <x:c r="AA108" s="33" t="s">
        <x:v>120</x:v>
      </x:c>
      <x:c r="AB108" s="37" t="n">
        <x:f>IFERROR(INDEX(Effort_Model!$J$6:$J$33,MATCH(K108&amp;"|"&amp;L108,Effort_Model!$B$6:$B$33,0)),"")</x:f>
        <x:v>74.4</x:v>
      </x:c>
      <x:c r="AC108" s="38">
        <x:v>418.7</x:v>
      </x:c>
      <x:c r="AD108" s="37">
        <x:f t="shared" si="1"/>
        <x:v>559.70000000000005</x:v>
      </x:c>
      <x:c r="AE108" s="37" t="n">
        <x:f>IFERROR(ROUND(IFERROR(INDEX(Scoring_Rules!$C$43:$C$44,MATCH(Q108,Scoring_Rules!$B$43:$B$44,0)),0)*Scoring_Rules!$C$6+IFERROR(INDEX(Scoring_Rules!$C$34:$C$40,MATCH(K108,Scoring_Rules!$B$34:$B$40,0)),0)*Scoring_Rules!$C$7+IFERROR(INDEX(Scoring_Rules!$C$16:$C$19,MATCH(P108,Scoring_Rules!$B$16:$B$19,0)),0)*Scoring_Rules!$C$8+IFERROR(INDEX(Scoring_Rules!$C$22:$C$25,MATCH(O108,Scoring_Rules!$B$22:$B$25,0)),0)*Scoring_Rules!$C$9+IFERROR(INDEX(Scoring_Rules!$C$47:$C$50,MATCH(X108,Scoring_Rules!$B$47:$B$50,0)),0)*Scoring_Rules!$C$10+IFERROR(INDEX(Scoring_Rules!$C$28:$C$31,MATCH(R108,Scoring_Rules!$B$28:$B$31,0)),0)*Scoring_Rules!$C$11,1),"")</x:f>
        <x:v>47</x:v>
      </x:c>
      <x:c r="AF108" s="35">
        <x:v>4</x:v>
      </x:c>
      <x:c r="AG108" s="33" t="s">
        <x:v>723</x:v>
      </x:c>
      <x:c r="AH108" s="36">
        <x:v>46326</x:v>
      </x:c>
      <x:c r="AI108" s="33" t="s">
        <x:v>127</x:v>
      </x:c>
      <x:c r="AJ108" s="34" t="s">
        <x:v>312</x:v>
      </x:c>
    </x:row>
    <x:row r="109" ht="45.75" customHeight="1">
      <x:c r="A109" s="31" t="s">
        <x:v>802</x:v>
      </x:c>
      <x:c r="B109" s="31" t="s">
        <x:v>803</x:v>
      </x:c>
      <x:c r="C109" s="31" t="s">
        <x:v>711</x:v>
      </x:c>
      <x:c r="D109" s="32" t="s">
        <x:v>804</x:v>
      </x:c>
      <x:c r="E109" s="32" t="str">
        <x:v>Data Migration Only</x:v>
      </x:c>
      <x:c r="F109" s="33" t="s">
        <x:v>120</x:v>
      </x:c>
      <x:c r="G109" s="34" t="s">
        <x:v>713</x:v>
      </x:c>
      <x:c r="H109" s="33" t="s">
        <x:v>87</x:v>
      </x:c>
      <x:c r="I109" s="33" t="s">
        <x:v>714</x:v>
      </x:c>
      <x:c r="J109" s="33" t="s">
        <x:v>80</x:v>
      </x:c>
      <x:c r="K109" s="33" t="s">
        <x:v>64</x:v>
      </x:c>
      <x:c r="L109" s="33" t="s">
        <x:v>75</x:v>
      </x:c>
      <x:c r="M109" s="35">
        <x:v>86</x:v>
      </x:c>
      <x:c r="N109" s="35">
        <x:v>1035635536</x:v>
      </x:c>
      <x:c r="O109" s="33" t="s">
        <x:v>98</x:v>
      </x:c>
      <x:c r="P109" s="33" t="s">
        <x:v>101</x:v>
      </x:c>
      <x:c r="Q109" s="33" t="s">
        <x:v>120</x:v>
      </x:c>
      <x:c r="R109" s="33" t="s">
        <x:v>73</x:v>
      </x:c>
      <x:c r="S109" s="31" t="s">
        <x:v>747</x:v>
      </x:c>
      <x:c r="T109" s="31" t="s">
        <x:v>748</x:v>
      </x:c>
      <x:c r="U109" s="31" t="s">
        <x:v>276</x:v>
      </x:c>
      <x:c r="V109" s="33" t="s">
        <x:v>277</x:v>
      </x:c>
      <x:c r="W109" s="33"/>
      <x:c r="X109" s="33" t="s">
        <x:v>238</x:v>
      </x:c>
      <x:c r="Y109" s="36"/>
      <x:c r="Z109" s="36"/>
      <x:c r="AA109" s="33" t="s">
        <x:v>120</x:v>
      </x:c>
      <x:c r="AB109" s="37" t="n">
        <x:f>IFERROR(INDEX(Effort_Model!$J$6:$J$33,MATCH(K109&amp;"|"&amp;L109,Effort_Model!$B$6:$B$33,0)),"")</x:f>
        <x:v>106.4</x:v>
      </x:c>
      <x:c r="AC109" s="38">
        <x:v>937.6</x:v>
      </x:c>
      <x:c r="AD109" s="37">
        <x:f t="shared" si="1"/>
        <x:v>1242.9333000000001</x:v>
      </x:c>
      <x:c r="AE109" s="37" t="n">
        <x:f>IFERROR(ROUND(IFERROR(INDEX(Scoring_Rules!$C$43:$C$44,MATCH(Q109,Scoring_Rules!$B$43:$B$44,0)),0)*Scoring_Rules!$C$6+IFERROR(INDEX(Scoring_Rules!$C$34:$C$40,MATCH(K109,Scoring_Rules!$B$34:$B$40,0)),0)*Scoring_Rules!$C$7+IFERROR(INDEX(Scoring_Rules!$C$16:$C$19,MATCH(P109,Scoring_Rules!$B$16:$B$19,0)),0)*Scoring_Rules!$C$8+IFERROR(INDEX(Scoring_Rules!$C$22:$C$25,MATCH(O109,Scoring_Rules!$B$22:$B$25,0)),0)*Scoring_Rules!$C$9+IFERROR(INDEX(Scoring_Rules!$C$47:$C$50,MATCH(X109,Scoring_Rules!$B$47:$B$50,0)),0)*Scoring_Rules!$C$10+IFERROR(INDEX(Scoring_Rules!$C$28:$C$31,MATCH(R109,Scoring_Rules!$B$28:$B$31,0)),0)*Scoring_Rules!$C$11,1),"")</x:f>
        <x:v>47.5</x:v>
      </x:c>
      <x:c r="AF109" s="35">
        <x:v>6</x:v>
      </x:c>
      <x:c r="AG109" s="33" t="s">
        <x:v>728</x:v>
      </x:c>
      <x:c r="AH109" s="36">
        <x:v>46338</x:v>
      </x:c>
      <x:c r="AI109" s="33" t="s">
        <x:v>124</x:v>
      </x:c>
      <x:c r="AJ109" s="34" t="s">
        <x:v>354</x:v>
      </x:c>
    </x:row>
    <x:row r="110" ht="23.25" customHeight="1">
      <x:c r="A110" s="31" t="s">
        <x:v>805</x:v>
      </x:c>
      <x:c r="B110" s="31" t="s">
        <x:v>806</x:v>
      </x:c>
      <x:c r="C110" s="31" t="s">
        <x:v>711</x:v>
      </x:c>
      <x:c r="D110" s="32" t="s">
        <x:v>754</x:v>
      </x:c>
      <x:c r="E110" s="32" t="str">
        <x:v>Functional Migration Only</x:v>
      </x:c>
      <x:c r="F110" s="33" t="s">
        <x:v>120</x:v>
      </x:c>
      <x:c r="G110" s="34" t="s">
        <x:v>720</x:v>
      </x:c>
      <x:c r="H110" s="33" t="s">
        <x:v>87</x:v>
      </x:c>
      <x:c r="I110" s="33" t="s">
        <x:v>714</x:v>
      </x:c>
      <x:c r="J110" s="33" t="s">
        <x:v>82</x:v>
      </x:c>
      <x:c r="K110" s="33" t="s">
        <x:v>58</x:v>
      </x:c>
      <x:c r="L110" s="33" t="s">
        <x:v>71</x:v>
      </x:c>
      <x:c r="M110" s="35">
        <x:v>13</x:v>
      </x:c>
      <x:c r="N110" s="35">
        <x:v>1246879</x:v>
      </x:c>
      <x:c r="O110" s="33" t="s">
        <x:v>73</x:v>
      </x:c>
      <x:c r="P110" s="33" t="s">
        <x:v>73</x:v>
      </x:c>
      <x:c r="Q110" s="33" t="s">
        <x:v>118</x:v>
      </x:c>
      <x:c r="R110" s="33" t="s">
        <x:v>101</x:v>
      </x:c>
      <x:c r="S110" s="31" t="s">
        <x:v>807</x:v>
      </x:c>
      <x:c r="T110" s="31" t="s">
        <x:v>808</x:v>
      </x:c>
      <x:c r="U110" s="31" t="s">
        <x:v>522</x:v>
      </x:c>
      <x:c r="V110" s="33" t="s">
        <x:v>303</x:v>
      </x:c>
      <x:c r="W110" s="33" t="s">
        <x:v>794</x:v>
      </x:c>
      <x:c r="X110" s="33" t="s">
        <x:v>240</x:v>
      </x:c>
      <x:c r="Y110" s="36"/>
      <x:c r="Z110" s="36"/>
      <x:c r="AA110" s="33" t="s">
        <x:v>120</x:v>
      </x:c>
      <x:c r="AB110" s="37" t="n">
        <x:f>IFERROR(INDEX(Effort_Model!$J$6:$J$33,MATCH(K110&amp;"|"&amp;L110,Effort_Model!$B$6:$B$33,0)),"")</x:f>
        <x:v>18.4</x:v>
      </x:c>
      <x:c r="AC110" s="38">
        <x:v>159</x:v>
      </x:c>
      <x:c r="AD110" s="37">
        <x:f t="shared" si="1"/>
        <x:v>185.4</x:v>
      </x:c>
      <x:c r="AE110" s="37" t="n">
        <x:f>IFERROR(ROUND(IFERROR(INDEX(Scoring_Rules!$C$43:$C$44,MATCH(Q110,Scoring_Rules!$B$43:$B$44,0)),0)*Scoring_Rules!$C$6+IFERROR(INDEX(Scoring_Rules!$C$34:$C$40,MATCH(K110,Scoring_Rules!$B$34:$B$40,0)),0)*Scoring_Rules!$C$7+IFERROR(INDEX(Scoring_Rules!$C$16:$C$19,MATCH(P110,Scoring_Rules!$B$16:$B$19,0)),0)*Scoring_Rules!$C$8+IFERROR(INDEX(Scoring_Rules!$C$22:$C$25,MATCH(O110,Scoring_Rules!$B$22:$B$25,0)),0)*Scoring_Rules!$C$9+IFERROR(INDEX(Scoring_Rules!$C$47:$C$50,MATCH(X110,Scoring_Rules!$B$47:$B$50,0)),0)*Scoring_Rules!$C$10+IFERROR(INDEX(Scoring_Rules!$C$28:$C$31,MATCH(R110,Scoring_Rules!$B$28:$B$31,0)),0)*Scoring_Rules!$C$11,1),"")</x:f>
        <x:v>73.8</x:v>
      </x:c>
      <x:c r="AF110" s="35">
        <x:v>1</x:v>
      </x:c>
      <x:c r="AG110" s="33" t="s">
        <x:v>731</x:v>
      </x:c>
      <x:c r="AH110" s="36">
        <x:v>46360</x:v>
      </x:c>
      <x:c r="AI110" s="33" t="s">
        <x:v>125</x:v>
      </x:c>
      <x:c r="AJ110" s="34" t="s">
        <x:v>312</x:v>
      </x:c>
    </x:row>
    <x:row r="111" ht="23.25" customHeight="1">
      <x:c r="A111" s="31" t="s">
        <x:v>809</x:v>
      </x:c>
      <x:c r="B111" s="31" t="s">
        <x:v>810</x:v>
      </x:c>
      <x:c r="C111" s="31" t="s">
        <x:v>711</x:v>
      </x:c>
      <x:c r="D111" s="32" t="s">
        <x:v>786</x:v>
      </x:c>
      <x:c r="E111" s="32" t="str">
        <x:v>Functional Migration Only</x:v>
      </x:c>
      <x:c r="F111" s="33" t="s">
        <x:v>118</x:v>
      </x:c>
      <x:c r="G111" s="34" t="s">
        <x:v>727</x:v>
      </x:c>
      <x:c r="H111" s="33" t="s">
        <x:v>87</x:v>
      </x:c>
      <x:c r="I111" s="33" t="s">
        <x:v>714</x:v>
      </x:c>
      <x:c r="J111" s="33" t="s">
        <x:v>82</x:v>
      </x:c>
      <x:c r="K111" s="33" t="s">
        <x:v>64</x:v>
      </x:c>
      <x:c r="L111" s="33" t="s">
        <x:v>73</x:v>
      </x:c>
      <x:c r="M111" s="35">
        <x:v>127</x:v>
      </x:c>
      <x:c r="N111" s="35">
        <x:v>545715447</x:v>
      </x:c>
      <x:c r="O111" s="33" t="s">
        <x:v>101</x:v>
      </x:c>
      <x:c r="P111" s="33" t="s">
        <x:v>73</x:v>
      </x:c>
      <x:c r="Q111" s="33" t="s">
        <x:v>120</x:v>
      </x:c>
      <x:c r="R111" s="33" t="s">
        <x:v>98</x:v>
      </x:c>
      <x:c r="S111" s="31" t="s">
        <x:v>526</x:v>
      </x:c>
      <x:c r="T111" s="31" t="s">
        <x:v>743</x:v>
      </x:c>
      <x:c r="U111" s="31" t="s">
        <x:v>522</x:v>
      </x:c>
      <x:c r="V111" s="33" t="s">
        <x:v>323</x:v>
      </x:c>
      <x:c r="W111" s="33" t="s">
        <x:v>744</x:v>
      </x:c>
      <x:c r="X111" s="33" t="s">
        <x:v>239</x:v>
      </x:c>
      <x:c r="Y111" s="36"/>
      <x:c r="Z111" s="36"/>
      <x:c r="AA111" s="33" t="s">
        <x:v>120</x:v>
      </x:c>
      <x:c r="AB111" s="37" t="n">
        <x:f>IFERROR(INDEX(Effort_Model!$J$6:$J$33,MATCH(K111&amp;"|"&amp;L111,Effort_Model!$B$6:$B$33,0)),"")</x:f>
        <x:v>106.4</x:v>
      </x:c>
      <x:c r="AC111" s="38">
        <x:v>1263.3</x:v>
      </x:c>
      <x:c r="AD111" s="37">
        <x:f t="shared" si="1"/>
        <x:v>1468.3</x:v>
      </x:c>
      <x:c r="AE111" s="37" t="n">
        <x:f>IFERROR(ROUND(IFERROR(INDEX(Scoring_Rules!$C$43:$C$44,MATCH(Q111,Scoring_Rules!$B$43:$B$44,0)),0)*Scoring_Rules!$C$6+IFERROR(INDEX(Scoring_Rules!$C$34:$C$40,MATCH(K111,Scoring_Rules!$B$34:$B$40,0)),0)*Scoring_Rules!$C$7+IFERROR(INDEX(Scoring_Rules!$C$16:$C$19,MATCH(P111,Scoring_Rules!$B$16:$B$19,0)),0)*Scoring_Rules!$C$8+IFERROR(INDEX(Scoring_Rules!$C$22:$C$25,MATCH(O111,Scoring_Rules!$B$22:$B$25,0)),0)*Scoring_Rules!$C$9+IFERROR(INDEX(Scoring_Rules!$C$47:$C$50,MATCH(X111,Scoring_Rules!$B$47:$B$50,0)),0)*Scoring_Rules!$C$10+IFERROR(INDEX(Scoring_Rules!$C$28:$C$31,MATCH(R111,Scoring_Rules!$B$28:$B$31,0)),0)*Scoring_Rules!$C$11,1),"")</x:f>
        <x:v>41.8</x:v>
      </x:c>
      <x:c r="AF111" s="35">
        <x:v>5</x:v>
      </x:c>
      <x:c r="AG111" s="33" t="s">
        <x:v>717</x:v>
      </x:c>
      <x:c r="AH111" s="36">
        <x:v>46405</x:v>
      </x:c>
      <x:c r="AI111" s="33" t="s">
        <x:v>126</x:v>
      </x:c>
      <x:c r="AJ111" s="34"/>
    </x:row>
    <x:row r="112" ht="15" customHeight="1">
      <x:c r="A112" s="31" t="s">
        <x:v>811</x:v>
      </x:c>
      <x:c r="B112" s="31" t="s">
        <x:v>812</x:v>
      </x:c>
      <x:c r="C112" s="31" t="s">
        <x:v>711</x:v>
      </x:c>
      <x:c r="D112" s="32" t="s">
        <x:v>320</x:v>
      </x:c>
      <x:c r="E112" s="32" t="str">
        <x:v>Functional Migration Only</x:v>
      </x:c>
      <x:c r="F112" s="33" t="s">
        <x:v>118</x:v>
      </x:c>
      <x:c r="G112" s="34" t="s">
        <x:v>713</x:v>
      </x:c>
      <x:c r="H112" s="33" t="s">
        <x:v>87</x:v>
      </x:c>
      <x:c r="I112" s="33" t="s">
        <x:v>714</x:v>
      </x:c>
      <x:c r="J112" s="33" t="s">
        <x:v>82</x:v>
      </x:c>
      <x:c r="K112" s="33" t="s">
        <x:v>60</x:v>
      </x:c>
      <x:c r="L112" s="33" t="s">
        <x:v>75</x:v>
      </x:c>
      <x:c r="M112" s="35">
        <x:v>41</x:v>
      </x:c>
      <x:c r="N112" s="35">
        <x:v>3677062</x:v>
      </x:c>
      <x:c r="O112" s="33" t="s">
        <x:v>101</x:v>
      </x:c>
      <x:c r="P112" s="33" t="s">
        <x:v>101</x:v>
      </x:c>
      <x:c r="Q112" s="33" t="s">
        <x:v>120</x:v>
      </x:c>
      <x:c r="R112" s="33" t="s">
        <x:v>101</x:v>
      </x:c>
      <x:c r="S112" s="31" t="s">
        <x:v>327</x:v>
      </x:c>
      <x:c r="T112" s="31" t="s">
        <x:v>813</x:v>
      </x:c>
      <x:c r="U112" s="31" t="s">
        <x:v>276</x:v>
      </x:c>
      <x:c r="V112" s="33" t="s">
        <x:v>277</x:v>
      </x:c>
      <x:c r="W112" s="33" t="s">
        <x:v>814</x:v>
      </x:c>
      <x:c r="X112" s="33" t="s">
        <x:v>239</x:v>
      </x:c>
      <x:c r="Y112" s="36"/>
      <x:c r="Z112" s="36"/>
      <x:c r="AA112" s="33" t="s">
        <x:v>120</x:v>
      </x:c>
      <x:c r="AB112" s="37" t="n">
        <x:f>IFERROR(INDEX(Effort_Model!$J$6:$J$33,MATCH(K112&amp;"|"&amp;L112,Effort_Model!$B$6:$B$33,0)),"")</x:f>
        <x:v>42.4</x:v>
      </x:c>
      <x:c r="AC112" s="38">
        <x:v>574.4</x:v>
      </x:c>
      <x:c r="AD112" s="37">
        <x:f t="shared" si="1"/>
        <x:v>687.73329999999999</x:v>
      </x:c>
      <x:c r="AE112" s="37" t="n">
        <x:f>IFERROR(ROUND(IFERROR(INDEX(Scoring_Rules!$C$43:$C$44,MATCH(Q112,Scoring_Rules!$B$43:$B$44,0)),0)*Scoring_Rules!$C$6+IFERROR(INDEX(Scoring_Rules!$C$34:$C$40,MATCH(K112,Scoring_Rules!$B$34:$B$40,0)),0)*Scoring_Rules!$C$7+IFERROR(INDEX(Scoring_Rules!$C$16:$C$19,MATCH(P112,Scoring_Rules!$B$16:$B$19,0)),0)*Scoring_Rules!$C$8+IFERROR(INDEX(Scoring_Rules!$C$22:$C$25,MATCH(O112,Scoring_Rules!$B$22:$B$25,0)),0)*Scoring_Rules!$C$9+IFERROR(INDEX(Scoring_Rules!$C$47:$C$50,MATCH(X112,Scoring_Rules!$B$47:$B$50,0)),0)*Scoring_Rules!$C$10+IFERROR(INDEX(Scoring_Rules!$C$28:$C$31,MATCH(R112,Scoring_Rules!$B$28:$B$31,0)),0)*Scoring_Rules!$C$11,1),"")</x:f>
        <x:v>39.5</x:v>
      </x:c>
      <x:c r="AF112" s="35">
        <x:v>7</x:v>
      </x:c>
      <x:c r="AG112" s="33" t="s">
        <x:v>723</x:v>
      </x:c>
      <x:c r="AH112" s="36">
        <x:v>46364</x:v>
      </x:c>
      <x:c r="AI112" s="33" t="s">
        <x:v>127</x:v>
      </x:c>
      <x:c r="AJ112" s="34"/>
    </x:row>
    <x:row r="113" ht="15" customHeight="1">
      <x:c r="A113" s="31" t="s">
        <x:v>815</x:v>
      </x:c>
      <x:c r="B113" s="31" t="s">
        <x:v>816</x:v>
      </x:c>
      <x:c r="C113" s="31" t="s">
        <x:v>817</x:v>
      </x:c>
      <x:c r="D113" s="32" t="s">
        <x:v>540</x:v>
      </x:c>
      <x:c r="E113" s="32" t="str">
        <x:v>Data Migration Only</x:v>
      </x:c>
      <x:c r="F113" s="33" t="s">
        <x:v>118</x:v>
      </x:c>
      <x:c r="G113" s="34" t="s">
        <x:v>818</x:v>
      </x:c>
      <x:c r="H113" s="33" t="s">
        <x:v>87</x:v>
      </x:c>
      <x:c r="I113" s="33" t="s">
        <x:v>819</x:v>
      </x:c>
      <x:c r="J113" s="33" t="s">
        <x:v>80</x:v>
      </x:c>
      <x:c r="K113" s="33" t="s">
        <x:v>62</x:v>
      </x:c>
      <x:c r="L113" s="33" t="s">
        <x:v>75</x:v>
      </x:c>
      <x:c r="M113" s="35">
        <x:v>69</x:v>
      </x:c>
      <x:c r="N113" s="35">
        <x:v>141275145</x:v>
      </x:c>
      <x:c r="O113" s="33" t="s">
        <x:v>98</x:v>
      </x:c>
      <x:c r="P113" s="33" t="s">
        <x:v>73</x:v>
      </x:c>
      <x:c r="Q113" s="33" t="s">
        <x:v>120</x:v>
      </x:c>
      <x:c r="R113" s="33" t="s">
        <x:v>73</x:v>
      </x:c>
      <x:c r="S113" s="31" t="s">
        <x:v>562</x:v>
      </x:c>
      <x:c r="T113" s="31" t="s">
        <x:v>820</x:v>
      </x:c>
      <x:c r="U113" s="31" t="s">
        <x:v>276</x:v>
      </x:c>
      <x:c r="V113" s="33" t="s">
        <x:v>323</x:v>
      </x:c>
      <x:c r="W113" s="33"/>
      <x:c r="X113" s="33" t="s">
        <x:v>238</x:v>
      </x:c>
      <x:c r="Y113" s="36"/>
      <x:c r="Z113" s="36"/>
      <x:c r="AA113" s="33" t="s">
        <x:v>120</x:v>
      </x:c>
      <x:c r="AB113" s="37" t="n">
        <x:f>IFERROR(INDEX(Effort_Model!$J$6:$J$33,MATCH(K113&amp;"|"&amp;L113,Effort_Model!$B$6:$B$33,0)),"")</x:f>
        <x:v>74.4</x:v>
      </x:c>
      <x:c r="AC113" s="38">
        <x:v>641.1</x:v>
      </x:c>
      <x:c r="AD113" s="37">
        <x:f t="shared" si="1"/>
        <x:v>850.43330000000003</x:v>
      </x:c>
      <x:c r="AE113" s="37" t="n">
        <x:f>IFERROR(ROUND(IFERROR(INDEX(Scoring_Rules!$C$43:$C$44,MATCH(Q113,Scoring_Rules!$B$43:$B$44,0)),0)*Scoring_Rules!$C$6+IFERROR(INDEX(Scoring_Rules!$C$34:$C$40,MATCH(K113,Scoring_Rules!$B$34:$B$40,0)),0)*Scoring_Rules!$C$7+IFERROR(INDEX(Scoring_Rules!$C$16:$C$19,MATCH(P113,Scoring_Rules!$B$16:$B$19,0)),0)*Scoring_Rules!$C$8+IFERROR(INDEX(Scoring_Rules!$C$22:$C$25,MATCH(O113,Scoring_Rules!$B$22:$B$25,0)),0)*Scoring_Rules!$C$9+IFERROR(INDEX(Scoring_Rules!$C$47:$C$50,MATCH(X113,Scoring_Rules!$B$47:$B$50,0)),0)*Scoring_Rules!$C$10+IFERROR(INDEX(Scoring_Rules!$C$28:$C$31,MATCH(R113,Scoring_Rules!$B$28:$B$31,0)),0)*Scoring_Rules!$C$11,1),"")</x:f>
        <x:v>58.5</x:v>
      </x:c>
      <x:c r="AF113" s="35">
        <x:v>5</x:v>
      </x:c>
      <x:c r="AG113" s="33" t="s">
        <x:v>821</x:v>
      </x:c>
      <x:c r="AH113" s="36">
        <x:v>46322</x:v>
      </x:c>
      <x:c r="AI113" s="33" t="s">
        <x:v>127</x:v>
      </x:c>
      <x:c r="AJ113" s="34" t="s">
        <x:v>395</x:v>
      </x:c>
    </x:row>
    <x:row r="114" ht="15" customHeight="1">
      <x:c r="A114" s="31" t="s">
        <x:v>822</x:v>
      </x:c>
      <x:c r="B114" s="31" t="s">
        <x:v>823</x:v>
      </x:c>
      <x:c r="C114" s="31" t="s">
        <x:v>817</x:v>
      </x:c>
      <x:c r="D114" s="32" t="s">
        <x:v>824</x:v>
      </x:c>
      <x:c r="E114" s="32" t="str">
        <x:v>Data Migration Only</x:v>
      </x:c>
      <x:c r="F114" s="33" t="s">
        <x:v>118</x:v>
      </x:c>
      <x:c r="G114" s="34" t="s">
        <x:v>825</x:v>
      </x:c>
      <x:c r="H114" s="33" t="s">
        <x:v>87</x:v>
      </x:c>
      <x:c r="I114" s="33" t="s">
        <x:v>819</x:v>
      </x:c>
      <x:c r="J114" s="33" t="s">
        <x:v>80</x:v>
      </x:c>
      <x:c r="K114" s="33" t="s">
        <x:v>60</x:v>
      </x:c>
      <x:c r="L114" s="33" t="s">
        <x:v>73</x:v>
      </x:c>
      <x:c r="M114" s="35">
        <x:v>49</x:v>
      </x:c>
      <x:c r="N114" s="35">
        <x:v>5105823</x:v>
      </x:c>
      <x:c r="O114" s="33" t="s">
        <x:v>73</x:v>
      </x:c>
      <x:c r="P114" s="33" t="s">
        <x:v>73</x:v>
      </x:c>
      <x:c r="Q114" s="33" t="s">
        <x:v>120</x:v>
      </x:c>
      <x:c r="R114" s="33" t="s">
        <x:v>73</x:v>
      </x:c>
      <x:c r="S114" s="31" t="s">
        <x:v>826</x:v>
      </x:c>
      <x:c r="T114" s="31" t="s">
        <x:v>827</x:v>
      </x:c>
      <x:c r="U114" s="31" t="s">
        <x:v>276</x:v>
      </x:c>
      <x:c r="V114" s="33" t="s">
        <x:v>365</x:v>
      </x:c>
      <x:c r="W114" s="33" t="s">
        <x:v>815</x:v>
      </x:c>
      <x:c r="X114" s="33" t="s">
        <x:v>240</x:v>
      </x:c>
      <x:c r="Y114" s="36"/>
      <x:c r="Z114" s="36">
        <x:v>46956</x:v>
      </x:c>
      <x:c r="AA114" s="33" t="s">
        <x:v>120</x:v>
      </x:c>
      <x:c r="AB114" s="37" t="n">
        <x:f>IFERROR(INDEX(Effort_Model!$J$6:$J$33,MATCH(K114&amp;"|"&amp;L114,Effort_Model!$B$6:$B$33,0)),"")</x:f>
        <x:v>42.4</x:v>
      </x:c>
      <x:c r="AC114" s="38">
        <x:v>248.9</x:v>
      </x:c>
      <x:c r="AD114" s="37">
        <x:f t="shared" si="1"/>
        <x:v>325.89999999999998</x:v>
      </x:c>
      <x:c r="AE114" s="37" t="n">
        <x:f>IFERROR(ROUND(IFERROR(INDEX(Scoring_Rules!$C$43:$C$44,MATCH(Q114,Scoring_Rules!$B$43:$B$44,0)),0)*Scoring_Rules!$C$6+IFERROR(INDEX(Scoring_Rules!$C$34:$C$40,MATCH(K114,Scoring_Rules!$B$34:$B$40,0)),0)*Scoring_Rules!$C$7+IFERROR(INDEX(Scoring_Rules!$C$16:$C$19,MATCH(P114,Scoring_Rules!$B$16:$B$19,0)),0)*Scoring_Rules!$C$8+IFERROR(INDEX(Scoring_Rules!$C$22:$C$25,MATCH(O114,Scoring_Rules!$B$22:$B$25,0)),0)*Scoring_Rules!$C$9+IFERROR(INDEX(Scoring_Rules!$C$47:$C$50,MATCH(X114,Scoring_Rules!$B$47:$B$50,0)),0)*Scoring_Rules!$C$10+IFERROR(INDEX(Scoring_Rules!$C$28:$C$31,MATCH(R114,Scoring_Rules!$B$28:$B$31,0)),0)*Scoring_Rules!$C$11,1),"")</x:f>
        <x:v>47.5</x:v>
      </x:c>
      <x:c r="AF114" s="35">
        <x:v>3</x:v>
      </x:c>
      <x:c r="AG114" s="33" t="s">
        <x:v>828</x:v>
      </x:c>
      <x:c r="AH114" s="36">
        <x:v>46381</x:v>
      </x:c>
      <x:c r="AI114" s="33" t="s">
        <x:v>127</x:v>
      </x:c>
      <x:c r="AJ114" s="34" t="s">
        <x:v>342</x:v>
      </x:c>
    </x:row>
    <x:row r="115" ht="15" customHeight="1">
      <x:c r="A115" s="31" t="s">
        <x:v>829</x:v>
      </x:c>
      <x:c r="B115" s="31" t="s">
        <x:v>830</x:v>
      </x:c>
      <x:c r="C115" s="31" t="s">
        <x:v>817</x:v>
      </x:c>
      <x:c r="D115" s="32" t="s">
        <x:v>799</x:v>
      </x:c>
      <x:c r="E115" s="32" t="str">
        <x:v>Functional Migration Only</x:v>
      </x:c>
      <x:c r="F115" s="33" t="s">
        <x:v>118</x:v>
      </x:c>
      <x:c r="G115" s="34" t="s">
        <x:v>818</x:v>
      </x:c>
      <x:c r="H115" s="33" t="s">
        <x:v>87</x:v>
      </x:c>
      <x:c r="I115" s="33" t="s">
        <x:v>819</x:v>
      </x:c>
      <x:c r="J115" s="33" t="s">
        <x:v>82</x:v>
      </x:c>
      <x:c r="K115" s="33" t="s">
        <x:v>58</x:v>
      </x:c>
      <x:c r="L115" s="33" t="s">
        <x:v>77</x:v>
      </x:c>
      <x:c r="M115" s="35">
        <x:v>30</x:v>
      </x:c>
      <x:c r="N115" s="35">
        <x:v>1284376</x:v>
      </x:c>
      <x:c r="O115" s="33" t="s">
        <x:v>98</x:v>
      </x:c>
      <x:c r="P115" s="33" t="s">
        <x:v>101</x:v>
      </x:c>
      <x:c r="Q115" s="33" t="s">
        <x:v>120</x:v>
      </x:c>
      <x:c r="R115" s="33" t="s">
        <x:v>98</x:v>
      </x:c>
      <x:c r="S115" s="31" t="s">
        <x:v>488</x:v>
      </x:c>
      <x:c r="T115" s="31" t="s">
        <x:v>489</x:v>
      </x:c>
      <x:c r="U115" s="31" t="s">
        <x:v>276</x:v>
      </x:c>
      <x:c r="V115" s="33" t="s">
        <x:v>277</x:v>
      </x:c>
      <x:c r="W115" s="33"/>
      <x:c r="X115" s="33" t="s">
        <x:v>238</x:v>
      </x:c>
      <x:c r="Y115" s="36"/>
      <x:c r="Z115" s="36">
        <x:v>46644</x:v>
      </x:c>
      <x:c r="AA115" s="33" t="s">
        <x:v>120</x:v>
      </x:c>
      <x:c r="AB115" s="37" t="n">
        <x:f>IFERROR(INDEX(Effort_Model!$J$6:$J$33,MATCH(K115&amp;"|"&amp;L115,Effort_Model!$B$6:$B$33,0)),"")</x:f>
        <x:v>26.4</x:v>
      </x:c>
      <x:c r="AC115" s="38">
        <x:v>422.7</x:v>
      </x:c>
      <x:c r="AD115" s="37">
        <x:f t="shared" si="1"/>
        <x:v>504.0333</x:v>
      </x:c>
      <x:c r="AE115" s="37" t="n">
        <x:f>IFERROR(ROUND(IFERROR(INDEX(Scoring_Rules!$C$43:$C$44,MATCH(Q115,Scoring_Rules!$B$43:$B$44,0)),0)*Scoring_Rules!$C$6+IFERROR(INDEX(Scoring_Rules!$C$34:$C$40,MATCH(K115,Scoring_Rules!$B$34:$B$40,0)),0)*Scoring_Rules!$C$7+IFERROR(INDEX(Scoring_Rules!$C$16:$C$19,MATCH(P115,Scoring_Rules!$B$16:$B$19,0)),0)*Scoring_Rules!$C$8+IFERROR(INDEX(Scoring_Rules!$C$22:$C$25,MATCH(O115,Scoring_Rules!$B$22:$B$25,0)),0)*Scoring_Rules!$C$9+IFERROR(INDEX(Scoring_Rules!$C$47:$C$50,MATCH(X115,Scoring_Rules!$B$47:$B$50,0)),0)*Scoring_Rules!$C$10+IFERROR(INDEX(Scoring_Rules!$C$28:$C$31,MATCH(R115,Scoring_Rules!$B$28:$B$31,0)),0)*Scoring_Rules!$C$11,1),"")</x:f>
        <x:v>60</x:v>
      </x:c>
      <x:c r="AF115" s="35">
        <x:v>6</x:v>
      </x:c>
      <x:c r="AG115" s="33" t="s">
        <x:v>831</x:v>
      </x:c>
      <x:c r="AH115" s="36">
        <x:v>46369</x:v>
      </x:c>
      <x:c r="AI115" s="33" t="s">
        <x:v>126</x:v>
      </x:c>
      <x:c r="AJ115" s="34" t="s">
        <x:v>312</x:v>
      </x:c>
    </x:row>
    <x:row r="116" ht="15" customHeight="1">
      <x:c r="A116" s="31" t="s">
        <x:v>832</x:v>
      </x:c>
      <x:c r="B116" s="31" t="s">
        <x:v>833</x:v>
      </x:c>
      <x:c r="C116" s="31" t="s">
        <x:v>817</x:v>
      </x:c>
      <x:c r="D116" s="32" t="s">
        <x:v>540</x:v>
      </x:c>
      <x:c r="E116" s="32" t="str">
        <x:v>Functional Migration Only</x:v>
      </x:c>
      <x:c r="F116" s="33" t="s">
        <x:v>118</x:v>
      </x:c>
      <x:c r="G116" s="34" t="s">
        <x:v>834</x:v>
      </x:c>
      <x:c r="H116" s="33" t="s">
        <x:v>87</x:v>
      </x:c>
      <x:c r="I116" s="33" t="s">
        <x:v>819</x:v>
      </x:c>
      <x:c r="J116" s="33" t="s">
        <x:v>82</x:v>
      </x:c>
      <x:c r="K116" s="33" t="s">
        <x:v>58</x:v>
      </x:c>
      <x:c r="L116" s="33" t="s">
        <x:v>75</x:v>
      </x:c>
      <x:c r="M116" s="35">
        <x:v>16</x:v>
      </x:c>
      <x:c r="N116" s="35">
        <x:v>1087036</x:v>
      </x:c>
      <x:c r="O116" s="33" t="s">
        <x:v>98</x:v>
      </x:c>
      <x:c r="P116" s="33" t="s">
        <x:v>98</x:v>
      </x:c>
      <x:c r="Q116" s="33" t="s">
        <x:v>120</x:v>
      </x:c>
      <x:c r="R116" s="33" t="s">
        <x:v>73</x:v>
      </x:c>
      <x:c r="S116" s="31" t="s">
        <x:v>835</x:v>
      </x:c>
      <x:c r="T116" s="31" t="s">
        <x:v>836</x:v>
      </x:c>
      <x:c r="U116" s="31" t="s">
        <x:v>522</x:v>
      </x:c>
      <x:c r="V116" s="33" t="s">
        <x:v>303</x:v>
      </x:c>
      <x:c r="W116" s="33"/>
      <x:c r="X116" s="33" t="s">
        <x:v>238</x:v>
      </x:c>
      <x:c r="Y116" s="36"/>
      <x:c r="Z116" s="36"/>
      <x:c r="AA116" s="33" t="s">
        <x:v>120</x:v>
      </x:c>
      <x:c r="AB116" s="37" t="n">
        <x:f>IFERROR(INDEX(Effort_Model!$J$6:$J$33,MATCH(K116&amp;"|"&amp;L116,Effort_Model!$B$6:$B$33,0)),"")</x:f>
        <x:v>26.4</x:v>
      </x:c>
      <x:c r="AC116" s="38">
        <x:v>336.2</x:v>
      </x:c>
      <x:c r="AD116" s="37">
        <x:f t="shared" si="1"/>
        <x:v>401.5333</x:v>
      </x:c>
      <x:c r="AE116" s="37" t="n">
        <x:f>IFERROR(ROUND(IFERROR(INDEX(Scoring_Rules!$C$43:$C$44,MATCH(Q116,Scoring_Rules!$B$43:$B$44,0)),0)*Scoring_Rules!$C$6+IFERROR(INDEX(Scoring_Rules!$C$34:$C$40,MATCH(K116,Scoring_Rules!$B$34:$B$40,0)),0)*Scoring_Rules!$C$7+IFERROR(INDEX(Scoring_Rules!$C$16:$C$19,MATCH(P116,Scoring_Rules!$B$16:$B$19,0)),0)*Scoring_Rules!$C$8+IFERROR(INDEX(Scoring_Rules!$C$22:$C$25,MATCH(O116,Scoring_Rules!$B$22:$B$25,0)),0)*Scoring_Rules!$C$9+IFERROR(INDEX(Scoring_Rules!$C$47:$C$50,MATCH(X116,Scoring_Rules!$B$47:$B$50,0)),0)*Scoring_Rules!$C$10+IFERROR(INDEX(Scoring_Rules!$C$28:$C$31,MATCH(R116,Scoring_Rules!$B$28:$B$31,0)),0)*Scoring_Rules!$C$11,1),"")</x:f>
        <x:v>71.5</x:v>
      </x:c>
      <x:c r="AF116" s="35">
        <x:v>3</x:v>
      </x:c>
      <x:c r="AG116" s="33" t="s">
        <x:v>837</x:v>
      </x:c>
      <x:c r="AH116" s="36">
        <x:v>46388</x:v>
      </x:c>
      <x:c r="AI116" s="33" t="s">
        <x:v>125</x:v>
      </x:c>
      <x:c r="AJ116" s="34"/>
    </x:row>
    <x:row r="117" ht="15" customHeight="1">
      <x:c r="A117" s="31" t="s">
        <x:v>838</x:v>
      </x:c>
      <x:c r="B117" s="31" t="s">
        <x:v>839</x:v>
      </x:c>
      <x:c r="C117" s="31" t="s">
        <x:v>817</x:v>
      </x:c>
      <x:c r="D117" s="32" t="s">
        <x:v>746</x:v>
      </x:c>
      <x:c r="E117" s="32" t="str">
        <x:v>Functional Migration Only</x:v>
      </x:c>
      <x:c r="F117" s="33" t="s">
        <x:v>118</x:v>
      </x:c>
      <x:c r="G117" s="34" t="s">
        <x:v>834</x:v>
      </x:c>
      <x:c r="H117" s="33" t="s">
        <x:v>87</x:v>
      </x:c>
      <x:c r="I117" s="33" t="s">
        <x:v>819</x:v>
      </x:c>
      <x:c r="J117" s="33" t="s">
        <x:v>82</x:v>
      </x:c>
      <x:c r="K117" s="33" t="s">
        <x:v>56</x:v>
      </x:c>
      <x:c r="L117" s="33" t="s">
        <x:v>73</x:v>
      </x:c>
      <x:c r="M117" s="35">
        <x:v>5</x:v>
      </x:c>
      <x:c r="N117" s="35">
        <x:v>84059</x:v>
      </x:c>
      <x:c r="O117" s="33" t="s">
        <x:v>98</x:v>
      </x:c>
      <x:c r="P117" s="33" t="s">
        <x:v>101</x:v>
      </x:c>
      <x:c r="Q117" s="33" t="s">
        <x:v>120</x:v>
      </x:c>
      <x:c r="R117" s="33" t="s">
        <x:v>73</x:v>
      </x:c>
      <x:c r="S117" s="31" t="s">
        <x:v>840</x:v>
      </x:c>
      <x:c r="T117" s="31" t="s">
        <x:v>841</x:v>
      </x:c>
      <x:c r="U117" s="31" t="s">
        <x:v>276</x:v>
      </x:c>
      <x:c r="V117" s="33" t="s">
        <x:v>303</x:v>
      </x:c>
      <x:c r="W117" s="33"/>
      <x:c r="X117" s="33" t="s">
        <x:v>238</x:v>
      </x:c>
      <x:c r="Y117" s="36"/>
      <x:c r="Z117" s="36"/>
      <x:c r="AA117" s="33" t="s">
        <x:v>120</x:v>
      </x:c>
      <x:c r="AB117" s="37" t="n">
        <x:f>IFERROR(INDEX(Effort_Model!$J$6:$J$33,MATCH(K117&amp;"|"&amp;L117,Effort_Model!$B$6:$B$33,0)),"")</x:f>
        <x:v>18.4</x:v>
      </x:c>
      <x:c r="AC117" s="38">
        <x:v>127.5</x:v>
      </x:c>
      <x:c r="AD117" s="37">
        <x:f t="shared" si="1"/>
        <x:v>156.5</x:v>
      </x:c>
      <x:c r="AE117" s="37" t="n">
        <x:f>IFERROR(ROUND(IFERROR(INDEX(Scoring_Rules!$C$43:$C$44,MATCH(Q117,Scoring_Rules!$B$43:$B$44,0)),0)*Scoring_Rules!$C$6+IFERROR(INDEX(Scoring_Rules!$C$34:$C$40,MATCH(K117,Scoring_Rules!$B$34:$B$40,0)),0)*Scoring_Rules!$C$7+IFERROR(INDEX(Scoring_Rules!$C$16:$C$19,MATCH(P117,Scoring_Rules!$B$16:$B$19,0)),0)*Scoring_Rules!$C$8+IFERROR(INDEX(Scoring_Rules!$C$22:$C$25,MATCH(O117,Scoring_Rules!$B$22:$B$25,0)),0)*Scoring_Rules!$C$9+IFERROR(INDEX(Scoring_Rules!$C$47:$C$50,MATCH(X117,Scoring_Rules!$B$47:$B$50,0)),0)*Scoring_Rules!$C$10+IFERROR(INDEX(Scoring_Rules!$C$28:$C$31,MATCH(R117,Scoring_Rules!$B$28:$B$31,0)),0)*Scoring_Rules!$C$11,1),"")</x:f>
        <x:v>60.5</x:v>
      </x:c>
      <x:c r="AF117" s="35">
        <x:v>3</x:v>
      </x:c>
      <x:c r="AG117" s="33" t="s">
        <x:v>821</x:v>
      </x:c>
      <x:c r="AH117" s="36">
        <x:v>46384</x:v>
      </x:c>
      <x:c r="AI117" s="33" t="s">
        <x:v>127</x:v>
      </x:c>
      <x:c r="AJ117" s="34"/>
    </x:row>
    <x:row r="118" ht="15" customHeight="1">
      <x:c r="A118" s="31" t="s">
        <x:v>842</x:v>
      </x:c>
      <x:c r="B118" s="31" t="s">
        <x:v>843</x:v>
      </x:c>
      <x:c r="C118" s="31" t="s">
        <x:v>817</x:v>
      </x:c>
      <x:c r="D118" s="32" t="s">
        <x:v>726</x:v>
      </x:c>
      <x:c r="E118" s="32" t="str">
        <x:v>Functional Migration Only</x:v>
      </x:c>
      <x:c r="F118" s="33" t="s">
        <x:v>118</x:v>
      </x:c>
      <x:c r="G118" s="34" t="s">
        <x:v>818</x:v>
      </x:c>
      <x:c r="H118" s="33" t="s">
        <x:v>87</x:v>
      </x:c>
      <x:c r="I118" s="33" t="s">
        <x:v>819</x:v>
      </x:c>
      <x:c r="J118" s="33" t="s">
        <x:v>82</x:v>
      </x:c>
      <x:c r="K118" s="33" t="s">
        <x:v>62</x:v>
      </x:c>
      <x:c r="L118" s="33" t="s">
        <x:v>75</x:v>
      </x:c>
      <x:c r="M118" s="35">
        <x:v>52</x:v>
      </x:c>
      <x:c r="N118" s="35">
        <x:v>76797203</x:v>
      </x:c>
      <x:c r="O118" s="33" t="s">
        <x:v>73</x:v>
      </x:c>
      <x:c r="P118" s="33" t="s">
        <x:v>73</x:v>
      </x:c>
      <x:c r="Q118" s="33" t="s">
        <x:v>120</x:v>
      </x:c>
      <x:c r="R118" s="33" t="s">
        <x:v>98</x:v>
      </x:c>
      <x:c r="S118" s="31" t="s">
        <x:v>501</x:v>
      </x:c>
      <x:c r="T118" s="31" t="s">
        <x:v>502</x:v>
      </x:c>
      <x:c r="U118" s="31" t="s">
        <x:v>276</x:v>
      </x:c>
      <x:c r="V118" s="33" t="s">
        <x:v>277</x:v>
      </x:c>
      <x:c r="W118" s="33"/>
      <x:c r="X118" s="33" t="s">
        <x:v>238</x:v>
      </x:c>
      <x:c r="Y118" s="36"/>
      <x:c r="Z118" s="36">
        <x:v>46657</x:v>
      </x:c>
      <x:c r="AA118" s="33" t="s">
        <x:v>120</x:v>
      </x:c>
      <x:c r="AB118" s="37" t="n">
        <x:f>IFERROR(INDEX(Effort_Model!$J$6:$J$33,MATCH(K118&amp;"|"&amp;L118,Effort_Model!$B$6:$B$33,0)),"")</x:f>
        <x:v>74.4</x:v>
      </x:c>
      <x:c r="AC118" s="38">
        <x:v>905.7</x:v>
      </x:c>
      <x:c r="AD118" s="37">
        <x:f t="shared" si="1"/>
        <x:v>1115.0333000000001</x:v>
      </x:c>
      <x:c r="AE118" s="37" t="n">
        <x:f>IFERROR(ROUND(IFERROR(INDEX(Scoring_Rules!$C$43:$C$44,MATCH(Q118,Scoring_Rules!$B$43:$B$44,0)),0)*Scoring_Rules!$C$6+IFERROR(INDEX(Scoring_Rules!$C$34:$C$40,MATCH(K118,Scoring_Rules!$B$34:$B$40,0)),0)*Scoring_Rules!$C$7+IFERROR(INDEX(Scoring_Rules!$C$16:$C$19,MATCH(P118,Scoring_Rules!$B$16:$B$19,0)),0)*Scoring_Rules!$C$8+IFERROR(INDEX(Scoring_Rules!$C$22:$C$25,MATCH(O118,Scoring_Rules!$B$22:$B$25,0)),0)*Scoring_Rules!$C$9+IFERROR(INDEX(Scoring_Rules!$C$47:$C$50,MATCH(X118,Scoring_Rules!$B$47:$B$50,0)),0)*Scoring_Rules!$C$10+IFERROR(INDEX(Scoring_Rules!$C$28:$C$31,MATCH(R118,Scoring_Rules!$B$28:$B$31,0)),0)*Scoring_Rules!$C$11,1),"")</x:f>
        <x:v>55.5</x:v>
      </x:c>
      <x:c r="AF118" s="35">
        <x:v>5</x:v>
      </x:c>
      <x:c r="AG118" s="33" t="s">
        <x:v>828</x:v>
      </x:c>
      <x:c r="AH118" s="36">
        <x:v>46371</x:v>
      </x:c>
      <x:c r="AI118" s="33" t="s">
        <x:v>126</x:v>
      </x:c>
      <x:c r="AJ118" s="34"/>
    </x:row>
    <x:row r="119" ht="15" customHeight="1">
      <x:c r="A119" s="31" t="s">
        <x:v>844</x:v>
      </x:c>
      <x:c r="B119" s="31" t="s">
        <x:v>845</x:v>
      </x:c>
      <x:c r="C119" s="31" t="s">
        <x:v>817</x:v>
      </x:c>
      <x:c r="D119" s="32" t="s">
        <x:v>493</x:v>
      </x:c>
      <x:c r="E119" s="32" t="str">
        <x:v>Functional Migration Only</x:v>
      </x:c>
      <x:c r="F119" s="33" t="s">
        <x:v>118</x:v>
      </x:c>
      <x:c r="G119" s="34" t="s">
        <x:v>818</x:v>
      </x:c>
      <x:c r="H119" s="33" t="s">
        <x:v>87</x:v>
      </x:c>
      <x:c r="I119" s="33" t="s">
        <x:v>819</x:v>
      </x:c>
      <x:c r="J119" s="33" t="s">
        <x:v>82</x:v>
      </x:c>
      <x:c r="K119" s="33" t="s">
        <x:v>56</x:v>
      </x:c>
      <x:c r="L119" s="33" t="s">
        <x:v>73</x:v>
      </x:c>
      <x:c r="M119" s="35">
        <x:v>5</x:v>
      </x:c>
      <x:c r="N119" s="35">
        <x:v>109692</x:v>
      </x:c>
      <x:c r="O119" s="33" t="s">
        <x:v>73</x:v>
      </x:c>
      <x:c r="P119" s="33" t="s">
        <x:v>73</x:v>
      </x:c>
      <x:c r="Q119" s="33" t="s">
        <x:v>120</x:v>
      </x:c>
      <x:c r="R119" s="33" t="s">
        <x:v>98</x:v>
      </x:c>
      <x:c r="S119" s="31" t="s">
        <x:v>501</x:v>
      </x:c>
      <x:c r="T119" s="31" t="s">
        <x:v>502</x:v>
      </x:c>
      <x:c r="U119" s="31" t="s">
        <x:v>276</x:v>
      </x:c>
      <x:c r="V119" s="33" t="s">
        <x:v>289</x:v>
      </x:c>
      <x:c r="W119" s="33"/>
      <x:c r="X119" s="33" t="s">
        <x:v>238</x:v>
      </x:c>
      <x:c r="Y119" s="36"/>
      <x:c r="Z119" s="36"/>
      <x:c r="AA119" s="33" t="s">
        <x:v>120</x:v>
      </x:c>
      <x:c r="AB119" s="37" t="n">
        <x:f>IFERROR(INDEX(Effort_Model!$J$6:$J$33,MATCH(K119&amp;"|"&amp;L119,Effort_Model!$B$6:$B$33,0)),"")</x:f>
        <x:v>18.4</x:v>
      </x:c>
      <x:c r="AC119" s="38">
        <x:v>119.3</x:v>
      </x:c>
      <x:c r="AD119" s="37">
        <x:f t="shared" si="1"/>
        <x:v>148.30000000000001</x:v>
      </x:c>
      <x:c r="AE119" s="37" t="n">
        <x:f>IFERROR(ROUND(IFERROR(INDEX(Scoring_Rules!$C$43:$C$44,MATCH(Q119,Scoring_Rules!$B$43:$B$44,0)),0)*Scoring_Rules!$C$6+IFERROR(INDEX(Scoring_Rules!$C$34:$C$40,MATCH(K119,Scoring_Rules!$B$34:$B$40,0)),0)*Scoring_Rules!$C$7+IFERROR(INDEX(Scoring_Rules!$C$16:$C$19,MATCH(P119,Scoring_Rules!$B$16:$B$19,0)),0)*Scoring_Rules!$C$8+IFERROR(INDEX(Scoring_Rules!$C$22:$C$25,MATCH(O119,Scoring_Rules!$B$22:$B$25,0)),0)*Scoring_Rules!$C$9+IFERROR(INDEX(Scoring_Rules!$C$47:$C$50,MATCH(X119,Scoring_Rules!$B$47:$B$50,0)),0)*Scoring_Rules!$C$10+IFERROR(INDEX(Scoring_Rules!$C$28:$C$31,MATCH(R119,Scoring_Rules!$B$28:$B$31,0)),0)*Scoring_Rules!$C$11,1),"")</x:f>
        <x:v>64.5</x:v>
      </x:c>
      <x:c r="AF119" s="35">
        <x:v>2</x:v>
      </x:c>
      <x:c r="AG119" s="33" t="s">
        <x:v>831</x:v>
      </x:c>
      <x:c r="AH119" s="36">
        <x:v>46334</x:v>
      </x:c>
      <x:c r="AI119" s="33" t="s">
        <x:v>126</x:v>
      </x:c>
      <x:c r="AJ119" s="34" t="s">
        <x:v>354</x:v>
      </x:c>
    </x:row>
    <x:row r="120" ht="23.25" customHeight="1">
      <x:c r="A120" s="31" t="s">
        <x:v>846</x:v>
      </x:c>
      <x:c r="B120" s="31" t="s">
        <x:v>847</x:v>
      </x:c>
      <x:c r="C120" s="31" t="s">
        <x:v>817</x:v>
      </x:c>
      <x:c r="D120" s="32" t="s">
        <x:v>848</x:v>
      </x:c>
      <x:c r="E120" s="32" t="str">
        <x:v>Data Migration Only</x:v>
      </x:c>
      <x:c r="F120" s="33" t="s">
        <x:v>120</x:v>
      </x:c>
      <x:c r="G120" s="34" t="s">
        <x:v>825</x:v>
      </x:c>
      <x:c r="H120" s="33" t="s">
        <x:v>87</x:v>
      </x:c>
      <x:c r="I120" s="33" t="s">
        <x:v>819</x:v>
      </x:c>
      <x:c r="J120" s="33" t="s">
        <x:v>80</x:v>
      </x:c>
      <x:c r="K120" s="33" t="s">
        <x:v>58</x:v>
      </x:c>
      <x:c r="L120" s="33" t="s">
        <x:v>73</x:v>
      </x:c>
      <x:c r="M120" s="35">
        <x:v>19</x:v>
      </x:c>
      <x:c r="N120" s="35">
        <x:v>984231</x:v>
      </x:c>
      <x:c r="O120" s="33" t="s">
        <x:v>73</x:v>
      </x:c>
      <x:c r="P120" s="33" t="s">
        <x:v>73</x:v>
      </x:c>
      <x:c r="Q120" s="33" t="s">
        <x:v>118</x:v>
      </x:c>
      <x:c r="R120" s="33" t="s">
        <x:v>73</x:v>
      </x:c>
      <x:c r="S120" s="31" t="s">
        <x:v>526</x:v>
      </x:c>
      <x:c r="T120" s="31" t="s">
        <x:v>550</x:v>
      </x:c>
      <x:c r="U120" s="31" t="s">
        <x:v>276</x:v>
      </x:c>
      <x:c r="V120" s="33" t="s">
        <x:v>277</x:v>
      </x:c>
      <x:c r="W120" s="33" t="s">
        <x:v>849</x:v>
      </x:c>
      <x:c r="X120" s="33" t="s">
        <x:v>240</x:v>
      </x:c>
      <x:c r="Y120" s="36"/>
      <x:c r="Z120" s="36"/>
      <x:c r="AA120" s="33" t="s">
        <x:v>120</x:v>
      </x:c>
      <x:c r="AB120" s="37" t="n">
        <x:f>IFERROR(INDEX(Effort_Model!$J$6:$J$33,MATCH(K120&amp;"|"&amp;L120,Effort_Model!$B$6:$B$33,0)),"")</x:f>
        <x:v>26.4</x:v>
      </x:c>
      <x:c r="AC120" s="38">
        <x:v>161.30000000000001</x:v>
      </x:c>
      <x:c r="AD120" s="37">
        <x:f t="shared" si="1"/>
        <x:v>206.3</x:v>
      </x:c>
      <x:c r="AE120" s="37" t="n">
        <x:f>IFERROR(ROUND(IFERROR(INDEX(Scoring_Rules!$C$43:$C$44,MATCH(Q120,Scoring_Rules!$B$43:$B$44,0)),0)*Scoring_Rules!$C$6+IFERROR(INDEX(Scoring_Rules!$C$34:$C$40,MATCH(K120,Scoring_Rules!$B$34:$B$40,0)),0)*Scoring_Rules!$C$7+IFERROR(INDEX(Scoring_Rules!$C$16:$C$19,MATCH(P120,Scoring_Rules!$B$16:$B$19,0)),0)*Scoring_Rules!$C$8+IFERROR(INDEX(Scoring_Rules!$C$22:$C$25,MATCH(O120,Scoring_Rules!$B$22:$B$25,0)),0)*Scoring_Rules!$C$9+IFERROR(INDEX(Scoring_Rules!$C$47:$C$50,MATCH(X120,Scoring_Rules!$B$47:$B$50,0)),0)*Scoring_Rules!$C$10+IFERROR(INDEX(Scoring_Rules!$C$28:$C$31,MATCH(R120,Scoring_Rules!$B$28:$B$31,0)),0)*Scoring_Rules!$C$11,1),"")</x:f>
        <x:v>75.5</x:v>
      </x:c>
      <x:c r="AF120" s="35">
        <x:v>1</x:v>
      </x:c>
      <x:c r="AG120" s="33" t="s">
        <x:v>837</x:v>
      </x:c>
      <x:c r="AH120" s="36">
        <x:v>46317</x:v>
      </x:c>
      <x:c r="AI120" s="33" t="s">
        <x:v>127</x:v>
      </x:c>
      <x:c r="AJ120" s="34"/>
    </x:row>
    <x:row r="121" ht="15" customHeight="1">
      <x:c r="A121" s="31" t="s">
        <x:v>850</x:v>
      </x:c>
      <x:c r="B121" s="31" t="s">
        <x:v>851</x:v>
      </x:c>
      <x:c r="C121" s="31" t="s">
        <x:v>817</x:v>
      </x:c>
      <x:c r="D121" s="32" t="s">
        <x:v>493</x:v>
      </x:c>
      <x:c r="E121" s="32" t="str">
        <x:v>Functional Migration Only</x:v>
      </x:c>
      <x:c r="F121" s="33" t="s">
        <x:v>118</x:v>
      </x:c>
      <x:c r="G121" s="34" t="s">
        <x:v>852</x:v>
      </x:c>
      <x:c r="H121" s="33" t="s">
        <x:v>87</x:v>
      </x:c>
      <x:c r="I121" s="33" t="s">
        <x:v>819</x:v>
      </x:c>
      <x:c r="J121" s="33" t="s">
        <x:v>82</x:v>
      </x:c>
      <x:c r="K121" s="33" t="s">
        <x:v>60</x:v>
      </x:c>
      <x:c r="L121" s="33" t="s">
        <x:v>73</x:v>
      </x:c>
      <x:c r="M121" s="35">
        <x:v>42</x:v>
      </x:c>
      <x:c r="N121" s="35">
        <x:v>6874900</x:v>
      </x:c>
      <x:c r="O121" s="33" t="s">
        <x:v>98</x:v>
      </x:c>
      <x:c r="P121" s="33" t="s">
        <x:v>73</x:v>
      </x:c>
      <x:c r="Q121" s="33" t="s">
        <x:v>118</x:v>
      </x:c>
      <x:c r="R121" s="33" t="s">
        <x:v>73</x:v>
      </x:c>
      <x:c r="S121" s="31" t="s">
        <x:v>853</x:v>
      </x:c>
      <x:c r="T121" s="31" t="s">
        <x:v>854</x:v>
      </x:c>
      <x:c r="U121" s="31" t="s">
        <x:v>276</x:v>
      </x:c>
      <x:c r="V121" s="33" t="s">
        <x:v>451</x:v>
      </x:c>
      <x:c r="W121" s="33"/>
      <x:c r="X121" s="33" t="s">
        <x:v>238</x:v>
      </x:c>
      <x:c r="Y121" s="36"/>
      <x:c r="Z121" s="36"/>
      <x:c r="AA121" s="33" t="s">
        <x:v>120</x:v>
      </x:c>
      <x:c r="AB121" s="37" t="n">
        <x:f>IFERROR(INDEX(Effort_Model!$J$6:$J$33,MATCH(K121&amp;"|"&amp;L121,Effort_Model!$B$6:$B$33,0)),"")</x:f>
        <x:v>42.4</x:v>
      </x:c>
      <x:c r="AC121" s="38">
        <x:v>414.9</x:v>
      </x:c>
      <x:c r="AD121" s="37">
        <x:f t="shared" si="1"/>
        <x:v>491.9</x:v>
      </x:c>
      <x:c r="AE121" s="37" t="n">
        <x:f>IFERROR(ROUND(IFERROR(INDEX(Scoring_Rules!$C$43:$C$44,MATCH(Q121,Scoring_Rules!$B$43:$B$44,0)),0)*Scoring_Rules!$C$6+IFERROR(INDEX(Scoring_Rules!$C$34:$C$40,MATCH(K121,Scoring_Rules!$B$34:$B$40,0)),0)*Scoring_Rules!$C$7+IFERROR(INDEX(Scoring_Rules!$C$16:$C$19,MATCH(P121,Scoring_Rules!$B$16:$B$19,0)),0)*Scoring_Rules!$C$8+IFERROR(INDEX(Scoring_Rules!$C$22:$C$25,MATCH(O121,Scoring_Rules!$B$22:$B$25,0)),0)*Scoring_Rules!$C$9+IFERROR(INDEX(Scoring_Rules!$C$47:$C$50,MATCH(X121,Scoring_Rules!$B$47:$B$50,0)),0)*Scoring_Rules!$C$10+IFERROR(INDEX(Scoring_Rules!$C$28:$C$31,MATCH(R121,Scoring_Rules!$B$28:$B$31,0)),0)*Scoring_Rules!$C$11,1),"")</x:f>
        <x:v>87.5</x:v>
      </x:c>
      <x:c r="AF121" s="35">
        <x:v>1</x:v>
      </x:c>
      <x:c r="AG121" s="33" t="s">
        <x:v>821</x:v>
      </x:c>
      <x:c r="AH121" s="36">
        <x:v>46370</x:v>
      </x:c>
      <x:c r="AI121" s="33" t="s">
        <x:v>127</x:v>
      </x:c>
      <x:c r="AJ121" s="34" t="s">
        <x:v>354</x:v>
      </x:c>
    </x:row>
    <x:row r="122" ht="15" customHeight="1">
      <x:c r="A122" s="31" t="s">
        <x:v>855</x:v>
      </x:c>
      <x:c r="B122" s="31" t="s">
        <x:v>856</x:v>
      </x:c>
      <x:c r="C122" s="31" t="s">
        <x:v>817</x:v>
      </x:c>
      <x:c r="D122" s="32" t="s">
        <x:v>799</x:v>
      </x:c>
      <x:c r="E122" s="32" t="str">
        <x:v>Functional Migration Only</x:v>
      </x:c>
      <x:c r="F122" s="33" t="s">
        <x:v>118</x:v>
      </x:c>
      <x:c r="G122" s="34" t="s">
        <x:v>818</x:v>
      </x:c>
      <x:c r="H122" s="33" t="s">
        <x:v>87</x:v>
      </x:c>
      <x:c r="I122" s="33" t="s">
        <x:v>819</x:v>
      </x:c>
      <x:c r="J122" s="33" t="s">
        <x:v>82</x:v>
      </x:c>
      <x:c r="K122" s="33" t="s">
        <x:v>64</x:v>
      </x:c>
      <x:c r="L122" s="33" t="s">
        <x:v>73</x:v>
      </x:c>
      <x:c r="M122" s="35">
        <x:v>112</x:v>
      </x:c>
      <x:c r="N122" s="35">
        <x:v>1331281808</x:v>
      </x:c>
      <x:c r="O122" s="33" t="s">
        <x:v>73</x:v>
      </x:c>
      <x:c r="P122" s="33" t="s">
        <x:v>73</x:v>
      </x:c>
      <x:c r="Q122" s="33" t="s">
        <x:v>120</x:v>
      </x:c>
      <x:c r="R122" s="33" t="s">
        <x:v>101</x:v>
      </x:c>
      <x:c r="S122" s="31" t="s">
        <x:v>562</x:v>
      </x:c>
      <x:c r="T122" s="31" t="s">
        <x:v>857</x:v>
      </x:c>
      <x:c r="U122" s="31" t="s">
        <x:v>276</x:v>
      </x:c>
      <x:c r="V122" s="33" t="s">
        <x:v>303</x:v>
      </x:c>
      <x:c r="W122" s="33" t="s">
        <x:v>844</x:v>
      </x:c>
      <x:c r="X122" s="33" t="s">
        <x:v>239</x:v>
      </x:c>
      <x:c r="Y122" s="36"/>
      <x:c r="Z122" s="36"/>
      <x:c r="AA122" s="33" t="s">
        <x:v>120</x:v>
      </x:c>
      <x:c r="AB122" s="37" t="n">
        <x:f>IFERROR(INDEX(Effort_Model!$J$6:$J$33,MATCH(K122&amp;"|"&amp;L122,Effort_Model!$B$6:$B$33,0)),"")</x:f>
        <x:v>106.4</x:v>
      </x:c>
      <x:c r="AC122" s="38">
        <x:v>1180.8</x:v>
      </x:c>
      <x:c r="AD122" s="37">
        <x:f t="shared" si="1"/>
        <x:v>1385.8</x:v>
      </x:c>
      <x:c r="AE122" s="37" t="n">
        <x:f>IFERROR(ROUND(IFERROR(INDEX(Scoring_Rules!$C$43:$C$44,MATCH(Q122,Scoring_Rules!$B$43:$B$44,0)),0)*Scoring_Rules!$C$6+IFERROR(INDEX(Scoring_Rules!$C$34:$C$40,MATCH(K122,Scoring_Rules!$B$34:$B$40,0)),0)*Scoring_Rules!$C$7+IFERROR(INDEX(Scoring_Rules!$C$16:$C$19,MATCH(P122,Scoring_Rules!$B$16:$B$19,0)),0)*Scoring_Rules!$C$8+IFERROR(INDEX(Scoring_Rules!$C$22:$C$25,MATCH(O122,Scoring_Rules!$B$22:$B$25,0)),0)*Scoring_Rules!$C$9+IFERROR(INDEX(Scoring_Rules!$C$47:$C$50,MATCH(X122,Scoring_Rules!$B$47:$B$50,0)),0)*Scoring_Rules!$C$10+IFERROR(INDEX(Scoring_Rules!$C$28:$C$31,MATCH(R122,Scoring_Rules!$B$28:$B$31,0)),0)*Scoring_Rules!$C$11,1),"")</x:f>
        <x:v>43.8</x:v>
      </x:c>
      <x:c r="AF122" s="35">
        <x:v>4</x:v>
      </x:c>
      <x:c r="AG122" s="33" t="s">
        <x:v>828</x:v>
      </x:c>
      <x:c r="AH122" s="36">
        <x:v>46388</x:v>
      </x:c>
      <x:c r="AI122" s="33" t="s">
        <x:v>127</x:v>
      </x:c>
      <x:c r="AJ122" s="34" t="s">
        <x:v>383</x:v>
      </x:c>
    </x:row>
    <x:row r="123" ht="15" customHeight="1">
      <x:c r="A123" s="31" t="s">
        <x:v>858</x:v>
      </x:c>
      <x:c r="B123" s="31" t="s">
        <x:v>859</x:v>
      </x:c>
      <x:c r="C123" s="31" t="s">
        <x:v>817</x:v>
      </x:c>
      <x:c r="D123" s="32" t="s">
        <x:v>799</x:v>
      </x:c>
      <x:c r="E123" s="32" t="str">
        <x:v>Data Migration Only</x:v>
      </x:c>
      <x:c r="F123" s="33" t="s">
        <x:v>118</x:v>
      </x:c>
      <x:c r="G123" s="34" t="s">
        <x:v>852</x:v>
      </x:c>
      <x:c r="H123" s="33" t="s">
        <x:v>87</x:v>
      </x:c>
      <x:c r="I123" s="33" t="s">
        <x:v>819</x:v>
      </x:c>
      <x:c r="J123" s="33" t="s">
        <x:v>80</x:v>
      </x:c>
      <x:c r="K123" s="33" t="s">
        <x:v>62</x:v>
      </x:c>
      <x:c r="L123" s="33" t="s">
        <x:v>73</x:v>
      </x:c>
      <x:c r="M123" s="35">
        <x:v>75</x:v>
      </x:c>
      <x:c r="N123" s="35">
        <x:v>103690598</x:v>
      </x:c>
      <x:c r="O123" s="33" t="s">
        <x:v>73</x:v>
      </x:c>
      <x:c r="P123" s="33" t="s">
        <x:v>73</x:v>
      </x:c>
      <x:c r="Q123" s="33" t="s">
        <x:v>120</x:v>
      </x:c>
      <x:c r="R123" s="33" t="s">
        <x:v>101</x:v>
      </x:c>
      <x:c r="S123" s="31" t="s">
        <x:v>826</x:v>
      </x:c>
      <x:c r="T123" s="31" t="s">
        <x:v>860</x:v>
      </x:c>
      <x:c r="U123" s="31" t="s">
        <x:v>471</x:v>
      </x:c>
      <x:c r="V123" s="33" t="s">
        <x:v>329</x:v>
      </x:c>
      <x:c r="W123" s="33" t="s">
        <x:v>861</x:v>
      </x:c>
      <x:c r="X123" s="33" t="s">
        <x:v>240</x:v>
      </x:c>
      <x:c r="Y123" s="36"/>
      <x:c r="Z123" s="36"/>
      <x:c r="AA123" s="33" t="s">
        <x:v>120</x:v>
      </x:c>
      <x:c r="AB123" s="37" t="n">
        <x:f>IFERROR(INDEX(Effort_Model!$J$6:$J$33,MATCH(K123&amp;"|"&amp;L123,Effort_Model!$B$6:$B$33,0)),"")</x:f>
        <x:v>74.4</x:v>
      </x:c>
      <x:c r="AC123" s="38">
        <x:v>465.4</x:v>
      </x:c>
      <x:c r="AD123" s="37">
        <x:f t="shared" si="1"/>
        <x:v>606.4</x:v>
      </x:c>
      <x:c r="AE123" s="37" t="n">
        <x:f>IFERROR(ROUND(IFERROR(INDEX(Scoring_Rules!$C$43:$C$44,MATCH(Q123,Scoring_Rules!$B$43:$B$44,0)),0)*Scoring_Rules!$C$6+IFERROR(INDEX(Scoring_Rules!$C$34:$C$40,MATCH(K123,Scoring_Rules!$B$34:$B$40,0)),0)*Scoring_Rules!$C$7+IFERROR(INDEX(Scoring_Rules!$C$16:$C$19,MATCH(P123,Scoring_Rules!$B$16:$B$19,0)),0)*Scoring_Rules!$C$8+IFERROR(INDEX(Scoring_Rules!$C$22:$C$25,MATCH(O123,Scoring_Rules!$B$22:$B$25,0)),0)*Scoring_Rules!$C$9+IFERROR(INDEX(Scoring_Rules!$C$47:$C$50,MATCH(X123,Scoring_Rules!$B$47:$B$50,0)),0)*Scoring_Rules!$C$10+IFERROR(INDEX(Scoring_Rules!$C$28:$C$31,MATCH(R123,Scoring_Rules!$B$28:$B$31,0)),0)*Scoring_Rules!$C$11,1),"")</x:f>
        <x:v>41.8</x:v>
      </x:c>
      <x:c r="AF123" s="35">
        <x:v>3</x:v>
      </x:c>
      <x:c r="AG123" s="33" t="s">
        <x:v>831</x:v>
      </x:c>
      <x:c r="AH123" s="36">
        <x:v>46328</x:v>
      </x:c>
      <x:c r="AI123" s="33" t="s">
        <x:v>127</x:v>
      </x:c>
      <x:c r="AJ123" s="34"/>
    </x:row>
    <x:row r="124" ht="15" customHeight="1">
      <x:c r="A124" s="31" t="s">
        <x:v>862</x:v>
      </x:c>
      <x:c r="B124" s="31" t="s">
        <x:v>863</x:v>
      </x:c>
      <x:c r="C124" s="31" t="s">
        <x:v>817</x:v>
      </x:c>
      <x:c r="D124" s="32" t="s">
        <x:v>746</x:v>
      </x:c>
      <x:c r="E124" s="32" t="str">
        <x:v>Data Migration Only</x:v>
      </x:c>
      <x:c r="F124" s="33" t="s">
        <x:v>118</x:v>
      </x:c>
      <x:c r="G124" s="34" t="s">
        <x:v>864</x:v>
      </x:c>
      <x:c r="H124" s="33" t="s">
        <x:v>89</x:v>
      </x:c>
      <x:c r="I124" s="33" t="s">
        <x:v>819</x:v>
      </x:c>
      <x:c r="J124" s="33" t="s">
        <x:v>80</x:v>
      </x:c>
      <x:c r="K124" s="33" t="s">
        <x:v>60</x:v>
      </x:c>
      <x:c r="L124" s="33" t="s">
        <x:v>75</x:v>
      </x:c>
      <x:c r="M124" s="35">
        <x:v>46</x:v>
      </x:c>
      <x:c r="N124" s="35">
        <x:v>3602979</x:v>
      </x:c>
      <x:c r="O124" s="33" t="s">
        <x:v>101</x:v>
      </x:c>
      <x:c r="P124" s="33" t="s">
        <x:v>73</x:v>
      </x:c>
      <x:c r="Q124" s="33" t="s">
        <x:v>120</x:v>
      </x:c>
      <x:c r="R124" s="33" t="s">
        <x:v>73</x:v>
      </x:c>
      <x:c r="S124" s="31" t="s">
        <x:v>807</x:v>
      </x:c>
      <x:c r="T124" s="31" t="s">
        <x:v>865</x:v>
      </x:c>
      <x:c r="U124" s="31" t="s">
        <x:v>522</x:v>
      </x:c>
      <x:c r="V124" s="33" t="s">
        <x:v>277</x:v>
      </x:c>
      <x:c r="W124" s="33"/>
      <x:c r="X124" s="33" t="s">
        <x:v>238</x:v>
      </x:c>
      <x:c r="Y124" s="36"/>
      <x:c r="Z124" s="36"/>
      <x:c r="AA124" s="33" t="s">
        <x:v>120</x:v>
      </x:c>
      <x:c r="AB124" s="37" t="n">
        <x:f>IFERROR(INDEX(Effort_Model!$J$6:$J$33,MATCH(K124&amp;"|"&amp;L124,Effort_Model!$B$6:$B$33,0)),"")</x:f>
        <x:v>42.4</x:v>
      </x:c>
      <x:c r="AC124" s="38">
        <x:v>365.3</x:v>
      </x:c>
      <x:c r="AD124" s="37">
        <x:f t="shared" si="1"/>
        <x:v>478.63330000000002</x:v>
      </x:c>
      <x:c r="AE124" s="37" t="n">
        <x:f>IFERROR(ROUND(IFERROR(INDEX(Scoring_Rules!$C$43:$C$44,MATCH(Q124,Scoring_Rules!$B$43:$B$44,0)),0)*Scoring_Rules!$C$6+IFERROR(INDEX(Scoring_Rules!$C$34:$C$40,MATCH(K124,Scoring_Rules!$B$34:$B$40,0)),0)*Scoring_Rules!$C$7+IFERROR(INDEX(Scoring_Rules!$C$16:$C$19,MATCH(P124,Scoring_Rules!$B$16:$B$19,0)),0)*Scoring_Rules!$C$8+IFERROR(INDEX(Scoring_Rules!$C$22:$C$25,MATCH(O124,Scoring_Rules!$B$22:$B$25,0)),0)*Scoring_Rules!$C$9+IFERROR(INDEX(Scoring_Rules!$C$47:$C$50,MATCH(X124,Scoring_Rules!$B$47:$B$50,0)),0)*Scoring_Rules!$C$10+IFERROR(INDEX(Scoring_Rules!$C$28:$C$31,MATCH(R124,Scoring_Rules!$B$28:$B$31,0)),0)*Scoring_Rules!$C$11,1),"")</x:f>
        <x:v>52.8</x:v>
      </x:c>
      <x:c r="AF124" s="35"/>
      <x:c r="AG124" s="33" t="s">
        <x:v>837</x:v>
      </x:c>
      <x:c r="AH124" s="36">
        <x:v>46344</x:v>
      </x:c>
      <x:c r="AI124" s="33" t="s">
        <x:v>126</x:v>
      </x:c>
      <x:c r="AJ124" s="34"/>
    </x:row>
    <x:row r="125" ht="23.25" customHeight="1">
      <x:c r="A125" s="31" t="s">
        <x:v>866</x:v>
      </x:c>
      <x:c r="B125" s="31" t="s">
        <x:v>867</x:v>
      </x:c>
      <x:c r="C125" s="31" t="s">
        <x:v>817</x:v>
      </x:c>
      <x:c r="D125" s="32" t="s">
        <x:v>868</x:v>
      </x:c>
      <x:c r="E125" s="32" t="str">
        <x:v>Data Migration Only</x:v>
      </x:c>
      <x:c r="F125" s="33" t="s">
        <x:v>118</x:v>
      </x:c>
      <x:c r="G125" s="34" t="s">
        <x:v>825</x:v>
      </x:c>
      <x:c r="H125" s="33" t="s">
        <x:v>87</x:v>
      </x:c>
      <x:c r="I125" s="33" t="s">
        <x:v>819</x:v>
      </x:c>
      <x:c r="J125" s="33" t="s">
        <x:v>80</x:v>
      </x:c>
      <x:c r="K125" s="33" t="s">
        <x:v>62</x:v>
      </x:c>
      <x:c r="L125" s="33" t="s">
        <x:v>73</x:v>
      </x:c>
      <x:c r="M125" s="35">
        <x:v>52</x:v>
      </x:c>
      <x:c r="N125" s="35">
        <x:v>80026408</x:v>
      </x:c>
      <x:c r="O125" s="33" t="s">
        <x:v>101</x:v>
      </x:c>
      <x:c r="P125" s="33" t="s">
        <x:v>73</x:v>
      </x:c>
      <x:c r="Q125" s="33" t="s">
        <x:v>120</x:v>
      </x:c>
      <x:c r="R125" s="33" t="s">
        <x:v>101</x:v>
      </x:c>
      <x:c r="S125" s="31" t="s">
        <x:v>526</x:v>
      </x:c>
      <x:c r="T125" s="31" t="s">
        <x:v>751</x:v>
      </x:c>
      <x:c r="U125" s="31" t="s">
        <x:v>276</x:v>
      </x:c>
      <x:c r="V125" s="33" t="s">
        <x:v>277</x:v>
      </x:c>
      <x:c r="W125" s="33"/>
      <x:c r="X125" s="33" t="s">
        <x:v>238</x:v>
      </x:c>
      <x:c r="Y125" s="36">
        <x:v>46377</x:v>
      </x:c>
      <x:c r="Z125" s="36"/>
      <x:c r="AA125" s="33" t="s">
        <x:v>120</x:v>
      </x:c>
      <x:c r="AB125" s="37" t="n">
        <x:f>IFERROR(INDEX(Effort_Model!$J$6:$J$33,MATCH(K125&amp;"|"&amp;L125,Effort_Model!$B$6:$B$33,0)),"")</x:f>
        <x:v>74.4</x:v>
      </x:c>
      <x:c r="AC125" s="38">
        <x:v>450.9</x:v>
      </x:c>
      <x:c r="AD125" s="37">
        <x:f t="shared" si="1"/>
        <x:v>591.9</x:v>
      </x:c>
      <x:c r="AE125" s="37" t="n">
        <x:f>IFERROR(ROUND(IFERROR(INDEX(Scoring_Rules!$C$43:$C$44,MATCH(Q125,Scoring_Rules!$B$43:$B$44,0)),0)*Scoring_Rules!$C$6+IFERROR(INDEX(Scoring_Rules!$C$34:$C$40,MATCH(K125,Scoring_Rules!$B$34:$B$40,0)),0)*Scoring_Rules!$C$7+IFERROR(INDEX(Scoring_Rules!$C$16:$C$19,MATCH(P125,Scoring_Rules!$B$16:$B$19,0)),0)*Scoring_Rules!$C$8+IFERROR(INDEX(Scoring_Rules!$C$22:$C$25,MATCH(O125,Scoring_Rules!$B$22:$B$25,0)),0)*Scoring_Rules!$C$9+IFERROR(INDEX(Scoring_Rules!$C$47:$C$50,MATCH(X125,Scoring_Rules!$B$47:$B$50,0)),0)*Scoring_Rules!$C$10+IFERROR(INDEX(Scoring_Rules!$C$28:$C$31,MATCH(R125,Scoring_Rules!$B$28:$B$31,0)),0)*Scoring_Rules!$C$11,1),"")</x:f>
        <x:v>47</x:v>
      </x:c>
      <x:c r="AF125" s="35">
        <x:v>4</x:v>
      </x:c>
      <x:c r="AG125" s="33" t="s">
        <x:v>821</x:v>
      </x:c>
      <x:c r="AH125" s="36">
        <x:v>46402</x:v>
      </x:c>
      <x:c r="AI125" s="33" t="s">
        <x:v>127</x:v>
      </x:c>
      <x:c r="AJ125" s="34" t="s">
        <x:v>354</x:v>
      </x:c>
    </x:row>
    <x:row r="126" ht="15" customHeight="1">
      <x:c r="A126" s="31" t="s">
        <x:v>869</x:v>
      </x:c>
      <x:c r="B126" s="31" t="s">
        <x:v>870</x:v>
      </x:c>
      <x:c r="C126" s="31" t="s">
        <x:v>817</x:v>
      </x:c>
      <x:c r="D126" s="32" t="s">
        <x:v>485</x:v>
      </x:c>
      <x:c r="E126" s="32" t="str">
        <x:v>Data Migration Only</x:v>
      </x:c>
      <x:c r="F126" s="33" t="s">
        <x:v>118</x:v>
      </x:c>
      <x:c r="G126" s="34" t="s">
        <x:v>834</x:v>
      </x:c>
      <x:c r="H126" s="33" t="s">
        <x:v>87</x:v>
      </x:c>
      <x:c r="I126" s="33" t="s">
        <x:v>819</x:v>
      </x:c>
      <x:c r="J126" s="33" t="s">
        <x:v>80</x:v>
      </x:c>
      <x:c r="K126" s="33" t="s">
        <x:v>58</x:v>
      </x:c>
      <x:c r="L126" s="33" t="s">
        <x:v>75</x:v>
      </x:c>
      <x:c r="M126" s="35">
        <x:v>22</x:v>
      </x:c>
      <x:c r="N126" s="35">
        <x:v>529192</x:v>
      </x:c>
      <x:c r="O126" s="33" t="s">
        <x:v>73</x:v>
      </x:c>
      <x:c r="P126" s="33" t="s">
        <x:v>73</x:v>
      </x:c>
      <x:c r="Q126" s="33" t="s">
        <x:v>120</x:v>
      </x:c>
      <x:c r="R126" s="33" t="s">
        <x:v>73</x:v>
      </x:c>
      <x:c r="S126" s="31" t="s">
        <x:v>871</x:v>
      </x:c>
      <x:c r="T126" s="31" t="s">
        <x:v>872</x:v>
      </x:c>
      <x:c r="U126" s="31" t="s">
        <x:v>276</x:v>
      </x:c>
      <x:c r="V126" s="33" t="s">
        <x:v>277</x:v>
      </x:c>
      <x:c r="W126" s="33"/>
      <x:c r="X126" s="33" t="s">
        <x:v>238</x:v>
      </x:c>
      <x:c r="Y126" s="36">
        <x:v>46348</x:v>
      </x:c>
      <x:c r="Z126" s="36"/>
      <x:c r="AA126" s="33" t="s">
        <x:v>120</x:v>
      </x:c>
      <x:c r="AB126" s="37" t="n">
        <x:f>IFERROR(INDEX(Effort_Model!$J$6:$J$33,MATCH(K126&amp;"|"&amp;L126,Effort_Model!$B$6:$B$33,0)),"")</x:f>
        <x:v>26.4</x:v>
      </x:c>
      <x:c r="AC126" s="38">
        <x:v>199.8</x:v>
      </x:c>
      <x:c r="AD126" s="37">
        <x:f t="shared" si="1"/>
        <x:v>265.13330000000002</x:v>
      </x:c>
      <x:c r="AE126" s="37" t="n">
        <x:f>IFERROR(ROUND(IFERROR(INDEX(Scoring_Rules!$C$43:$C$44,MATCH(Q126,Scoring_Rules!$B$43:$B$44,0)),0)*Scoring_Rules!$C$6+IFERROR(INDEX(Scoring_Rules!$C$34:$C$40,MATCH(K126,Scoring_Rules!$B$34:$B$40,0)),0)*Scoring_Rules!$C$7+IFERROR(INDEX(Scoring_Rules!$C$16:$C$19,MATCH(P126,Scoring_Rules!$B$16:$B$19,0)),0)*Scoring_Rules!$C$8+IFERROR(INDEX(Scoring_Rules!$C$22:$C$25,MATCH(O126,Scoring_Rules!$B$22:$B$25,0)),0)*Scoring_Rules!$C$9+IFERROR(INDEX(Scoring_Rules!$C$47:$C$50,MATCH(X126,Scoring_Rules!$B$47:$B$50,0)),0)*Scoring_Rules!$C$10+IFERROR(INDEX(Scoring_Rules!$C$28:$C$31,MATCH(R126,Scoring_Rules!$B$28:$B$31,0)),0)*Scoring_Rules!$C$11,1),"")</x:f>
        <x:v>61</x:v>
      </x:c>
      <x:c r="AF126" s="35">
        <x:v>4</x:v>
      </x:c>
      <x:c r="AG126" s="33" t="s">
        <x:v>828</x:v>
      </x:c>
      <x:c r="AH126" s="36">
        <x:v>46325</x:v>
      </x:c>
      <x:c r="AI126" s="33" t="s">
        <x:v>127</x:v>
      </x:c>
      <x:c r="AJ126" s="34" t="s">
        <x:v>354</x:v>
      </x:c>
    </x:row>
    <x:row r="127" ht="15" customHeight="1">
      <x:c r="A127" s="31" t="s">
        <x:v>873</x:v>
      </x:c>
      <x:c r="B127" s="31" t="s">
        <x:v>874</x:v>
      </x:c>
      <x:c r="C127" s="31" t="s">
        <x:v>817</x:v>
      </x:c>
      <x:c r="D127" s="32" t="s">
        <x:v>493</x:v>
      </x:c>
      <x:c r="E127" s="32" t="str">
        <x:v>Data Migration Only</x:v>
      </x:c>
      <x:c r="F127" s="33" t="s">
        <x:v>118</x:v>
      </x:c>
      <x:c r="G127" s="34" t="s">
        <x:v>825</x:v>
      </x:c>
      <x:c r="H127" s="33" t="s">
        <x:v>87</x:v>
      </x:c>
      <x:c r="I127" s="33" t="s">
        <x:v>819</x:v>
      </x:c>
      <x:c r="J127" s="33" t="s">
        <x:v>80</x:v>
      </x:c>
      <x:c r="K127" s="33" t="s">
        <x:v>62</x:v>
      </x:c>
      <x:c r="L127" s="33" t="s">
        <x:v>73</x:v>
      </x:c>
      <x:c r="M127" s="35">
        <x:v>70</x:v>
      </x:c>
      <x:c r="N127" s="35">
        <x:v>81340411</x:v>
      </x:c>
      <x:c r="O127" s="33" t="s">
        <x:v>73</x:v>
      </x:c>
      <x:c r="P127" s="33" t="s">
        <x:v>73</x:v>
      </x:c>
      <x:c r="Q127" s="33" t="s">
        <x:v>120</x:v>
      </x:c>
      <x:c r="R127" s="33" t="s">
        <x:v>98</x:v>
      </x:c>
      <x:c r="S127" s="31" t="s">
        <x:v>562</x:v>
      </x:c>
      <x:c r="T127" s="31" t="s">
        <x:v>857</x:v>
      </x:c>
      <x:c r="U127" s="31" t="s">
        <x:v>276</x:v>
      </x:c>
      <x:c r="V127" s="33" t="s">
        <x:v>277</x:v>
      </x:c>
      <x:c r="W127" s="33"/>
      <x:c r="X127" s="33" t="s">
        <x:v>238</x:v>
      </x:c>
      <x:c r="Y127" s="36"/>
      <x:c r="Z127" s="36"/>
      <x:c r="AA127" s="33" t="s">
        <x:v>120</x:v>
      </x:c>
      <x:c r="AB127" s="37" t="n">
        <x:f>IFERROR(INDEX(Effort_Model!$J$6:$J$33,MATCH(K127&amp;"|"&amp;L127,Effort_Model!$B$6:$B$33,0)),"")</x:f>
        <x:v>74.4</x:v>
      </x:c>
      <x:c r="AC127" s="38">
        <x:v>478</x:v>
      </x:c>
      <x:c r="AD127" s="37">
        <x:f t="shared" si="1"/>
        <x:v>619</x:v>
      </x:c>
      <x:c r="AE127" s="37" t="n">
        <x:f>IFERROR(ROUND(IFERROR(INDEX(Scoring_Rules!$C$43:$C$44,MATCH(Q127,Scoring_Rules!$B$43:$B$44,0)),0)*Scoring_Rules!$C$6+IFERROR(INDEX(Scoring_Rules!$C$34:$C$40,MATCH(K127,Scoring_Rules!$B$34:$B$40,0)),0)*Scoring_Rules!$C$7+IFERROR(INDEX(Scoring_Rules!$C$16:$C$19,MATCH(P127,Scoring_Rules!$B$16:$B$19,0)),0)*Scoring_Rules!$C$8+IFERROR(INDEX(Scoring_Rules!$C$22:$C$25,MATCH(O127,Scoring_Rules!$B$22:$B$25,0)),0)*Scoring_Rules!$C$9+IFERROR(INDEX(Scoring_Rules!$C$47:$C$50,MATCH(X127,Scoring_Rules!$B$47:$B$50,0)),0)*Scoring_Rules!$C$10+IFERROR(INDEX(Scoring_Rules!$C$28:$C$31,MATCH(R127,Scoring_Rules!$B$28:$B$31,0)),0)*Scoring_Rules!$C$11,1),"")</x:f>
        <x:v>55.5</x:v>
      </x:c>
      <x:c r="AF127" s="35">
        <x:v>3</x:v>
      </x:c>
      <x:c r="AG127" s="33" t="s">
        <x:v>831</x:v>
      </x:c>
      <x:c r="AH127" s="36">
        <x:v>46330</x:v>
      </x:c>
      <x:c r="AI127" s="33" t="s">
        <x:v>127</x:v>
      </x:c>
      <x:c r="AJ127" s="34" t="s">
        <x:v>395</x:v>
      </x:c>
    </x:row>
    <x:row r="128" ht="15" customHeight="1">
      <x:c r="A128" s="31" t="s">
        <x:v>875</x:v>
      </x:c>
      <x:c r="B128" s="31" t="s">
        <x:v>876</x:v>
      </x:c>
      <x:c r="C128" s="31" t="s">
        <x:v>817</x:v>
      </x:c>
      <x:c r="D128" s="32" t="s">
        <x:v>799</x:v>
      </x:c>
      <x:c r="E128" s="32" t="str">
        <x:v>Data Migration Only</x:v>
      </x:c>
      <x:c r="F128" s="33" t="s">
        <x:v>120</x:v>
      </x:c>
      <x:c r="G128" s="34" t="s">
        <x:v>825</x:v>
      </x:c>
      <x:c r="H128" s="33" t="s">
        <x:v>87</x:v>
      </x:c>
      <x:c r="I128" s="33" t="s">
        <x:v>819</x:v>
      </x:c>
      <x:c r="J128" s="33" t="s">
        <x:v>80</x:v>
      </x:c>
      <x:c r="K128" s="33" t="s">
        <x:v>60</x:v>
      </x:c>
      <x:c r="L128" s="33" t="s">
        <x:v>71</x:v>
      </x:c>
      <x:c r="M128" s="35">
        <x:v>42</x:v>
      </x:c>
      <x:c r="N128" s="35">
        <x:v>4672956</x:v>
      </x:c>
      <x:c r="O128" s="33" t="s">
        <x:v>73</x:v>
      </x:c>
      <x:c r="P128" s="33" t="s">
        <x:v>73</x:v>
      </x:c>
      <x:c r="Q128" s="33" t="s">
        <x:v>120</x:v>
      </x:c>
      <x:c r="R128" s="33" t="s">
        <x:v>73</x:v>
      </x:c>
      <x:c r="S128" s="31" t="s">
        <x:v>562</x:v>
      </x:c>
      <x:c r="T128" s="31" t="s">
        <x:v>857</x:v>
      </x:c>
      <x:c r="U128" s="31" t="s">
        <x:v>522</x:v>
      </x:c>
      <x:c r="V128" s="33" t="s">
        <x:v>365</x:v>
      </x:c>
      <x:c r="W128" s="33"/>
      <x:c r="X128" s="33" t="s">
        <x:v>238</x:v>
      </x:c>
      <x:c r="Y128" s="36">
        <x:v>46457</x:v>
      </x:c>
      <x:c r="Z128" s="36"/>
      <x:c r="AA128" s="33" t="s">
        <x:v>120</x:v>
      </x:c>
      <x:c r="AB128" s="37" t="n">
        <x:f>IFERROR(INDEX(Effort_Model!$J$6:$J$33,MATCH(K128&amp;"|"&amp;L128,Effort_Model!$B$6:$B$33,0)),"")</x:f>
        <x:v>18.4</x:v>
      </x:c>
      <x:c r="AC128" s="38">
        <x:v>195.4</x:v>
      </x:c>
      <x:c r="AD128" s="37">
        <x:f t="shared" si="1"/>
        <x:v>237.8</x:v>
      </x:c>
      <x:c r="AE128" s="37" t="n">
        <x:f>IFERROR(ROUND(IFERROR(INDEX(Scoring_Rules!$C$43:$C$44,MATCH(Q128,Scoring_Rules!$B$43:$B$44,0)),0)*Scoring_Rules!$C$6+IFERROR(INDEX(Scoring_Rules!$C$34:$C$40,MATCH(K128,Scoring_Rules!$B$34:$B$40,0)),0)*Scoring_Rules!$C$7+IFERROR(INDEX(Scoring_Rules!$C$16:$C$19,MATCH(P128,Scoring_Rules!$B$16:$B$19,0)),0)*Scoring_Rules!$C$8+IFERROR(INDEX(Scoring_Rules!$C$22:$C$25,MATCH(O128,Scoring_Rules!$B$22:$B$25,0)),0)*Scoring_Rules!$C$9+IFERROR(INDEX(Scoring_Rules!$C$47:$C$50,MATCH(X128,Scoring_Rules!$B$47:$B$50,0)),0)*Scoring_Rules!$C$10+IFERROR(INDEX(Scoring_Rules!$C$28:$C$31,MATCH(R128,Scoring_Rules!$B$28:$B$31,0)),0)*Scoring_Rules!$C$11,1),"")</x:f>
        <x:v>58</x:v>
      </x:c>
      <x:c r="AF128" s="35">
        <x:v>2</x:v>
      </x:c>
      <x:c r="AG128" s="33" t="s">
        <x:v>837</x:v>
      </x:c>
      <x:c r="AH128" s="36">
        <x:v>46301</x:v>
      </x:c>
      <x:c r="AI128" s="33" t="s">
        <x:v>126</x:v>
      </x:c>
      <x:c r="AJ128" s="34"/>
    </x:row>
    <x:row r="129" ht="15" customHeight="1">
      <x:c r="A129" s="31" t="s">
        <x:v>877</x:v>
      </x:c>
      <x:c r="B129" s="31" t="s">
        <x:v>878</x:v>
      </x:c>
      <x:c r="C129" s="31" t="s">
        <x:v>817</x:v>
      </x:c>
      <x:c r="D129" s="32" t="s">
        <x:v>824</x:v>
      </x:c>
      <x:c r="E129" s="32" t="str">
        <x:v>Functional Migration Only</x:v>
      </x:c>
      <x:c r="F129" s="33" t="s">
        <x:v>118</x:v>
      </x:c>
      <x:c r="G129" s="34" t="s">
        <x:v>852</x:v>
      </x:c>
      <x:c r="H129" s="33" t="s">
        <x:v>87</x:v>
      </x:c>
      <x:c r="I129" s="33" t="s">
        <x:v>819</x:v>
      </x:c>
      <x:c r="J129" s="33" t="s">
        <x:v>82</x:v>
      </x:c>
      <x:c r="K129" s="33" t="s">
        <x:v>62</x:v>
      </x:c>
      <x:c r="L129" s="33" t="s">
        <x:v>77</x:v>
      </x:c>
      <x:c r="M129" s="35">
        <x:v>66</x:v>
      </x:c>
      <x:c r="N129" s="35">
        <x:v>115306976</x:v>
      </x:c>
      <x:c r="O129" s="33" t="s">
        <x:v>73</x:v>
      </x:c>
      <x:c r="P129" s="33" t="s">
        <x:v>101</x:v>
      </x:c>
      <x:c r="Q129" s="33" t="s">
        <x:v>120</x:v>
      </x:c>
      <x:c r="R129" s="33" t="s">
        <x:v>101</x:v>
      </x:c>
      <x:c r="S129" s="31" t="s">
        <x:v>879</x:v>
      </x:c>
      <x:c r="T129" s="31" t="s">
        <x:v>880</x:v>
      </x:c>
      <x:c r="U129" s="31" t="s">
        <x:v>471</x:v>
      </x:c>
      <x:c r="V129" s="33" t="s">
        <x:v>289</x:v>
      </x:c>
      <x:c r="W129" s="33"/>
      <x:c r="X129" s="33" t="s">
        <x:v>238</x:v>
      </x:c>
      <x:c r="Y129" s="36">
        <x:v>46411</x:v>
      </x:c>
      <x:c r="Z129" s="36"/>
      <x:c r="AA129" s="33" t="s">
        <x:v>120</x:v>
      </x:c>
      <x:c r="AB129" s="37" t="n">
        <x:f>IFERROR(INDEX(Effort_Model!$J$6:$J$33,MATCH(K129&amp;"|"&amp;L129,Effort_Model!$B$6:$B$33,0)),"")</x:f>
        <x:v>74.4</x:v>
      </x:c>
      <x:c r="AC129" s="38">
        <x:v>1151.5999999999999</x:v>
      </x:c>
      <x:c r="AD129" s="37">
        <x:f t="shared" si="1"/>
        <x:v>1424.9332999999999</x:v>
      </x:c>
      <x:c r="AE129" s="37" t="n">
        <x:f>IFERROR(ROUND(IFERROR(INDEX(Scoring_Rules!$C$43:$C$44,MATCH(Q129,Scoring_Rules!$B$43:$B$44,0)),0)*Scoring_Rules!$C$6+IFERROR(INDEX(Scoring_Rules!$C$34:$C$40,MATCH(K129,Scoring_Rules!$B$34:$B$40,0)),0)*Scoring_Rules!$C$7+IFERROR(INDEX(Scoring_Rules!$C$16:$C$19,MATCH(P129,Scoring_Rules!$B$16:$B$19,0)),0)*Scoring_Rules!$C$8+IFERROR(INDEX(Scoring_Rules!$C$22:$C$25,MATCH(O129,Scoring_Rules!$B$22:$B$25,0)),0)*Scoring_Rules!$C$9+IFERROR(INDEX(Scoring_Rules!$C$47:$C$50,MATCH(X129,Scoring_Rules!$B$47:$B$50,0)),0)*Scoring_Rules!$C$10+IFERROR(INDEX(Scoring_Rules!$C$28:$C$31,MATCH(R129,Scoring_Rules!$B$28:$B$31,0)),0)*Scoring_Rules!$C$11,1),"")</x:f>
        <x:v>45.3</x:v>
      </x:c>
      <x:c r="AF129" s="35">
        <x:v>7</x:v>
      </x:c>
      <x:c r="AG129" s="33" t="s">
        <x:v>821</x:v>
      </x:c>
      <x:c r="AH129" s="36">
        <x:v>46395</x:v>
      </x:c>
      <x:c r="AI129" s="33" t="s">
        <x:v>125</x:v>
      </x:c>
      <x:c r="AJ129" s="34"/>
    </x:row>
    <x:row r="130" ht="15" customHeight="1">
      <x:c r="A130" s="31" t="s">
        <x:v>881</x:v>
      </x:c>
      <x:c r="B130" s="31" t="s">
        <x:v>882</x:v>
      </x:c>
      <x:c r="C130" s="31" t="s">
        <x:v>817</x:v>
      </x:c>
      <x:c r="D130" s="32" t="s">
        <x:v>799</x:v>
      </x:c>
      <x:c r="E130" s="32" t="str">
        <x:v>Functional Migration Only</x:v>
      </x:c>
      <x:c r="F130" s="33" t="s">
        <x:v>118</x:v>
      </x:c>
      <x:c r="G130" s="34" t="s">
        <x:v>818</x:v>
      </x:c>
      <x:c r="H130" s="33" t="s">
        <x:v>87</x:v>
      </x:c>
      <x:c r="I130" s="33" t="s">
        <x:v>819</x:v>
      </x:c>
      <x:c r="J130" s="33" t="s">
        <x:v>82</x:v>
      </x:c>
      <x:c r="K130" s="33" t="s">
        <x:v>60</x:v>
      </x:c>
      <x:c r="L130" s="33" t="s">
        <x:v>73</x:v>
      </x:c>
      <x:c r="M130" s="35">
        <x:v>47</x:v>
      </x:c>
      <x:c r="N130" s="35">
        <x:v>6293131</x:v>
      </x:c>
      <x:c r="O130" s="33" t="s">
        <x:v>73</x:v>
      </x:c>
      <x:c r="P130" s="33" t="s">
        <x:v>73</x:v>
      </x:c>
      <x:c r="Q130" s="33" t="s">
        <x:v>120</x:v>
      </x:c>
      <x:c r="R130" s="33" t="s">
        <x:v>98</x:v>
      </x:c>
      <x:c r="S130" s="31" t="s">
        <x:v>883</x:v>
      </x:c>
      <x:c r="T130" s="31" t="s">
        <x:v>884</x:v>
      </x:c>
      <x:c r="U130" s="31" t="s">
        <x:v>276</x:v>
      </x:c>
      <x:c r="V130" s="33" t="s">
        <x:v>277</x:v>
      </x:c>
      <x:c r="W130" s="33"/>
      <x:c r="X130" s="33" t="s">
        <x:v>238</x:v>
      </x:c>
      <x:c r="Y130" s="36"/>
      <x:c r="Z130" s="36"/>
      <x:c r="AA130" s="33" t="s">
        <x:v>120</x:v>
      </x:c>
      <x:c r="AB130" s="37" t="n">
        <x:f>IFERROR(INDEX(Effort_Model!$J$6:$J$33,MATCH(K130&amp;"|"&amp;L130,Effort_Model!$B$6:$B$33,0)),"")</x:f>
        <x:v>42.4</x:v>
      </x:c>
      <x:c r="AC130" s="38">
        <x:v>405.4</x:v>
      </x:c>
      <x:c r="AD130" s="37" t="n">
        <x:f t="shared" ref="AD130:AD193" si="2">IFERROR(AB130+N(AC130),"")</x:f>
        <x:v>447.79999999999995</x:v>
      </x:c>
      <x:c r="AE130" s="37" t="n">
        <x:f>IFERROR(ROUND(IFERROR(INDEX(Scoring_Rules!$C$43:$C$44,MATCH(Q130,Scoring_Rules!$B$43:$B$44,0)),0)*Scoring_Rules!$C$6+IFERROR(INDEX(Scoring_Rules!$C$34:$C$40,MATCH(K130,Scoring_Rules!$B$34:$B$40,0)),0)*Scoring_Rules!$C$7+IFERROR(INDEX(Scoring_Rules!$C$16:$C$19,MATCH(P130,Scoring_Rules!$B$16:$B$19,0)),0)*Scoring_Rules!$C$8+IFERROR(INDEX(Scoring_Rules!$C$22:$C$25,MATCH(O130,Scoring_Rules!$B$22:$B$25,0)),0)*Scoring_Rules!$C$9+IFERROR(INDEX(Scoring_Rules!$C$47:$C$50,MATCH(X130,Scoring_Rules!$B$47:$B$50,0)),0)*Scoring_Rules!$C$10+IFERROR(INDEX(Scoring_Rules!$C$28:$C$31,MATCH(R130,Scoring_Rules!$B$28:$B$31,0)),0)*Scoring_Rules!$C$11,1),"")</x:f>
        <x:v>59.5</x:v>
      </x:c>
      <x:c r="AF130" s="35">
        <x:v>3</x:v>
      </x:c>
      <x:c r="AG130" s="33" t="s">
        <x:v>828</x:v>
      </x:c>
      <x:c r="AH130" s="36">
        <x:v>46404</x:v>
      </x:c>
      <x:c r="AI130" s="33" t="s">
        <x:v>127</x:v>
      </x:c>
      <x:c r="AJ130" s="34" t="s">
        <x:v>342</x:v>
      </x:c>
    </x:row>
    <x:row r="131" ht="15" customHeight="1">
      <x:c r="A131" s="31" t="s">
        <x:v>885</x:v>
      </x:c>
      <x:c r="B131" s="31" t="s">
        <x:v>886</x:v>
      </x:c>
      <x:c r="C131" s="31" t="s">
        <x:v>817</x:v>
      </x:c>
      <x:c r="D131" s="32" t="s">
        <x:v>824</x:v>
      </x:c>
      <x:c r="E131" s="32" t="str">
        <x:v>Functional Migration Only</x:v>
      </x:c>
      <x:c r="F131" s="33" t="s">
        <x:v>118</x:v>
      </x:c>
      <x:c r="G131" s="34" t="s">
        <x:v>834</x:v>
      </x:c>
      <x:c r="H131" s="33" t="s">
        <x:v>87</x:v>
      </x:c>
      <x:c r="I131" s="33" t="s">
        <x:v>819</x:v>
      </x:c>
      <x:c r="J131" s="33" t="s">
        <x:v>82</x:v>
      </x:c>
      <x:c r="K131" s="33" t="s">
        <x:v>62</x:v>
      </x:c>
      <x:c r="L131" s="33" t="s">
        <x:v>73</x:v>
      </x:c>
      <x:c r="M131" s="35">
        <x:v>75</x:v>
      </x:c>
      <x:c r="N131" s="35">
        <x:v>123761298</x:v>
      </x:c>
      <x:c r="O131" s="33" t="s">
        <x:v>101</x:v>
      </x:c>
      <x:c r="P131" s="33" t="s">
        <x:v>73</x:v>
      </x:c>
      <x:c r="Q131" s="33" t="s">
        <x:v>120</x:v>
      </x:c>
      <x:c r="R131" s="33" t="s">
        <x:v>101</x:v>
      </x:c>
      <x:c r="S131" s="31" t="s">
        <x:v>488</x:v>
      </x:c>
      <x:c r="T131" s="31" t="s">
        <x:v>887</x:v>
      </x:c>
      <x:c r="U131" s="31" t="s">
        <x:v>276</x:v>
      </x:c>
      <x:c r="V131" s="33" t="s">
        <x:v>347</x:v>
      </x:c>
      <x:c r="W131" s="33"/>
      <x:c r="X131" s="33" t="s">
        <x:v>238</x:v>
      </x:c>
      <x:c r="Y131" s="36"/>
      <x:c r="Z131" s="36"/>
      <x:c r="AA131" s="33" t="s">
        <x:v>120</x:v>
      </x:c>
      <x:c r="AB131" s="37" t="n">
        <x:f>IFERROR(INDEX(Effort_Model!$J$6:$J$33,MATCH(K131&amp;"|"&amp;L131,Effort_Model!$B$6:$B$33,0)),"")</x:f>
        <x:v>74.4</x:v>
      </x:c>
      <x:c r="AC131" s="38">
        <x:v>751.5</x:v>
      </x:c>
      <x:c r="AD131" s="37">
        <x:f t="shared" si="2"/>
        <x:v>892.5</x:v>
      </x:c>
      <x:c r="AE131" s="37" t="n">
        <x:f>IFERROR(ROUND(IFERROR(INDEX(Scoring_Rules!$C$43:$C$44,MATCH(Q131,Scoring_Rules!$B$43:$B$44,0)),0)*Scoring_Rules!$C$6+IFERROR(INDEX(Scoring_Rules!$C$34:$C$40,MATCH(K131,Scoring_Rules!$B$34:$B$40,0)),0)*Scoring_Rules!$C$7+IFERROR(INDEX(Scoring_Rules!$C$16:$C$19,MATCH(P131,Scoring_Rules!$B$16:$B$19,0)),0)*Scoring_Rules!$C$8+IFERROR(INDEX(Scoring_Rules!$C$22:$C$25,MATCH(O131,Scoring_Rules!$B$22:$B$25,0)),0)*Scoring_Rules!$C$9+IFERROR(INDEX(Scoring_Rules!$C$47:$C$50,MATCH(X131,Scoring_Rules!$B$47:$B$50,0)),0)*Scoring_Rules!$C$10+IFERROR(INDEX(Scoring_Rules!$C$28:$C$31,MATCH(R131,Scoring_Rules!$B$28:$B$31,0)),0)*Scoring_Rules!$C$11,1),"")</x:f>
        <x:v>47</x:v>
      </x:c>
      <x:c r="AF131" s="35">
        <x:v>4</x:v>
      </x:c>
      <x:c r="AG131" s="33" t="s">
        <x:v>831</x:v>
      </x:c>
      <x:c r="AH131" s="36">
        <x:v>46390</x:v>
      </x:c>
      <x:c r="AI131" s="33" t="s">
        <x:v>127</x:v>
      </x:c>
      <x:c r="AJ131" s="34"/>
    </x:row>
    <x:row r="132" ht="23.25" customHeight="1">
      <x:c r="A132" s="31" t="s">
        <x:v>888</x:v>
      </x:c>
      <x:c r="B132" s="31" t="s">
        <x:v>889</x:v>
      </x:c>
      <x:c r="C132" s="31" t="s">
        <x:v>817</x:v>
      </x:c>
      <x:c r="D132" s="32" t="s">
        <x:v>890</x:v>
      </x:c>
      <x:c r="E132" s="32" t="str">
        <x:v>Functional Migration Only</x:v>
      </x:c>
      <x:c r="F132" s="33" t="s">
        <x:v>118</x:v>
      </x:c>
      <x:c r="G132" s="34" t="s">
        <x:v>834</x:v>
      </x:c>
      <x:c r="H132" s="33" t="s">
        <x:v>87</x:v>
      </x:c>
      <x:c r="I132" s="33" t="s">
        <x:v>819</x:v>
      </x:c>
      <x:c r="J132" s="33" t="s">
        <x:v>82</x:v>
      </x:c>
      <x:c r="K132" s="33" t="s">
        <x:v>66</x:v>
      </x:c>
      <x:c r="L132" s="33" t="s">
        <x:v>73</x:v>
      </x:c>
      <x:c r="M132" s="35">
        <x:v>193</x:v>
      </x:c>
      <x:c r="N132" s="35">
        <x:v>13151809058</x:v>
      </x:c>
      <x:c r="O132" s="33" t="s">
        <x:v>73</x:v>
      </x:c>
      <x:c r="P132" s="33" t="s">
        <x:v>98</x:v>
      </x:c>
      <x:c r="Q132" s="33" t="s">
        <x:v>120</x:v>
      </x:c>
      <x:c r="R132" s="33" t="s">
        <x:v>73</x:v>
      </x:c>
      <x:c r="S132" s="31" t="s">
        <x:v>526</x:v>
      </x:c>
      <x:c r="T132" s="31" t="s">
        <x:v>891</x:v>
      </x:c>
      <x:c r="U132" s="31" t="s">
        <x:v>276</x:v>
      </x:c>
      <x:c r="V132" s="33" t="s">
        <x:v>329</x:v>
      </x:c>
      <x:c r="W132" s="33"/>
      <x:c r="X132" s="33" t="s">
        <x:v>238</x:v>
      </x:c>
      <x:c r="Y132" s="36">
        <x:v>46460</x:v>
      </x:c>
      <x:c r="Z132" s="36"/>
      <x:c r="AA132" s="33" t="s">
        <x:v>120</x:v>
      </x:c>
      <x:c r="AB132" s="37" t="n">
        <x:f>IFERROR(INDEX(Effort_Model!$J$6:$J$33,MATCH(K132&amp;"|"&amp;L132,Effort_Model!$B$6:$B$33,0)),"")</x:f>
        <x:v>138.4</x:v>
      </x:c>
      <x:c r="AC132" s="38">
        <x:v>1882.3</x:v>
      </x:c>
      <x:c r="AD132" s="37">
        <x:f t="shared" si="2"/>
        <x:v>2151.3000000000002</x:v>
      </x:c>
      <x:c r="AE132" s="37" t="n">
        <x:f>IFERROR(ROUND(IFERROR(INDEX(Scoring_Rules!$C$43:$C$44,MATCH(Q132,Scoring_Rules!$B$43:$B$44,0)),0)*Scoring_Rules!$C$6+IFERROR(INDEX(Scoring_Rules!$C$34:$C$40,MATCH(K132,Scoring_Rules!$B$34:$B$40,0)),0)*Scoring_Rules!$C$7+IFERROR(INDEX(Scoring_Rules!$C$16:$C$19,MATCH(P132,Scoring_Rules!$B$16:$B$19,0)),0)*Scoring_Rules!$C$8+IFERROR(INDEX(Scoring_Rules!$C$22:$C$25,MATCH(O132,Scoring_Rules!$B$22:$B$25,0)),0)*Scoring_Rules!$C$9+IFERROR(INDEX(Scoring_Rules!$C$47:$C$50,MATCH(X132,Scoring_Rules!$B$47:$B$50,0)),0)*Scoring_Rules!$C$10+IFERROR(INDEX(Scoring_Rules!$C$28:$C$31,MATCH(R132,Scoring_Rules!$B$28:$B$31,0)),0)*Scoring_Rules!$C$11,1),"")</x:f>
        <x:v>53</x:v>
      </x:c>
      <x:c r="AF132" s="35">
        <x:v>3</x:v>
      </x:c>
      <x:c r="AG132" s="33" t="s">
        <x:v>837</x:v>
      </x:c>
      <x:c r="AH132" s="36">
        <x:v>46362</x:v>
      </x:c>
      <x:c r="AI132" s="33" t="s">
        <x:v>127</x:v>
      </x:c>
      <x:c r="AJ132" s="34" t="s">
        <x:v>312</x:v>
      </x:c>
    </x:row>
    <x:row r="133" ht="15" customHeight="1">
      <x:c r="A133" s="31" t="s">
        <x:v>892</x:v>
      </x:c>
      <x:c r="B133" s="31" t="s">
        <x:v>893</x:v>
      </x:c>
      <x:c r="C133" s="31" t="s">
        <x:v>817</x:v>
      </x:c>
      <x:c r="D133" s="32" t="s">
        <x:v>567</x:v>
      </x:c>
      <x:c r="E133" s="32" t="str">
        <x:v>Data Migration Only</x:v>
      </x:c>
      <x:c r="F133" s="33" t="s">
        <x:v>120</x:v>
      </x:c>
      <x:c r="G133" s="34" t="s">
        <x:v>834</x:v>
      </x:c>
      <x:c r="H133" s="33" t="s">
        <x:v>87</x:v>
      </x:c>
      <x:c r="I133" s="33" t="s">
        <x:v>819</x:v>
      </x:c>
      <x:c r="J133" s="33" t="s">
        <x:v>80</x:v>
      </x:c>
      <x:c r="K133" s="33" t="s">
        <x:v>62</x:v>
      </x:c>
      <x:c r="L133" s="33" t="s">
        <x:v>73</x:v>
      </x:c>
      <x:c r="M133" s="35">
        <x:v>52</x:v>
      </x:c>
      <x:c r="N133" s="35">
        <x:v>113362776</x:v>
      </x:c>
      <x:c r="O133" s="33" t="s">
        <x:v>103</x:v>
      </x:c>
      <x:c r="P133" s="33" t="s">
        <x:v>98</x:v>
      </x:c>
      <x:c r="Q133" s="33" t="s">
        <x:v>120</x:v>
      </x:c>
      <x:c r="R133" s="33" t="s">
        <x:v>73</x:v>
      </x:c>
      <x:c r="S133" s="31" t="s">
        <x:v>894</x:v>
      </x:c>
      <x:c r="T133" s="31" t="s">
        <x:v>895</x:v>
      </x:c>
      <x:c r="U133" s="31" t="s">
        <x:v>276</x:v>
      </x:c>
      <x:c r="V133" s="33" t="s">
        <x:v>444</x:v>
      </x:c>
      <x:c r="W133" s="33"/>
      <x:c r="X133" s="33" t="s">
        <x:v>238</x:v>
      </x:c>
      <x:c r="Y133" s="36">
        <x:v>46692</x:v>
      </x:c>
      <x:c r="Z133" s="36"/>
      <x:c r="AA133" s="33" t="s">
        <x:v>120</x:v>
      </x:c>
      <x:c r="AB133" s="37" t="n">
        <x:f>IFERROR(INDEX(Effort_Model!$J$6:$J$33,MATCH(K133&amp;"|"&amp;L133,Effort_Model!$B$6:$B$33,0)),"")</x:f>
        <x:v>74.4</x:v>
      </x:c>
      <x:c r="AC133" s="38">
        <x:v>414.2</x:v>
      </x:c>
      <x:c r="AD133" s="37">
        <x:f t="shared" si="2"/>
        <x:v>555.20000000000005</x:v>
      </x:c>
      <x:c r="AE133" s="37" t="n">
        <x:f>IFERROR(ROUND(IFERROR(INDEX(Scoring_Rules!$C$43:$C$44,MATCH(Q133,Scoring_Rules!$B$43:$B$44,0)),0)*Scoring_Rules!$C$6+IFERROR(INDEX(Scoring_Rules!$C$34:$C$40,MATCH(K133,Scoring_Rules!$B$34:$B$40,0)),0)*Scoring_Rules!$C$7+IFERROR(INDEX(Scoring_Rules!$C$16:$C$19,MATCH(P133,Scoring_Rules!$B$16:$B$19,0)),0)*Scoring_Rules!$C$8+IFERROR(INDEX(Scoring_Rules!$C$22:$C$25,MATCH(O133,Scoring_Rules!$B$22:$B$25,0)),0)*Scoring_Rules!$C$9+IFERROR(INDEX(Scoring_Rules!$C$47:$C$50,MATCH(X133,Scoring_Rules!$B$47:$B$50,0)),0)*Scoring_Rules!$C$10+IFERROR(INDEX(Scoring_Rules!$C$28:$C$31,MATCH(R133,Scoring_Rules!$B$28:$B$31,0)),0)*Scoring_Rules!$C$11,1),"")</x:f>
        <x:v>49.5</x:v>
      </x:c>
      <x:c r="AF133" s="35">
        <x:v>4</x:v>
      </x:c>
      <x:c r="AG133" s="33" t="s">
        <x:v>821</x:v>
      </x:c>
      <x:c r="AH133" s="36">
        <x:v>46381</x:v>
      </x:c>
      <x:c r="AI133" s="33" t="s">
        <x:v>126</x:v>
      </x:c>
      <x:c r="AJ133" s="34"/>
    </x:row>
    <x:row r="134" ht="45.75" customHeight="1">
      <x:c r="A134" s="31" t="s">
        <x:v>896</x:v>
      </x:c>
      <x:c r="B134" s="31" t="s">
        <x:v>897</x:v>
      </x:c>
      <x:c r="C134" s="31" t="s">
        <x:v>817</x:v>
      </x:c>
      <x:c r="D134" s="32" t="s">
        <x:v>898</x:v>
      </x:c>
      <x:c r="E134" s="32" t="str">
        <x:v>Data Migration Only</x:v>
      </x:c>
      <x:c r="F134" s="33" t="s">
        <x:v>118</x:v>
      </x:c>
      <x:c r="G134" s="34" t="s">
        <x:v>818</x:v>
      </x:c>
      <x:c r="H134" s="33" t="s">
        <x:v>87</x:v>
      </x:c>
      <x:c r="I134" s="33" t="s">
        <x:v>819</x:v>
      </x:c>
      <x:c r="J134" s="33" t="s">
        <x:v>80</x:v>
      </x:c>
      <x:c r="K134" s="33" t="s">
        <x:v>64</x:v>
      </x:c>
      <x:c r="L134" s="33" t="s">
        <x:v>75</x:v>
      </x:c>
      <x:c r="M134" s="35">
        <x:v>125</x:v>
      </x:c>
      <x:c r="N134" s="35">
        <x:v>717829935</x:v>
      </x:c>
      <x:c r="O134" s="33" t="s">
        <x:v>73</x:v>
      </x:c>
      <x:c r="P134" s="33" t="s">
        <x:v>101</x:v>
      </x:c>
      <x:c r="Q134" s="33" t="s">
        <x:v>120</x:v>
      </x:c>
      <x:c r="R134" s="33" t="s">
        <x:v>73</x:v>
      </x:c>
      <x:c r="S134" s="31" t="s">
        <x:v>899</x:v>
      </x:c>
      <x:c r="T134" s="31" t="s">
        <x:v>900</x:v>
      </x:c>
      <x:c r="U134" s="31" t="s">
        <x:v>276</x:v>
      </x:c>
      <x:c r="V134" s="33" t="s">
        <x:v>289</x:v>
      </x:c>
      <x:c r="W134" s="33"/>
      <x:c r="X134" s="33" t="s">
        <x:v>238</x:v>
      </x:c>
      <x:c r="Y134" s="36"/>
      <x:c r="Z134" s="36"/>
      <x:c r="AA134" s="33" t="s">
        <x:v>120</x:v>
      </x:c>
      <x:c r="AB134" s="37" t="n">
        <x:f>IFERROR(INDEX(Effort_Model!$J$6:$J$33,MATCH(K134&amp;"|"&amp;L134,Effort_Model!$B$6:$B$33,0)),"")</x:f>
        <x:v>106.4</x:v>
      </x:c>
      <x:c r="AC134" s="38">
        <x:v>898.8</x:v>
      </x:c>
      <x:c r="AD134" s="37">
        <x:f t="shared" si="2"/>
        <x:v>1204.1333</x:v>
      </x:c>
      <x:c r="AE134" s="37" t="n">
        <x:f>IFERROR(ROUND(IFERROR(INDEX(Scoring_Rules!$C$43:$C$44,MATCH(Q134,Scoring_Rules!$B$43:$B$44,0)),0)*Scoring_Rules!$C$6+IFERROR(INDEX(Scoring_Rules!$C$34:$C$40,MATCH(K134,Scoring_Rules!$B$34:$B$40,0)),0)*Scoring_Rules!$C$7+IFERROR(INDEX(Scoring_Rules!$C$16:$C$19,MATCH(P134,Scoring_Rules!$B$16:$B$19,0)),0)*Scoring_Rules!$C$8+IFERROR(INDEX(Scoring_Rules!$C$22:$C$25,MATCH(O134,Scoring_Rules!$B$22:$B$25,0)),0)*Scoring_Rules!$C$9+IFERROR(INDEX(Scoring_Rules!$C$47:$C$50,MATCH(X134,Scoring_Rules!$B$47:$B$50,0)),0)*Scoring_Rules!$C$10+IFERROR(INDEX(Scoring_Rules!$C$28:$C$31,MATCH(R134,Scoring_Rules!$B$28:$B$31,0)),0)*Scoring_Rules!$C$11,1),"")</x:f>
        <x:v>43</x:v>
      </x:c>
      <x:c r="AF134" s="35">
        <x:v>7</x:v>
      </x:c>
      <x:c r="AG134" s="33" t="s">
        <x:v>828</x:v>
      </x:c>
      <x:c r="AH134" s="36">
        <x:v>46400</x:v>
      </x:c>
      <x:c r="AI134" s="33" t="s">
        <x:v>125</x:v>
      </x:c>
      <x:c r="AJ134" s="34"/>
    </x:row>
    <x:row r="135" ht="15" customHeight="1">
      <x:c r="A135" s="31" t="s">
        <x:v>901</x:v>
      </x:c>
      <x:c r="B135" s="31" t="s">
        <x:v>902</x:v>
      </x:c>
      <x:c r="C135" s="31" t="s">
        <x:v>817</x:v>
      </x:c>
      <x:c r="D135" s="32" t="s">
        <x:v>493</x:v>
      </x:c>
      <x:c r="E135" s="32" t="str">
        <x:v>Data Migration Only</x:v>
      </x:c>
      <x:c r="F135" s="33" t="s">
        <x:v>118</x:v>
      </x:c>
      <x:c r="G135" s="34" t="s">
        <x:v>629</x:v>
      </x:c>
      <x:c r="H135" s="33" t="s">
        <x:v>89</x:v>
      </x:c>
      <x:c r="I135" s="33" t="s">
        <x:v>819</x:v>
      </x:c>
      <x:c r="J135" s="33" t="s">
        <x:v>80</x:v>
      </x:c>
      <x:c r="K135" s="33" t="s">
        <x:v>58</x:v>
      </x:c>
      <x:c r="L135" s="33" t="s">
        <x:v>77</x:v>
      </x:c>
      <x:c r="M135" s="35">
        <x:v>24</x:v>
      </x:c>
      <x:c r="N135" s="35">
        <x:v>956518</x:v>
      </x:c>
      <x:c r="O135" s="33" t="s">
        <x:v>101</x:v>
      </x:c>
      <x:c r="P135" s="33" t="s">
        <x:v>109</x:v>
      </x:c>
      <x:c r="Q135" s="33" t="s">
        <x:v>120</x:v>
      </x:c>
      <x:c r="R135" s="33" t="s">
        <x:v>73</x:v>
      </x:c>
      <x:c r="S135" s="31" t="s">
        <x:v>853</x:v>
      </x:c>
      <x:c r="T135" s="31" t="s">
        <x:v>903</x:v>
      </x:c>
      <x:c r="U135" s="31" t="s">
        <x:v>477</x:v>
      </x:c>
      <x:c r="V135" s="33" t="s">
        <x:v>365</x:v>
      </x:c>
      <x:c r="W135" s="33" t="s">
        <x:v>904</x:v>
      </x:c>
      <x:c r="X135" s="33" t="s">
        <x:v>239</x:v>
      </x:c>
      <x:c r="Y135" s="36"/>
      <x:c r="Z135" s="36"/>
      <x:c r="AA135" s="33" t="s">
        <x:v>120</x:v>
      </x:c>
      <x:c r="AB135" s="37" t="n">
        <x:f>IFERROR(INDEX(Effort_Model!$J$6:$J$33,MATCH(K135&amp;"|"&amp;L135,Effort_Model!$B$6:$B$33,0)),"")</x:f>
        <x:v>26.4</x:v>
      </x:c>
      <x:c r="AC135" s="38">
        <x:v>232.7</x:v>
      </x:c>
      <x:c r="AD135" s="37">
        <x:f t="shared" si="2"/>
        <x:v>314.0333</x:v>
      </x:c>
      <x:c r="AE135" s="37" t="n">
        <x:f>IFERROR(ROUND(IFERROR(INDEX(Scoring_Rules!$C$43:$C$44,MATCH(Q135,Scoring_Rules!$B$43:$B$44,0)),0)*Scoring_Rules!$C$6+IFERROR(INDEX(Scoring_Rules!$C$34:$C$40,MATCH(K135,Scoring_Rules!$B$34:$B$40,0)),0)*Scoring_Rules!$C$7+IFERROR(INDEX(Scoring_Rules!$C$16:$C$19,MATCH(P135,Scoring_Rules!$B$16:$B$19,0)),0)*Scoring_Rules!$C$8+IFERROR(INDEX(Scoring_Rules!$C$22:$C$25,MATCH(O135,Scoring_Rules!$B$22:$B$25,0)),0)*Scoring_Rules!$C$9+IFERROR(INDEX(Scoring_Rules!$C$47:$C$50,MATCH(X135,Scoring_Rules!$B$47:$B$50,0)),0)*Scoring_Rules!$C$10+IFERROR(INDEX(Scoring_Rules!$C$28:$C$31,MATCH(R135,Scoring_Rules!$B$28:$B$31,0)),0)*Scoring_Rules!$C$11,1),"")</x:f>
        <x:v>37.3</x:v>
      </x:c>
      <x:c r="AF135" s="35"/>
      <x:c r="AG135" s="33" t="s">
        <x:v>831</x:v>
      </x:c>
      <x:c r="AH135" s="36">
        <x:v>46339</x:v>
      </x:c>
      <x:c r="AI135" s="33" t="s">
        <x:v>125</x:v>
      </x:c>
      <x:c r="AJ135" s="34" t="s">
        <x:v>354</x:v>
      </x:c>
    </x:row>
    <x:row r="136" ht="15" customHeight="1">
      <x:c r="A136" s="31" t="s">
        <x:v>905</x:v>
      </x:c>
      <x:c r="B136" s="31" t="s">
        <x:v>906</x:v>
      </x:c>
      <x:c r="C136" s="31" t="s">
        <x:v>817</x:v>
      </x:c>
      <x:c r="D136" s="32" t="s">
        <x:v>525</x:v>
      </x:c>
      <x:c r="E136" s="32" t="str">
        <x:v>Data Migration Only</x:v>
      </x:c>
      <x:c r="F136" s="33" t="s">
        <x:v>118</x:v>
      </x:c>
      <x:c r="G136" s="34" t="s">
        <x:v>825</x:v>
      </x:c>
      <x:c r="H136" s="33" t="s">
        <x:v>87</x:v>
      </x:c>
      <x:c r="I136" s="33" t="s">
        <x:v>819</x:v>
      </x:c>
      <x:c r="J136" s="33" t="s">
        <x:v>80</x:v>
      </x:c>
      <x:c r="K136" s="33" t="s">
        <x:v>60</x:v>
      </x:c>
      <x:c r="L136" s="33" t="s">
        <x:v>73</x:v>
      </x:c>
      <x:c r="M136" s="35">
        <x:v>36</x:v>
      </x:c>
      <x:c r="N136" s="35">
        <x:v>4907226</x:v>
      </x:c>
      <x:c r="O136" s="33" t="s">
        <x:v>101</x:v>
      </x:c>
      <x:c r="P136" s="33" t="s">
        <x:v>98</x:v>
      </x:c>
      <x:c r="Q136" s="33" t="s">
        <x:v>120</x:v>
      </x:c>
      <x:c r="R136" s="33" t="s">
        <x:v>101</x:v>
      </x:c>
      <x:c r="S136" s="31" t="s">
        <x:v>826</x:v>
      </x:c>
      <x:c r="T136" s="31" t="s">
        <x:v>827</x:v>
      </x:c>
      <x:c r="U136" s="31" t="s">
        <x:v>276</x:v>
      </x:c>
      <x:c r="V136" s="33" t="s">
        <x:v>365</x:v>
      </x:c>
      <x:c r="W136" s="33"/>
      <x:c r="X136" s="33" t="s">
        <x:v>238</x:v>
      </x:c>
      <x:c r="Y136" s="36">
        <x:v>46492</x:v>
      </x:c>
      <x:c r="Z136" s="36">
        <x:v>46672</x:v>
      </x:c>
      <x:c r="AA136" s="33" t="s">
        <x:v>120</x:v>
      </x:c>
      <x:c r="AB136" s="37" t="n">
        <x:f>IFERROR(INDEX(Effort_Model!$J$6:$J$33,MATCH(K136&amp;"|"&amp;L136,Effort_Model!$B$6:$B$33,0)),"")</x:f>
        <x:v>42.4</x:v>
      </x:c>
      <x:c r="AC136" s="38">
        <x:v>232.1</x:v>
      </x:c>
      <x:c r="AD136" s="37">
        <x:f t="shared" si="2"/>
        <x:v>309.10000000000002</x:v>
      </x:c>
      <x:c r="AE136" s="37" t="n">
        <x:f>IFERROR(ROUND(IFERROR(INDEX(Scoring_Rules!$C$43:$C$44,MATCH(Q136,Scoring_Rules!$B$43:$B$44,0)),0)*Scoring_Rules!$C$6+IFERROR(INDEX(Scoring_Rules!$C$34:$C$40,MATCH(K136,Scoring_Rules!$B$34:$B$40,0)),0)*Scoring_Rules!$C$7+IFERROR(INDEX(Scoring_Rules!$C$16:$C$19,MATCH(P136,Scoring_Rules!$B$16:$B$19,0)),0)*Scoring_Rules!$C$8+IFERROR(INDEX(Scoring_Rules!$C$22:$C$25,MATCH(O136,Scoring_Rules!$B$22:$B$25,0)),0)*Scoring_Rules!$C$9+IFERROR(INDEX(Scoring_Rules!$C$47:$C$50,MATCH(X136,Scoring_Rules!$B$47:$B$50,0)),0)*Scoring_Rules!$C$10+IFERROR(INDEX(Scoring_Rules!$C$28:$C$31,MATCH(R136,Scoring_Rules!$B$28:$B$31,0)),0)*Scoring_Rules!$C$11,1),"")</x:f>
        <x:v>57</x:v>
      </x:c>
      <x:c r="AF136" s="35">
        <x:v>3</x:v>
      </x:c>
      <x:c r="AG136" s="33" t="s">
        <x:v>837</x:v>
      </x:c>
      <x:c r="AH136" s="36">
        <x:v>46338</x:v>
      </x:c>
      <x:c r="AI136" s="33" t="s">
        <x:v>127</x:v>
      </x:c>
      <x:c r="AJ136" s="34"/>
    </x:row>
    <x:row r="137" ht="15" customHeight="1">
      <x:c r="A137" s="31" t="s">
        <x:v>907</x:v>
      </x:c>
      <x:c r="B137" s="31" t="s">
        <x:v>908</x:v>
      </x:c>
      <x:c r="C137" s="31" t="s">
        <x:v>817</x:v>
      </x:c>
      <x:c r="D137" s="32" t="s">
        <x:v>746</x:v>
      </x:c>
      <x:c r="E137" s="32" t="str">
        <x:v>Functional Migration Only</x:v>
      </x:c>
      <x:c r="F137" s="33" t="s">
        <x:v>118</x:v>
      </x:c>
      <x:c r="G137" s="34" t="s">
        <x:v>852</x:v>
      </x:c>
      <x:c r="H137" s="33" t="s">
        <x:v>87</x:v>
      </x:c>
      <x:c r="I137" s="33" t="s">
        <x:v>819</x:v>
      </x:c>
      <x:c r="J137" s="33" t="s">
        <x:v>82</x:v>
      </x:c>
      <x:c r="K137" s="33" t="s">
        <x:v>62</x:v>
      </x:c>
      <x:c r="L137" s="33" t="s">
        <x:v>75</x:v>
      </x:c>
      <x:c r="M137" s="35">
        <x:v>52</x:v>
      </x:c>
      <x:c r="N137" s="35">
        <x:v>103050827</x:v>
      </x:c>
      <x:c r="O137" s="33" t="s">
        <x:v>101</x:v>
      </x:c>
      <x:c r="P137" s="33" t="s">
        <x:v>101</x:v>
      </x:c>
      <x:c r="Q137" s="33" t="s">
        <x:v>120</x:v>
      </x:c>
      <x:c r="R137" s="33" t="s">
        <x:v>73</x:v>
      </x:c>
      <x:c r="S137" s="31" t="s">
        <x:v>871</x:v>
      </x:c>
      <x:c r="T137" s="31" t="s">
        <x:v>872</x:v>
      </x:c>
      <x:c r="U137" s="31" t="s">
        <x:v>276</x:v>
      </x:c>
      <x:c r="V137" s="33" t="s">
        <x:v>277</x:v>
      </x:c>
      <x:c r="W137" s="33"/>
      <x:c r="X137" s="33" t="s">
        <x:v>238</x:v>
      </x:c>
      <x:c r="Y137" s="36"/>
      <x:c r="Z137" s="36">
        <x:v>46670</x:v>
      </x:c>
      <x:c r="AA137" s="33" t="s">
        <x:v>120</x:v>
      </x:c>
      <x:c r="AB137" s="37" t="n">
        <x:f>IFERROR(INDEX(Effort_Model!$J$6:$J$33,MATCH(K137&amp;"|"&amp;L137,Effort_Model!$B$6:$B$33,0)),"")</x:f>
        <x:v>74.4</x:v>
      </x:c>
      <x:c r="AC137" s="38">
        <x:v>894.6</x:v>
      </x:c>
      <x:c r="AD137" s="37">
        <x:f t="shared" si="2"/>
        <x:v>1103.9333000000001</x:v>
      </x:c>
      <x:c r="AE137" s="37" t="n">
        <x:f>IFERROR(ROUND(IFERROR(INDEX(Scoring_Rules!$C$43:$C$44,MATCH(Q137,Scoring_Rules!$B$43:$B$44,0)),0)*Scoring_Rules!$C$6+IFERROR(INDEX(Scoring_Rules!$C$34:$C$40,MATCH(K137,Scoring_Rules!$B$34:$B$40,0)),0)*Scoring_Rules!$C$7+IFERROR(INDEX(Scoring_Rules!$C$16:$C$19,MATCH(P137,Scoring_Rules!$B$16:$B$19,0)),0)*Scoring_Rules!$C$8+IFERROR(INDEX(Scoring_Rules!$C$22:$C$25,MATCH(O137,Scoring_Rules!$B$22:$B$25,0)),0)*Scoring_Rules!$C$9+IFERROR(INDEX(Scoring_Rules!$C$47:$C$50,MATCH(X137,Scoring_Rules!$B$47:$B$50,0)),0)*Scoring_Rules!$C$10+IFERROR(INDEX(Scoring_Rules!$C$28:$C$31,MATCH(R137,Scoring_Rules!$B$28:$B$31,0)),0)*Scoring_Rules!$C$11,1),"")</x:f>
        <x:v>41.8</x:v>
      </x:c>
      <x:c r="AF137" s="35">
        <x:v>7</x:v>
      </x:c>
      <x:c r="AG137" s="33" t="s">
        <x:v>821</x:v>
      </x:c>
      <x:c r="AH137" s="36">
        <x:v>46393</x:v>
      </x:c>
      <x:c r="AI137" s="33" t="s">
        <x:v>127</x:v>
      </x:c>
      <x:c r="AJ137" s="34" t="s">
        <x:v>354</x:v>
      </x:c>
    </x:row>
    <x:row r="138" ht="15" customHeight="1">
      <x:c r="A138" s="31" t="s">
        <x:v>909</x:v>
      </x:c>
      <x:c r="B138" s="31" t="s">
        <x:v>910</x:v>
      </x:c>
      <x:c r="C138" s="31" t="s">
        <x:v>817</x:v>
      </x:c>
      <x:c r="D138" s="32" t="s">
        <x:v>799</x:v>
      </x:c>
      <x:c r="E138" s="32" t="str">
        <x:v>Functional Migration Only</x:v>
      </x:c>
      <x:c r="F138" s="33" t="s">
        <x:v>118</x:v>
      </x:c>
      <x:c r="G138" s="34" t="s">
        <x:v>825</x:v>
      </x:c>
      <x:c r="H138" s="33" t="s">
        <x:v>87</x:v>
      </x:c>
      <x:c r="I138" s="33" t="s">
        <x:v>819</x:v>
      </x:c>
      <x:c r="J138" s="33" t="s">
        <x:v>82</x:v>
      </x:c>
      <x:c r="K138" s="33" t="s">
        <x:v>60</x:v>
      </x:c>
      <x:c r="L138" s="33" t="s">
        <x:v>71</x:v>
      </x:c>
      <x:c r="M138" s="35">
        <x:v>38</x:v>
      </x:c>
      <x:c r="N138" s="35">
        <x:v>5578482</x:v>
      </x:c>
      <x:c r="O138" s="33" t="s">
        <x:v>103</x:v>
      </x:c>
      <x:c r="P138" s="33" t="s">
        <x:v>98</x:v>
      </x:c>
      <x:c r="Q138" s="33" t="s">
        <x:v>118</x:v>
      </x:c>
      <x:c r="R138" s="33" t="s">
        <x:v>101</x:v>
      </x:c>
      <x:c r="S138" s="31" t="s">
        <x:v>807</x:v>
      </x:c>
      <x:c r="T138" s="31" t="s">
        <x:v>911</x:v>
      </x:c>
      <x:c r="U138" s="31" t="s">
        <x:v>522</x:v>
      </x:c>
      <x:c r="V138" s="33" t="s">
        <x:v>365</x:v>
      </x:c>
      <x:c r="W138" s="33"/>
      <x:c r="X138" s="33" t="s">
        <x:v>238</x:v>
      </x:c>
      <x:c r="Y138" s="36"/>
      <x:c r="Z138" s="36"/>
      <x:c r="AA138" s="33" t="s">
        <x:v>120</x:v>
      </x:c>
      <x:c r="AB138" s="37" t="n">
        <x:f>IFERROR(INDEX(Effort_Model!$J$6:$J$33,MATCH(K138&amp;"|"&amp;L138,Effort_Model!$B$6:$B$33,0)),"")</x:f>
        <x:v>18.4</x:v>
      </x:c>
      <x:c r="AC138" s="38">
        <x:v>296.10000000000002</x:v>
      </x:c>
      <x:c r="AD138" s="37">
        <x:f t="shared" si="2"/>
        <x:v>338.5</x:v>
      </x:c>
      <x:c r="AE138" s="37" t="n">
        <x:f>IFERROR(ROUND(IFERROR(INDEX(Scoring_Rules!$C$43:$C$44,MATCH(Q138,Scoring_Rules!$B$43:$B$44,0)),0)*Scoring_Rules!$C$6+IFERROR(INDEX(Scoring_Rules!$C$34:$C$40,MATCH(K138,Scoring_Rules!$B$34:$B$40,0)),0)*Scoring_Rules!$C$7+IFERROR(INDEX(Scoring_Rules!$C$16:$C$19,MATCH(P138,Scoring_Rules!$B$16:$B$19,0)),0)*Scoring_Rules!$C$8+IFERROR(INDEX(Scoring_Rules!$C$22:$C$25,MATCH(O138,Scoring_Rules!$B$22:$B$25,0)),0)*Scoring_Rules!$C$9+IFERROR(INDEX(Scoring_Rules!$C$47:$C$50,MATCH(X138,Scoring_Rules!$B$47:$B$50,0)),0)*Scoring_Rules!$C$10+IFERROR(INDEX(Scoring_Rules!$C$28:$C$31,MATCH(R138,Scoring_Rules!$B$28:$B$31,0)),0)*Scoring_Rules!$C$11,1),"")</x:f>
        <x:v>76.8</x:v>
      </x:c>
      <x:c r="AF138" s="35">
        <x:v>1</x:v>
      </x:c>
      <x:c r="AG138" s="33" t="s">
        <x:v>828</x:v>
      </x:c>
      <x:c r="AH138" s="36">
        <x:v>46400</x:v>
      </x:c>
      <x:c r="AI138" s="33" t="s">
        <x:v>124</x:v>
      </x:c>
      <x:c r="AJ138" s="34"/>
    </x:row>
    <x:row r="139" ht="15" customHeight="1">
      <x:c r="A139" s="31" t="s">
        <x:v>912</x:v>
      </x:c>
      <x:c r="B139" s="31" t="s">
        <x:v>913</x:v>
      </x:c>
      <x:c r="C139" s="31" t="s">
        <x:v>817</x:v>
      </x:c>
      <x:c r="D139" s="32" t="s">
        <x:v>914</x:v>
      </x:c>
      <x:c r="E139" s="32" t="str">
        <x:v>Functional Migration Only</x:v>
      </x:c>
      <x:c r="F139" s="33" t="s">
        <x:v>118</x:v>
      </x:c>
      <x:c r="G139" s="34" t="s">
        <x:v>825</x:v>
      </x:c>
      <x:c r="H139" s="33" t="s">
        <x:v>87</x:v>
      </x:c>
      <x:c r="I139" s="33" t="s">
        <x:v>819</x:v>
      </x:c>
      <x:c r="J139" s="33" t="s">
        <x:v>82</x:v>
      </x:c>
      <x:c r="K139" s="33" t="s">
        <x:v>60</x:v>
      </x:c>
      <x:c r="L139" s="33" t="s">
        <x:v>71</x:v>
      </x:c>
      <x:c r="M139" s="35">
        <x:v>45</x:v>
      </x:c>
      <x:c r="N139" s="35">
        <x:v>5552329</x:v>
      </x:c>
      <x:c r="O139" s="33" t="s">
        <x:v>98</x:v>
      </x:c>
      <x:c r="P139" s="33" t="s">
        <x:v>98</x:v>
      </x:c>
      <x:c r="Q139" s="33" t="s">
        <x:v>118</x:v>
      </x:c>
      <x:c r="R139" s="33" t="s">
        <x:v>98</x:v>
      </x:c>
      <x:c r="S139" s="31" t="s">
        <x:v>915</x:v>
      </x:c>
      <x:c r="T139" s="31" t="s">
        <x:v>916</x:v>
      </x:c>
      <x:c r="U139" s="31" t="s">
        <x:v>522</x:v>
      </x:c>
      <x:c r="V139" s="33" t="s">
        <x:v>451</x:v>
      </x:c>
      <x:c r="W139" s="33"/>
      <x:c r="X139" s="33" t="s">
        <x:v>238</x:v>
      </x:c>
      <x:c r="Y139" s="36">
        <x:v>46537</x:v>
      </x:c>
      <x:c r="Z139" s="36"/>
      <x:c r="AA139" s="33" t="s">
        <x:v>120</x:v>
      </x:c>
      <x:c r="AB139" s="37" t="n">
        <x:f>IFERROR(INDEX(Effort_Model!$J$6:$J$33,MATCH(K139&amp;"|"&amp;L139,Effort_Model!$B$6:$B$33,0)),"")</x:f>
        <x:v>18.4</x:v>
      </x:c>
      <x:c r="AC139" s="38">
        <x:v>323.7</x:v>
      </x:c>
      <x:c r="AD139" s="37">
        <x:f t="shared" si="2"/>
        <x:v>366.09999999999997</x:v>
      </x:c>
      <x:c r="AE139" s="37" t="n">
        <x:f>IFERROR(ROUND(IFERROR(INDEX(Scoring_Rules!$C$43:$C$44,MATCH(Q139,Scoring_Rules!$B$43:$B$44,0)),0)*Scoring_Rules!$C$6+IFERROR(INDEX(Scoring_Rules!$C$34:$C$40,MATCH(K139,Scoring_Rules!$B$34:$B$40,0)),0)*Scoring_Rules!$C$7+IFERROR(INDEX(Scoring_Rules!$C$16:$C$19,MATCH(P139,Scoring_Rules!$B$16:$B$19,0)),0)*Scoring_Rules!$C$8+IFERROR(INDEX(Scoring_Rules!$C$22:$C$25,MATCH(O139,Scoring_Rules!$B$22:$B$25,0)),0)*Scoring_Rules!$C$9+IFERROR(INDEX(Scoring_Rules!$C$47:$C$50,MATCH(X139,Scoring_Rules!$B$47:$B$50,0)),0)*Scoring_Rules!$C$10+IFERROR(INDEX(Scoring_Rules!$C$28:$C$31,MATCH(R139,Scoring_Rules!$B$28:$B$31,0)),0)*Scoring_Rules!$C$11,1),"")</x:f>
        <x:v>95</x:v>
      </x:c>
      <x:c r="AF139" s="35">
        <x:v>1</x:v>
      </x:c>
      <x:c r="AG139" s="33" t="s">
        <x:v>831</x:v>
      </x:c>
      <x:c r="AH139" s="36">
        <x:v>46308</x:v>
      </x:c>
      <x:c r="AI139" s="33" t="s">
        <x:v>127</x:v>
      </x:c>
      <x:c r="AJ139" s="34"/>
    </x:row>
    <x:row r="140" ht="15" customHeight="1">
      <x:c r="A140" s="31" t="s">
        <x:v>917</x:v>
      </x:c>
      <x:c r="B140" s="31" t="s">
        <x:v>918</x:v>
      </x:c>
      <x:c r="C140" s="31" t="s">
        <x:v>919</x:v>
      </x:c>
      <x:c r="D140" s="32" t="s">
        <x:v>920</x:v>
      </x:c>
      <x:c r="E140" s="32" t="str">
        <x:v>Functional Migration Only</x:v>
      </x:c>
      <x:c r="F140" s="33" t="s">
        <x:v>118</x:v>
      </x:c>
      <x:c r="G140" s="34" t="s">
        <x:v>921</x:v>
      </x:c>
      <x:c r="H140" s="33" t="s">
        <x:v>87</x:v>
      </x:c>
      <x:c r="I140" s="33" t="s">
        <x:v>922</x:v>
      </x:c>
      <x:c r="J140" s="33" t="s">
        <x:v>82</x:v>
      </x:c>
      <x:c r="K140" s="33" t="s">
        <x:v>56</x:v>
      </x:c>
      <x:c r="L140" s="33" t="s">
        <x:v>71</x:v>
      </x:c>
      <x:c r="M140" s="35">
        <x:v>9</x:v>
      </x:c>
      <x:c r="N140" s="35">
        <x:v>78648</x:v>
      </x:c>
      <x:c r="O140" s="33" t="s">
        <x:v>73</x:v>
      </x:c>
      <x:c r="P140" s="33" t="s">
        <x:v>98</x:v>
      </x:c>
      <x:c r="Q140" s="33" t="s">
        <x:v>118</x:v>
      </x:c>
      <x:c r="R140" s="33" t="s">
        <x:v>73</x:v>
      </x:c>
      <x:c r="S140" s="31" t="s">
        <x:v>409</x:v>
      </x:c>
      <x:c r="T140" s="31" t="s">
        <x:v>923</x:v>
      </x:c>
      <x:c r="U140" s="31" t="s">
        <x:v>276</x:v>
      </x:c>
      <x:c r="V140" s="33" t="s">
        <x:v>277</x:v>
      </x:c>
      <x:c r="W140" s="33"/>
      <x:c r="X140" s="33" t="s">
        <x:v>238</x:v>
      </x:c>
      <x:c r="Y140" s="36">
        <x:v>46400</x:v>
      </x:c>
      <x:c r="Z140" s="36"/>
      <x:c r="AA140" s="33" t="s">
        <x:v>120</x:v>
      </x:c>
      <x:c r="AB140" s="37" t="n">
        <x:f>IFERROR(INDEX(Effort_Model!$J$6:$J$33,MATCH(K140&amp;"|"&amp;L140,Effort_Model!$B$6:$B$33,0)),"")</x:f>
        <x:v>18.4</x:v>
      </x:c>
      <x:c r="AC140" s="38">
        <x:v>88.1</x:v>
      </x:c>
      <x:c r="AD140" s="37">
        <x:f t="shared" si="2"/>
        <x:v>106.5</x:v>
      </x:c>
      <x:c r="AE140" s="37" t="n">
        <x:f>IFERROR(ROUND(IFERROR(INDEX(Scoring_Rules!$C$43:$C$44,MATCH(Q140,Scoring_Rules!$B$43:$B$44,0)),0)*Scoring_Rules!$C$6+IFERROR(INDEX(Scoring_Rules!$C$34:$C$40,MATCH(K140,Scoring_Rules!$B$34:$B$40,0)),0)*Scoring_Rules!$C$7+IFERROR(INDEX(Scoring_Rules!$C$16:$C$19,MATCH(P140,Scoring_Rules!$B$16:$B$19,0)),0)*Scoring_Rules!$C$8+IFERROR(INDEX(Scoring_Rules!$C$22:$C$25,MATCH(O140,Scoring_Rules!$B$22:$B$25,0)),0)*Scoring_Rules!$C$9+IFERROR(INDEX(Scoring_Rules!$C$47:$C$50,MATCH(X140,Scoring_Rules!$B$47:$B$50,0)),0)*Scoring_Rules!$C$10+IFERROR(INDEX(Scoring_Rules!$C$28:$C$31,MATCH(R140,Scoring_Rules!$B$28:$B$31,0)),0)*Scoring_Rules!$C$11,1),"")</x:f>
        <x:v>94</x:v>
      </x:c>
      <x:c r="AF140" s="35">
        <x:v>1</x:v>
      </x:c>
      <x:c r="AG140" s="33" t="s">
        <x:v>924</x:v>
      </x:c>
      <x:c r="AH140" s="36">
        <x:v>46375</x:v>
      </x:c>
      <x:c r="AI140" s="33" t="s">
        <x:v>126</x:v>
      </x:c>
      <x:c r="AJ140" s="34" t="s">
        <x:v>312</x:v>
      </x:c>
    </x:row>
    <x:row r="141" ht="15" customHeight="1">
      <x:c r="A141" s="31" t="s">
        <x:v>925</x:v>
      </x:c>
      <x:c r="B141" s="31" t="s">
        <x:v>926</x:v>
      </x:c>
      <x:c r="C141" s="31" t="s">
        <x:v>919</x:v>
      </x:c>
      <x:c r="D141" s="32" t="s">
        <x:v>927</x:v>
      </x:c>
      <x:c r="E141" s="32" t="str">
        <x:v>Data Migration Only</x:v>
      </x:c>
      <x:c r="F141" s="33" t="s">
        <x:v>118</x:v>
      </x:c>
      <x:c r="G141" s="34" t="s">
        <x:v>928</x:v>
      </x:c>
      <x:c r="H141" s="33" t="s">
        <x:v>87</x:v>
      </x:c>
      <x:c r="I141" s="33" t="s">
        <x:v>922</x:v>
      </x:c>
      <x:c r="J141" s="33" t="s">
        <x:v>80</x:v>
      </x:c>
      <x:c r="K141" s="33" t="s">
        <x:v>58</x:v>
      </x:c>
      <x:c r="L141" s="33" t="s">
        <x:v>73</x:v>
      </x:c>
      <x:c r="M141" s="35">
        <x:v>17</x:v>
      </x:c>
      <x:c r="N141" s="35">
        <x:v>557905</x:v>
      </x:c>
      <x:c r="O141" s="33" t="s">
        <x:v>98</x:v>
      </x:c>
      <x:c r="P141" s="33" t="s">
        <x:v>73</x:v>
      </x:c>
      <x:c r="Q141" s="33" t="s">
        <x:v>120</x:v>
      </x:c>
      <x:c r="R141" s="33" t="s">
        <x:v>73</x:v>
      </x:c>
      <x:c r="S141" s="31" t="s">
        <x:v>929</x:v>
      </x:c>
      <x:c r="T141" s="31" t="s">
        <x:v>930</x:v>
      </x:c>
      <x:c r="U141" s="31" t="s">
        <x:v>276</x:v>
      </x:c>
      <x:c r="V141" s="33" t="s">
        <x:v>347</x:v>
      </x:c>
      <x:c r="W141" s="33" t="s">
        <x:v>917</x:v>
      </x:c>
      <x:c r="X141" s="33" t="s">
        <x:v>239</x:v>
      </x:c>
      <x:c r="Y141" s="36"/>
      <x:c r="Z141" s="36"/>
      <x:c r="AA141" s="33" t="s">
        <x:v>120</x:v>
      </x:c>
      <x:c r="AB141" s="37" t="n">
        <x:f>IFERROR(INDEX(Effort_Model!$J$6:$J$33,MATCH(K141&amp;"|"&amp;L141,Effort_Model!$B$6:$B$33,0)),"")</x:f>
        <x:v>26.4</x:v>
      </x:c>
      <x:c r="AC141" s="38">
        <x:v>156.4</x:v>
      </x:c>
      <x:c r="AD141" s="37">
        <x:f t="shared" si="2"/>
        <x:v>201.4</x:v>
      </x:c>
      <x:c r="AE141" s="37" t="n">
        <x:f>IFERROR(ROUND(IFERROR(INDEX(Scoring_Rules!$C$43:$C$44,MATCH(Q141,Scoring_Rules!$B$43:$B$44,0)),0)*Scoring_Rules!$C$6+IFERROR(INDEX(Scoring_Rules!$C$34:$C$40,MATCH(K141,Scoring_Rules!$B$34:$B$40,0)),0)*Scoring_Rules!$C$7+IFERROR(INDEX(Scoring_Rules!$C$16:$C$19,MATCH(P141,Scoring_Rules!$B$16:$B$19,0)),0)*Scoring_Rules!$C$8+IFERROR(INDEX(Scoring_Rules!$C$22:$C$25,MATCH(O141,Scoring_Rules!$B$22:$B$25,0)),0)*Scoring_Rules!$C$9+IFERROR(INDEX(Scoring_Rules!$C$47:$C$50,MATCH(X141,Scoring_Rules!$B$47:$B$50,0)),0)*Scoring_Rules!$C$10+IFERROR(INDEX(Scoring_Rules!$C$28:$C$31,MATCH(R141,Scoring_Rules!$B$28:$B$31,0)),0)*Scoring_Rules!$C$11,1),"")</x:f>
        <x:v>61</x:v>
      </x:c>
      <x:c r="AF141" s="35">
        <x:v>2</x:v>
      </x:c>
      <x:c r="AG141" s="33" t="s">
        <x:v>931</x:v>
      </x:c>
      <x:c r="AH141" s="36">
        <x:v>46316</x:v>
      </x:c>
      <x:c r="AI141" s="33" t="s">
        <x:v>125</x:v>
      </x:c>
      <x:c r="AJ141" s="34"/>
    </x:row>
    <x:row r="142" ht="23.25" customHeight="1">
      <x:c r="A142" s="31" t="s">
        <x:v>932</x:v>
      </x:c>
      <x:c r="B142" s="31" t="s">
        <x:v>933</x:v>
      </x:c>
      <x:c r="C142" s="31" t="s">
        <x:v>919</x:v>
      </x:c>
      <x:c r="D142" s="32" t="s">
        <x:v>934</x:v>
      </x:c>
      <x:c r="E142" s="32" t="str">
        <x:v>Data Migration Only</x:v>
      </x:c>
      <x:c r="F142" s="33" t="s">
        <x:v>118</x:v>
      </x:c>
      <x:c r="G142" s="34" t="s">
        <x:v>921</x:v>
      </x:c>
      <x:c r="H142" s="33" t="s">
        <x:v>87</x:v>
      </x:c>
      <x:c r="I142" s="33" t="s">
        <x:v>922</x:v>
      </x:c>
      <x:c r="J142" s="33" t="s">
        <x:v>80</x:v>
      </x:c>
      <x:c r="K142" s="33" t="s">
        <x:v>60</x:v>
      </x:c>
      <x:c r="L142" s="33" t="s">
        <x:v>71</x:v>
      </x:c>
      <x:c r="M142" s="35">
        <x:v>40</x:v>
      </x:c>
      <x:c r="N142" s="35">
        <x:v>6228431</x:v>
      </x:c>
      <x:c r="O142" s="33" t="s">
        <x:v>98</x:v>
      </x:c>
      <x:c r="P142" s="33" t="s">
        <x:v>73</x:v>
      </x:c>
      <x:c r="Q142" s="33" t="s">
        <x:v>118</x:v>
      </x:c>
      <x:c r="R142" s="33" t="s">
        <x:v>101</x:v>
      </x:c>
      <x:c r="S142" s="31" t="s">
        <x:v>935</x:v>
      </x:c>
      <x:c r="T142" s="31" t="s">
        <x:v>936</x:v>
      </x:c>
      <x:c r="U142" s="31" t="s">
        <x:v>276</x:v>
      </x:c>
      <x:c r="V142" s="33" t="s">
        <x:v>444</x:v>
      </x:c>
      <x:c r="W142" s="33"/>
      <x:c r="X142" s="33" t="s">
        <x:v>238</x:v>
      </x:c>
      <x:c r="Y142" s="36"/>
      <x:c r="Z142" s="36"/>
      <x:c r="AA142" s="33" t="s">
        <x:v>120</x:v>
      </x:c>
      <x:c r="AB142" s="37" t="n">
        <x:f>IFERROR(INDEX(Effort_Model!$J$6:$J$33,MATCH(K142&amp;"|"&amp;L142,Effort_Model!$B$6:$B$33,0)),"")</x:f>
        <x:v>18.4</x:v>
      </x:c>
      <x:c r="AC142" s="38">
        <x:v>171.9</x:v>
      </x:c>
      <x:c r="AD142" s="37">
        <x:f t="shared" si="2"/>
        <x:v>214.3</x:v>
      </x:c>
      <x:c r="AE142" s="37" t="n">
        <x:f>IFERROR(ROUND(IFERROR(INDEX(Scoring_Rules!$C$43:$C$44,MATCH(Q142,Scoring_Rules!$B$43:$B$44,0)),0)*Scoring_Rules!$C$6+IFERROR(INDEX(Scoring_Rules!$C$34:$C$40,MATCH(K142,Scoring_Rules!$B$34:$B$40,0)),0)*Scoring_Rules!$C$7+IFERROR(INDEX(Scoring_Rules!$C$16:$C$19,MATCH(P142,Scoring_Rules!$B$16:$B$19,0)),0)*Scoring_Rules!$C$8+IFERROR(INDEX(Scoring_Rules!$C$22:$C$25,MATCH(O142,Scoring_Rules!$B$22:$B$25,0)),0)*Scoring_Rules!$C$9+IFERROR(INDEX(Scoring_Rules!$C$47:$C$50,MATCH(X142,Scoring_Rules!$B$47:$B$50,0)),0)*Scoring_Rules!$C$10+IFERROR(INDEX(Scoring_Rules!$C$28:$C$31,MATCH(R142,Scoring_Rules!$B$28:$B$31,0)),0)*Scoring_Rules!$C$11,1),"")</x:f>
        <x:v>85.8</x:v>
      </x:c>
      <x:c r="AF142" s="35">
        <x:v>1</x:v>
      </x:c>
      <x:c r="AG142" s="33" t="s">
        <x:v>937</x:v>
      </x:c>
      <x:c r="AH142" s="36">
        <x:v>46392</x:v>
      </x:c>
      <x:c r="AI142" s="33" t="s">
        <x:v>127</x:v>
      </x:c>
      <x:c r="AJ142" s="34"/>
    </x:row>
    <x:row r="143" ht="15" customHeight="1">
      <x:c r="A143" s="31" t="s">
        <x:v>938</x:v>
      </x:c>
      <x:c r="B143" s="31" t="s">
        <x:v>939</x:v>
      </x:c>
      <x:c r="C143" s="31" t="s">
        <x:v>919</x:v>
      </x:c>
      <x:c r="D143" s="32" t="s">
        <x:v>927</x:v>
      </x:c>
      <x:c r="E143" s="32" t="str">
        <x:v>Functional Migration Only</x:v>
      </x:c>
      <x:c r="F143" s="33" t="s">
        <x:v>118</x:v>
      </x:c>
      <x:c r="G143" s="34" t="s">
        <x:v>928</x:v>
      </x:c>
      <x:c r="H143" s="33" t="s">
        <x:v>87</x:v>
      </x:c>
      <x:c r="I143" s="33" t="s">
        <x:v>922</x:v>
      </x:c>
      <x:c r="J143" s="33" t="s">
        <x:v>82</x:v>
      </x:c>
      <x:c r="K143" s="33" t="s">
        <x:v>56</x:v>
      </x:c>
      <x:c r="L143" s="33" t="s">
        <x:v>75</x:v>
      </x:c>
      <x:c r="M143" s="35">
        <x:v>6</x:v>
      </x:c>
      <x:c r="N143" s="35">
        <x:v>54598</x:v>
      </x:c>
      <x:c r="O143" s="33" t="s">
        <x:v>98</x:v>
      </x:c>
      <x:c r="P143" s="33" t="s">
        <x:v>109</x:v>
      </x:c>
      <x:c r="Q143" s="33" t="s">
        <x:v>120</x:v>
      </x:c>
      <x:c r="R143" s="33" t="s">
        <x:v>98</x:v>
      </x:c>
      <x:c r="S143" s="31" t="s">
        <x:v>879</x:v>
      </x:c>
      <x:c r="T143" s="31" t="s">
        <x:v>940</x:v>
      </x:c>
      <x:c r="U143" s="31" t="s">
        <x:v>276</x:v>
      </x:c>
      <x:c r="V143" s="33" t="s">
        <x:v>451</x:v>
      </x:c>
      <x:c r="W143" s="33"/>
      <x:c r="X143" s="33" t="s">
        <x:v>238</x:v>
      </x:c>
      <x:c r="Y143" s="36"/>
      <x:c r="Z143" s="36"/>
      <x:c r="AA143" s="33" t="s">
        <x:v>120</x:v>
      </x:c>
      <x:c r="AB143" s="37" t="n">
        <x:f>IFERROR(INDEX(Effort_Model!$J$6:$J$33,MATCH(K143&amp;"|"&amp;L143,Effort_Model!$B$6:$B$33,0)),"")</x:f>
        <x:v>18.4</x:v>
      </x:c>
      <x:c r="AC143" s="38">
        <x:v>190</x:v>
      </x:c>
      <x:c r="AD143" s="37">
        <x:f t="shared" si="2"/>
        <x:v>231.33330000000001</x:v>
      </x:c>
      <x:c r="AE143" s="37" t="n">
        <x:f>IFERROR(ROUND(IFERROR(INDEX(Scoring_Rules!$C$43:$C$44,MATCH(Q143,Scoring_Rules!$B$43:$B$44,0)),0)*Scoring_Rules!$C$6+IFERROR(INDEX(Scoring_Rules!$C$34:$C$40,MATCH(K143,Scoring_Rules!$B$34:$B$40,0)),0)*Scoring_Rules!$C$7+IFERROR(INDEX(Scoring_Rules!$C$16:$C$19,MATCH(P143,Scoring_Rules!$B$16:$B$19,0)),0)*Scoring_Rules!$C$8+IFERROR(INDEX(Scoring_Rules!$C$22:$C$25,MATCH(O143,Scoring_Rules!$B$22:$B$25,0)),0)*Scoring_Rules!$C$9+IFERROR(INDEX(Scoring_Rules!$C$47:$C$50,MATCH(X143,Scoring_Rules!$B$47:$B$50,0)),0)*Scoring_Rules!$C$10+IFERROR(INDEX(Scoring_Rules!$C$28:$C$31,MATCH(R143,Scoring_Rules!$B$28:$B$31,0)),0)*Scoring_Rules!$C$11,1),"")</x:f>
        <x:v>55</x:v>
      </x:c>
      <x:c r="AF143" s="35">
        <x:v>5</x:v>
      </x:c>
      <x:c r="AG143" s="33" t="s">
        <x:v>941</x:v>
      </x:c>
      <x:c r="AH143" s="36">
        <x:v>46405</x:v>
      </x:c>
      <x:c r="AI143" s="33" t="s">
        <x:v>127</x:v>
      </x:c>
      <x:c r="AJ143" s="34"/>
    </x:row>
    <x:row r="144" ht="15" customHeight="1">
      <x:c r="A144" s="31" t="s">
        <x:v>942</x:v>
      </x:c>
      <x:c r="B144" s="31" t="s">
        <x:v>943</x:v>
      </x:c>
      <x:c r="C144" s="31" t="s">
        <x:v>919</x:v>
      </x:c>
      <x:c r="D144" s="32" t="s">
        <x:v>944</x:v>
      </x:c>
      <x:c r="E144" s="32" t="str">
        <x:v>Functional Migration Only</x:v>
      </x:c>
      <x:c r="F144" s="33" t="s">
        <x:v>118</x:v>
      </x:c>
      <x:c r="G144" s="34" t="s">
        <x:v>945</x:v>
      </x:c>
      <x:c r="H144" s="33" t="s">
        <x:v>87</x:v>
      </x:c>
      <x:c r="I144" s="33" t="s">
        <x:v>922</x:v>
      </x:c>
      <x:c r="J144" s="33" t="s">
        <x:v>82</x:v>
      </x:c>
      <x:c r="K144" s="33" t="s">
        <x:v>56</x:v>
      </x:c>
      <x:c r="L144" s="33" t="s">
        <x:v>73</x:v>
      </x:c>
      <x:c r="M144" s="35">
        <x:v>5</x:v>
      </x:c>
      <x:c r="N144" s="35">
        <x:v>67934</x:v>
      </x:c>
      <x:c r="O144" s="33" t="s">
        <x:v>73</x:v>
      </x:c>
      <x:c r="P144" s="33" t="s">
        <x:v>98</x:v>
      </x:c>
      <x:c r="Q144" s="33" t="s">
        <x:v>118</x:v>
      </x:c>
      <x:c r="R144" s="33" t="s">
        <x:v>115</x:v>
      </x:c>
      <x:c r="S144" s="31" t="s">
        <x:v>946</x:v>
      </x:c>
      <x:c r="T144" s="31" t="s">
        <x:v>947</x:v>
      </x:c>
      <x:c r="U144" s="31" t="s">
        <x:v>276</x:v>
      </x:c>
      <x:c r="V144" s="33" t="s">
        <x:v>365</x:v>
      </x:c>
      <x:c r="W144" s="33" t="s">
        <x:v>917</x:v>
      </x:c>
      <x:c r="X144" s="33" t="s">
        <x:v>239</x:v>
      </x:c>
      <x:c r="Y144" s="36"/>
      <x:c r="Z144" s="36"/>
      <x:c r="AA144" s="33" t="s">
        <x:v>120</x:v>
      </x:c>
      <x:c r="AB144" s="37" t="n">
        <x:f>IFERROR(INDEX(Effort_Model!$J$6:$J$33,MATCH(K144&amp;"|"&amp;L144,Effort_Model!$B$6:$B$33,0)),"")</x:f>
        <x:v>18.4</x:v>
      </x:c>
      <x:c r="AC144" s="38">
        <x:v>121.6</x:v>
      </x:c>
      <x:c r="AD144" s="37">
        <x:f t="shared" si="2"/>
        <x:v>150.6</x:v>
      </x:c>
      <x:c r="AE144" s="37" t="n">
        <x:f>IFERROR(ROUND(IFERROR(INDEX(Scoring_Rules!$C$43:$C$44,MATCH(Q144,Scoring_Rules!$B$43:$B$44,0)),0)*Scoring_Rules!$C$6+IFERROR(INDEX(Scoring_Rules!$C$34:$C$40,MATCH(K144,Scoring_Rules!$B$34:$B$40,0)),0)*Scoring_Rules!$C$7+IFERROR(INDEX(Scoring_Rules!$C$16:$C$19,MATCH(P144,Scoring_Rules!$B$16:$B$19,0)),0)*Scoring_Rules!$C$8+IFERROR(INDEX(Scoring_Rules!$C$22:$C$25,MATCH(O144,Scoring_Rules!$B$22:$B$25,0)),0)*Scoring_Rules!$C$9+IFERROR(INDEX(Scoring_Rules!$C$47:$C$50,MATCH(X144,Scoring_Rules!$B$47:$B$50,0)),0)*Scoring_Rules!$C$10+IFERROR(INDEX(Scoring_Rules!$C$28:$C$31,MATCH(R144,Scoring_Rules!$B$28:$B$31,0)),0)*Scoring_Rules!$C$11,1),"")</x:f>
        <x:v>86</x:v>
      </x:c>
      <x:c r="AF144" s="35">
        <x:v>2</x:v>
      </x:c>
      <x:c r="AG144" s="33" t="s">
        <x:v>924</x:v>
      </x:c>
      <x:c r="AH144" s="36">
        <x:v>46363</x:v>
      </x:c>
      <x:c r="AI144" s="33" t="s">
        <x:v>128</x:v>
      </x:c>
      <x:c r="AJ144" s="34"/>
    </x:row>
    <x:row r="145" ht="15" customHeight="1">
      <x:c r="A145" s="31" t="s">
        <x:v>948</x:v>
      </x:c>
      <x:c r="B145" s="31" t="s">
        <x:v>949</x:v>
      </x:c>
      <x:c r="C145" s="31" t="s">
        <x:v>919</x:v>
      </x:c>
      <x:c r="D145" s="32" t="s">
        <x:v>927</x:v>
      </x:c>
      <x:c r="E145" s="32" t="str">
        <x:v>Data Migration Only</x:v>
      </x:c>
      <x:c r="F145" s="33" t="s">
        <x:v>120</x:v>
      </x:c>
      <x:c r="G145" s="34" t="s">
        <x:v>950</x:v>
      </x:c>
      <x:c r="H145" s="33" t="s">
        <x:v>89</x:v>
      </x:c>
      <x:c r="I145" s="33" t="s">
        <x:v>922</x:v>
      </x:c>
      <x:c r="J145" s="33" t="s">
        <x:v>80</x:v>
      </x:c>
      <x:c r="K145" s="33" t="s">
        <x:v>60</x:v>
      </x:c>
      <x:c r="L145" s="33" t="s">
        <x:v>73</x:v>
      </x:c>
      <x:c r="M145" s="35">
        <x:v>37</x:v>
      </x:c>
      <x:c r="N145" s="35">
        <x:v>3602265</x:v>
      </x:c>
      <x:c r="O145" s="33" t="s">
        <x:v>73</x:v>
      </x:c>
      <x:c r="P145" s="33" t="s">
        <x:v>73</x:v>
      </x:c>
      <x:c r="Q145" s="33" t="s">
        <x:v>120</x:v>
      </x:c>
      <x:c r="R145" s="33" t="s">
        <x:v>98</x:v>
      </x:c>
      <x:c r="S145" s="31" t="s">
        <x:v>951</x:v>
      </x:c>
      <x:c r="T145" s="31" t="s">
        <x:v>952</x:v>
      </x:c>
      <x:c r="U145" s="31" t="s">
        <x:v>276</x:v>
      </x:c>
      <x:c r="V145" s="33" t="s">
        <x:v>323</x:v>
      </x:c>
      <x:c r="W145" s="33" t="s">
        <x:v>938</x:v>
      </x:c>
      <x:c r="X145" s="33" t="s">
        <x:v>240</x:v>
      </x:c>
      <x:c r="Y145" s="36">
        <x:v>46567</x:v>
      </x:c>
      <x:c r="Z145" s="36"/>
      <x:c r="AA145" s="33" t="s">
        <x:v>120</x:v>
      </x:c>
      <x:c r="AB145" s="37" t="n">
        <x:f>IFERROR(INDEX(Effort_Model!$J$6:$J$33,MATCH(K145&amp;"|"&amp;L145,Effort_Model!$B$6:$B$33,0)),"")</x:f>
        <x:v>42.4</x:v>
      </x:c>
      <x:c r="AC145" s="38">
        <x:v>251.6</x:v>
      </x:c>
      <x:c r="AD145" s="37">
        <x:f t="shared" si="2"/>
        <x:v>328.6</x:v>
      </x:c>
      <x:c r="AE145" s="37" t="n">
        <x:f>IFERROR(ROUND(IFERROR(INDEX(Scoring_Rules!$C$43:$C$44,MATCH(Q145,Scoring_Rules!$B$43:$B$44,0)),0)*Scoring_Rules!$C$6+IFERROR(INDEX(Scoring_Rules!$C$34:$C$40,MATCH(K145,Scoring_Rules!$B$34:$B$40,0)),0)*Scoring_Rules!$C$7+IFERROR(INDEX(Scoring_Rules!$C$16:$C$19,MATCH(P145,Scoring_Rules!$B$16:$B$19,0)),0)*Scoring_Rules!$C$8+IFERROR(INDEX(Scoring_Rules!$C$22:$C$25,MATCH(O145,Scoring_Rules!$B$22:$B$25,0)),0)*Scoring_Rules!$C$9+IFERROR(INDEX(Scoring_Rules!$C$47:$C$50,MATCH(X145,Scoring_Rules!$B$47:$B$50,0)),0)*Scoring_Rules!$C$10+IFERROR(INDEX(Scoring_Rules!$C$28:$C$31,MATCH(R145,Scoring_Rules!$B$28:$B$31,0)),0)*Scoring_Rules!$C$11,1),"")</x:f>
        <x:v>49</x:v>
      </x:c>
      <x:c r="AF145" s="35"/>
      <x:c r="AG145" s="33" t="s">
        <x:v>931</x:v>
      </x:c>
      <x:c r="AH145" s="36">
        <x:v>46318</x:v>
      </x:c>
      <x:c r="AI145" s="33" t="s">
        <x:v>125</x:v>
      </x:c>
      <x:c r="AJ145" s="34"/>
    </x:row>
    <x:row r="146" ht="15" customHeight="1">
      <x:c r="A146" s="31" t="s">
        <x:v>953</x:v>
      </x:c>
      <x:c r="B146" s="31" t="s">
        <x:v>954</x:v>
      </x:c>
      <x:c r="C146" s="31" t="s">
        <x:v>919</x:v>
      </x:c>
      <x:c r="D146" s="32" t="s">
        <x:v>927</x:v>
      </x:c>
      <x:c r="E146" s="32" t="str">
        <x:v>Functional Migration Only</x:v>
      </x:c>
      <x:c r="F146" s="33" t="s">
        <x:v>118</x:v>
      </x:c>
      <x:c r="G146" s="34" t="s">
        <x:v>928</x:v>
      </x:c>
      <x:c r="H146" s="33" t="s">
        <x:v>87</x:v>
      </x:c>
      <x:c r="I146" s="33" t="s">
        <x:v>922</x:v>
      </x:c>
      <x:c r="J146" s="33" t="s">
        <x:v>82</x:v>
      </x:c>
      <x:c r="K146" s="33" t="s">
        <x:v>56</x:v>
      </x:c>
      <x:c r="L146" s="33" t="s">
        <x:v>71</x:v>
      </x:c>
      <x:c r="M146" s="35">
        <x:v>8</x:v>
      </x:c>
      <x:c r="N146" s="35">
        <x:v>120084</x:v>
      </x:c>
      <x:c r="O146" s="33" t="s">
        <x:v>98</x:v>
      </x:c>
      <x:c r="P146" s="33" t="s">
        <x:v>98</x:v>
      </x:c>
      <x:c r="Q146" s="33" t="s">
        <x:v>120</x:v>
      </x:c>
      <x:c r="R146" s="33" t="s">
        <x:v>98</x:v>
      </x:c>
      <x:c r="S146" s="31" t="s">
        <x:v>409</x:v>
      </x:c>
      <x:c r="T146" s="31" t="s">
        <x:v>923</x:v>
      </x:c>
      <x:c r="U146" s="31" t="s">
        <x:v>276</x:v>
      </x:c>
      <x:c r="V146" s="33" t="s">
        <x:v>277</x:v>
      </x:c>
      <x:c r="W146" s="33"/>
      <x:c r="X146" s="33" t="s">
        <x:v>238</x:v>
      </x:c>
      <x:c r="Y146" s="36"/>
      <x:c r="Z146" s="36"/>
      <x:c r="AA146" s="33" t="s">
        <x:v>120</x:v>
      </x:c>
      <x:c r="AB146" s="37" t="n">
        <x:f>IFERROR(INDEX(Effort_Model!$J$6:$J$33,MATCH(K146&amp;"|"&amp;L146,Effort_Model!$B$6:$B$33,0)),"")</x:f>
        <x:v>18.4</x:v>
      </x:c>
      <x:c r="AC146" s="38">
        <x:v>90.5</x:v>
      </x:c>
      <x:c r="AD146" s="37">
        <x:f t="shared" si="2"/>
        <x:v>108.9</x:v>
      </x:c>
      <x:c r="AE146" s="37" t="n">
        <x:f>IFERROR(ROUND(IFERROR(INDEX(Scoring_Rules!$C$43:$C$44,MATCH(Q146,Scoring_Rules!$B$43:$B$44,0)),0)*Scoring_Rules!$C$6+IFERROR(INDEX(Scoring_Rules!$C$34:$C$40,MATCH(K146,Scoring_Rules!$B$34:$B$40,0)),0)*Scoring_Rules!$C$7+IFERROR(INDEX(Scoring_Rules!$C$16:$C$19,MATCH(P146,Scoring_Rules!$B$16:$B$19,0)),0)*Scoring_Rules!$C$8+IFERROR(INDEX(Scoring_Rules!$C$22:$C$25,MATCH(O146,Scoring_Rules!$B$22:$B$25,0)),0)*Scoring_Rules!$C$9+IFERROR(INDEX(Scoring_Rules!$C$47:$C$50,MATCH(X146,Scoring_Rules!$B$47:$B$50,0)),0)*Scoring_Rules!$C$10+IFERROR(INDEX(Scoring_Rules!$C$28:$C$31,MATCH(R146,Scoring_Rules!$B$28:$B$31,0)),0)*Scoring_Rules!$C$11,1),"")</x:f>
        <x:v>75</x:v>
      </x:c>
      <x:c r="AF146" s="35">
        <x:v>2</x:v>
      </x:c>
      <x:c r="AG146" s="33" t="s">
        <x:v>937</x:v>
      </x:c>
      <x:c r="AH146" s="36">
        <x:v>46402</x:v>
      </x:c>
      <x:c r="AI146" s="33" t="s">
        <x:v>127</x:v>
      </x:c>
      <x:c r="AJ146" s="34" t="s">
        <x:v>342</x:v>
      </x:c>
    </x:row>
    <x:row r="147" ht="15" customHeight="1">
      <x:c r="A147" s="31" t="s">
        <x:v>955</x:v>
      </x:c>
      <x:c r="B147" s="31" t="s">
        <x:v>956</x:v>
      </x:c>
      <x:c r="C147" s="31" t="s">
        <x:v>919</x:v>
      </x:c>
      <x:c r="D147" s="32" t="s">
        <x:v>927</x:v>
      </x:c>
      <x:c r="E147" s="32" t="str">
        <x:v>Data Migration Only</x:v>
      </x:c>
      <x:c r="F147" s="33" t="s">
        <x:v>118</x:v>
      </x:c>
      <x:c r="G147" s="34" t="s">
        <x:v>921</x:v>
      </x:c>
      <x:c r="H147" s="33" t="s">
        <x:v>87</x:v>
      </x:c>
      <x:c r="I147" s="33" t="s">
        <x:v>922</x:v>
      </x:c>
      <x:c r="J147" s="33" t="s">
        <x:v>80</x:v>
      </x:c>
      <x:c r="K147" s="33" t="s">
        <x:v>58</x:v>
      </x:c>
      <x:c r="L147" s="33" t="s">
        <x:v>73</x:v>
      </x:c>
      <x:c r="M147" s="35">
        <x:v>16</x:v>
      </x:c>
      <x:c r="N147" s="35">
        <x:v>636111</x:v>
      </x:c>
      <x:c r="O147" s="33" t="s">
        <x:v>98</x:v>
      </x:c>
      <x:c r="P147" s="33" t="s">
        <x:v>73</x:v>
      </x:c>
      <x:c r="Q147" s="33" t="s">
        <x:v>118</x:v>
      </x:c>
      <x:c r="R147" s="33" t="s">
        <x:v>98</x:v>
      </x:c>
      <x:c r="S147" s="31" t="s">
        <x:v>935</x:v>
      </x:c>
      <x:c r="T147" s="31" t="s">
        <x:v>957</x:v>
      </x:c>
      <x:c r="U147" s="31" t="s">
        <x:v>276</x:v>
      </x:c>
      <x:c r="V147" s="33" t="s">
        <x:v>444</x:v>
      </x:c>
      <x:c r="W147" s="33"/>
      <x:c r="X147" s="33" t="s">
        <x:v>238</x:v>
      </x:c>
      <x:c r="Y147" s="36"/>
      <x:c r="Z147" s="36"/>
      <x:c r="AA147" s="33" t="s">
        <x:v>120</x:v>
      </x:c>
      <x:c r="AB147" s="37" t="n">
        <x:f>IFERROR(INDEX(Effort_Model!$J$6:$J$33,MATCH(K147&amp;"|"&amp;L147,Effort_Model!$B$6:$B$33,0)),"")</x:f>
        <x:v>26.4</x:v>
      </x:c>
      <x:c r="AC147" s="38">
        <x:v>133.9</x:v>
      </x:c>
      <x:c r="AD147" s="37">
        <x:f t="shared" si="2"/>
        <x:v>178.9</x:v>
      </x:c>
      <x:c r="AE147" s="37" t="n">
        <x:f>IFERROR(ROUND(IFERROR(INDEX(Scoring_Rules!$C$43:$C$44,MATCH(Q147,Scoring_Rules!$B$43:$B$44,0)),0)*Scoring_Rules!$C$6+IFERROR(INDEX(Scoring_Rules!$C$34:$C$40,MATCH(K147,Scoring_Rules!$B$34:$B$40,0)),0)*Scoring_Rules!$C$7+IFERROR(INDEX(Scoring_Rules!$C$16:$C$19,MATCH(P147,Scoring_Rules!$B$16:$B$19,0)),0)*Scoring_Rules!$C$8+IFERROR(INDEX(Scoring_Rules!$C$22:$C$25,MATCH(O147,Scoring_Rules!$B$22:$B$25,0)),0)*Scoring_Rules!$C$9+IFERROR(INDEX(Scoring_Rules!$C$47:$C$50,MATCH(X147,Scoring_Rules!$B$47:$B$50,0)),0)*Scoring_Rules!$C$10+IFERROR(INDEX(Scoring_Rules!$C$28:$C$31,MATCH(R147,Scoring_Rules!$B$28:$B$31,0)),0)*Scoring_Rules!$C$11,1),"")</x:f>
        <x:v>92</x:v>
      </x:c>
      <x:c r="AF147" s="35">
        <x:v>1</x:v>
      </x:c>
      <x:c r="AG147" s="33" t="s">
        <x:v>941</x:v>
      </x:c>
      <x:c r="AH147" s="36">
        <x:v>46338</x:v>
      </x:c>
      <x:c r="AI147" s="33" t="s">
        <x:v>125</x:v>
      </x:c>
      <x:c r="AJ147" s="34" t="s">
        <x:v>342</x:v>
      </x:c>
    </x:row>
    <x:row r="148" ht="23.25" customHeight="1">
      <x:c r="A148" s="31" t="s">
        <x:v>958</x:v>
      </x:c>
      <x:c r="B148" s="31" t="s">
        <x:v>959</x:v>
      </x:c>
      <x:c r="C148" s="31" t="s">
        <x:v>919</x:v>
      </x:c>
      <x:c r="D148" s="32" t="s">
        <x:v>960</x:v>
      </x:c>
      <x:c r="E148" s="32" t="str">
        <x:v>Functional Migration Only</x:v>
      </x:c>
      <x:c r="F148" s="33" t="s">
        <x:v>118</x:v>
      </x:c>
      <x:c r="G148" s="34" t="s">
        <x:v>945</x:v>
      </x:c>
      <x:c r="H148" s="33" t="s">
        <x:v>87</x:v>
      </x:c>
      <x:c r="I148" s="33" t="s">
        <x:v>922</x:v>
      </x:c>
      <x:c r="J148" s="33" t="s">
        <x:v>82</x:v>
      </x:c>
      <x:c r="K148" s="33" t="s">
        <x:v>58</x:v>
      </x:c>
      <x:c r="L148" s="33" t="s">
        <x:v>75</x:v>
      </x:c>
      <x:c r="M148" s="35">
        <x:v>14</x:v>
      </x:c>
      <x:c r="N148" s="35">
        <x:v>591212</x:v>
      </x:c>
      <x:c r="O148" s="33" t="s">
        <x:v>98</x:v>
      </x:c>
      <x:c r="P148" s="33" t="s">
        <x:v>101</x:v>
      </x:c>
      <x:c r="Q148" s="33" t="s">
        <x:v>120</x:v>
      </x:c>
      <x:c r="R148" s="33" t="s">
        <x:v>73</x:v>
      </x:c>
      <x:c r="S148" s="31" t="s">
        <x:v>961</x:v>
      </x:c>
      <x:c r="T148" s="31" t="s">
        <x:v>962</x:v>
      </x:c>
      <x:c r="U148" s="31" t="s">
        <x:v>276</x:v>
      </x:c>
      <x:c r="V148" s="33" t="s">
        <x:v>365</x:v>
      </x:c>
      <x:c r="W148" s="33" t="s">
        <x:v>955</x:v>
      </x:c>
      <x:c r="X148" s="33" t="s">
        <x:v>239</x:v>
      </x:c>
      <x:c r="Y148" s="36">
        <x:v>46348</x:v>
      </x:c>
      <x:c r="Z148" s="36"/>
      <x:c r="AA148" s="33" t="s">
        <x:v>120</x:v>
      </x:c>
      <x:c r="AB148" s="37" t="n">
        <x:f>IFERROR(INDEX(Effort_Model!$J$6:$J$33,MATCH(K148&amp;"|"&amp;L148,Effort_Model!$B$6:$B$33,0)),"")</x:f>
        <x:v>26.4</x:v>
      </x:c>
      <x:c r="AC148" s="38">
        <x:v>289.39999999999998</x:v>
      </x:c>
      <x:c r="AD148" s="37">
        <x:f t="shared" si="2"/>
        <x:v>354.73329999999999</x:v>
      </x:c>
      <x:c r="AE148" s="37" t="n">
        <x:f>IFERROR(ROUND(IFERROR(INDEX(Scoring_Rules!$C$43:$C$44,MATCH(Q148,Scoring_Rules!$B$43:$B$44,0)),0)*Scoring_Rules!$C$6+IFERROR(INDEX(Scoring_Rules!$C$34:$C$40,MATCH(K148,Scoring_Rules!$B$34:$B$40,0)),0)*Scoring_Rules!$C$7+IFERROR(INDEX(Scoring_Rules!$C$16:$C$19,MATCH(P148,Scoring_Rules!$B$16:$B$19,0)),0)*Scoring_Rules!$C$8+IFERROR(INDEX(Scoring_Rules!$C$22:$C$25,MATCH(O148,Scoring_Rules!$B$22:$B$25,0)),0)*Scoring_Rules!$C$9+IFERROR(INDEX(Scoring_Rules!$C$47:$C$50,MATCH(X148,Scoring_Rules!$B$47:$B$50,0)),0)*Scoring_Rules!$C$10+IFERROR(INDEX(Scoring_Rules!$C$28:$C$31,MATCH(R148,Scoring_Rules!$B$28:$B$31,0)),0)*Scoring_Rules!$C$11,1),"")</x:f>
        <x:v>54</x:v>
      </x:c>
      <x:c r="AF148" s="35">
        <x:v>5</x:v>
      </x:c>
      <x:c r="AG148" s="33" t="s">
        <x:v>924</x:v>
      </x:c>
      <x:c r="AH148" s="36">
        <x:v>46406</x:v>
      </x:c>
      <x:c r="AI148" s="33" t="s">
        <x:v>125</x:v>
      </x:c>
      <x:c r="AJ148" s="34" t="s">
        <x:v>395</x:v>
      </x:c>
    </x:row>
    <x:row r="149" ht="15" customHeight="1">
      <x:c r="A149" s="31" t="s">
        <x:v>963</x:v>
      </x:c>
      <x:c r="B149" s="31" t="s">
        <x:v>964</x:v>
      </x:c>
      <x:c r="C149" s="31" t="s">
        <x:v>919</x:v>
      </x:c>
      <x:c r="D149" s="32" t="s">
        <x:v>927</x:v>
      </x:c>
      <x:c r="E149" s="32" t="str">
        <x:v>Data Migration Only</x:v>
      </x:c>
      <x:c r="F149" s="33" t="s">
        <x:v>118</x:v>
      </x:c>
      <x:c r="G149" s="34" t="s">
        <x:v>950</x:v>
      </x:c>
      <x:c r="H149" s="33" t="s">
        <x:v>89</x:v>
      </x:c>
      <x:c r="I149" s="33" t="s">
        <x:v>922</x:v>
      </x:c>
      <x:c r="J149" s="33" t="s">
        <x:v>80</x:v>
      </x:c>
      <x:c r="K149" s="33" t="s">
        <x:v>56</x:v>
      </x:c>
      <x:c r="L149" s="33" t="s">
        <x:v>75</x:v>
      </x:c>
      <x:c r="M149" s="35">
        <x:v>7</x:v>
      </x:c>
      <x:c r="N149" s="35">
        <x:v>118628</x:v>
      </x:c>
      <x:c r="O149" s="33" t="s">
        <x:v>101</x:v>
      </x:c>
      <x:c r="P149" s="33" t="s">
        <x:v>101</x:v>
      </x:c>
      <x:c r="Q149" s="33" t="s">
        <x:v>120</x:v>
      </x:c>
      <x:c r="R149" s="33" t="s">
        <x:v>98</x:v>
      </x:c>
      <x:c r="S149" s="31" t="s">
        <x:v>935</x:v>
      </x:c>
      <x:c r="T149" s="31" t="s">
        <x:v>957</x:v>
      </x:c>
      <x:c r="U149" s="31" t="s">
        <x:v>276</x:v>
      </x:c>
      <x:c r="V149" s="33" t="s">
        <x:v>277</x:v>
      </x:c>
      <x:c r="W149" s="33"/>
      <x:c r="X149" s="33" t="s">
        <x:v>238</x:v>
      </x:c>
      <x:c r="Y149" s="36"/>
      <x:c r="Z149" s="36"/>
      <x:c r="AA149" s="33" t="s">
        <x:v>120</x:v>
      </x:c>
      <x:c r="AB149" s="37" t="n">
        <x:f>IFERROR(INDEX(Effort_Model!$J$6:$J$33,MATCH(K149&amp;"|"&amp;L149,Effort_Model!$B$6:$B$33,0)),"")</x:f>
        <x:v>18.4</x:v>
      </x:c>
      <x:c r="AC149" s="38">
        <x:v>97.4</x:v>
      </x:c>
      <x:c r="AD149" s="37">
        <x:f t="shared" si="2"/>
        <x:v>138.73330000000001</x:v>
      </x:c>
      <x:c r="AE149" s="37" t="n">
        <x:f>IFERROR(ROUND(IFERROR(INDEX(Scoring_Rules!$C$43:$C$44,MATCH(Q149,Scoring_Rules!$B$43:$B$44,0)),0)*Scoring_Rules!$C$6+IFERROR(INDEX(Scoring_Rules!$C$34:$C$40,MATCH(K149,Scoring_Rules!$B$34:$B$40,0)),0)*Scoring_Rules!$C$7+IFERROR(INDEX(Scoring_Rules!$C$16:$C$19,MATCH(P149,Scoring_Rules!$B$16:$B$19,0)),0)*Scoring_Rules!$C$8+IFERROR(INDEX(Scoring_Rules!$C$22:$C$25,MATCH(O149,Scoring_Rules!$B$22:$B$25,0)),0)*Scoring_Rules!$C$9+IFERROR(INDEX(Scoring_Rules!$C$47:$C$50,MATCH(X149,Scoring_Rules!$B$47:$B$50,0)),0)*Scoring_Rules!$C$10+IFERROR(INDEX(Scoring_Rules!$C$28:$C$31,MATCH(R149,Scoring_Rules!$B$28:$B$31,0)),0)*Scoring_Rules!$C$11,1),"")</x:f>
        <x:v>52.3</x:v>
      </x:c>
      <x:c r="AF149" s="35"/>
      <x:c r="AG149" s="33" t="s">
        <x:v>931</x:v>
      </x:c>
      <x:c r="AH149" s="36">
        <x:v>46403</x:v>
      </x:c>
      <x:c r="AI149" s="33" t="s">
        <x:v>127</x:v>
      </x:c>
      <x:c r="AJ149" s="34" t="s">
        <x:v>395</x:v>
      </x:c>
    </x:row>
    <x:row r="150" ht="23.25" customHeight="1">
      <x:c r="A150" s="31" t="s">
        <x:v>965</x:v>
      </x:c>
      <x:c r="B150" s="31" t="s">
        <x:v>966</x:v>
      </x:c>
      <x:c r="C150" s="31" t="s">
        <x:v>919</x:v>
      </x:c>
      <x:c r="D150" s="32" t="s">
        <x:v>967</x:v>
      </x:c>
      <x:c r="E150" s="32" t="str">
        <x:v>Data Migration Only</x:v>
      </x:c>
      <x:c r="F150" s="33" t="s">
        <x:v>118</x:v>
      </x:c>
      <x:c r="G150" s="34" t="s">
        <x:v>945</x:v>
      </x:c>
      <x:c r="H150" s="33" t="s">
        <x:v>87</x:v>
      </x:c>
      <x:c r="I150" s="33" t="s">
        <x:v>922</x:v>
      </x:c>
      <x:c r="J150" s="33" t="s">
        <x:v>80</x:v>
      </x:c>
      <x:c r="K150" s="33" t="s">
        <x:v>62</x:v>
      </x:c>
      <x:c r="L150" s="33" t="s">
        <x:v>71</x:v>
      </x:c>
      <x:c r="M150" s="35">
        <x:v>63</x:v>
      </x:c>
      <x:c r="N150" s="35">
        <x:v>132168540</x:v>
      </x:c>
      <x:c r="O150" s="33" t="s">
        <x:v>73</x:v>
      </x:c>
      <x:c r="P150" s="33" t="s">
        <x:v>98</x:v>
      </x:c>
      <x:c r="Q150" s="33" t="s">
        <x:v>120</x:v>
      </x:c>
      <x:c r="R150" s="33" t="s">
        <x:v>101</x:v>
      </x:c>
      <x:c r="S150" s="31" t="s">
        <x:v>968</x:v>
      </x:c>
      <x:c r="T150" s="31" t="s">
        <x:v>969</x:v>
      </x:c>
      <x:c r="U150" s="31" t="s">
        <x:v>276</x:v>
      </x:c>
      <x:c r="V150" s="33" t="s">
        <x:v>277</x:v>
      </x:c>
      <x:c r="W150" s="33" t="s">
        <x:v>970</x:v>
      </x:c>
      <x:c r="X150" s="33" t="s">
        <x:v>240</x:v>
      </x:c>
      <x:c r="Y150" s="36"/>
      <x:c r="Z150" s="36"/>
      <x:c r="AA150" s="33" t="s">
        <x:v>120</x:v>
      </x:c>
      <x:c r="AB150" s="37" t="n">
        <x:f>IFERROR(INDEX(Effort_Model!$J$6:$J$33,MATCH(K150&amp;"|"&amp;L150,Effort_Model!$B$6:$B$33,0)),"")</x:f>
        <x:v>18.4</x:v>
      </x:c>
      <x:c r="AC150" s="38">
        <x:v>306.39999999999998</x:v>
      </x:c>
      <x:c r="AD150" s="37">
        <x:f t="shared" si="2"/>
        <x:v>380.79999999999995</x:v>
      </x:c>
      <x:c r="AE150" s="37" t="n">
        <x:f>IFERROR(ROUND(IFERROR(INDEX(Scoring_Rules!$C$43:$C$44,MATCH(Q150,Scoring_Rules!$B$43:$B$44,0)),0)*Scoring_Rules!$C$6+IFERROR(INDEX(Scoring_Rules!$C$34:$C$40,MATCH(K150,Scoring_Rules!$B$34:$B$40,0)),0)*Scoring_Rules!$C$7+IFERROR(INDEX(Scoring_Rules!$C$16:$C$19,MATCH(P150,Scoring_Rules!$B$16:$B$19,0)),0)*Scoring_Rules!$C$8+IFERROR(INDEX(Scoring_Rules!$C$22:$C$25,MATCH(O150,Scoring_Rules!$B$22:$B$25,0)),0)*Scoring_Rules!$C$9+IFERROR(INDEX(Scoring_Rules!$C$47:$C$50,MATCH(X150,Scoring_Rules!$B$47:$B$50,0)),0)*Scoring_Rules!$C$10+IFERROR(INDEX(Scoring_Rules!$C$28:$C$31,MATCH(R150,Scoring_Rules!$B$28:$B$31,0)),0)*Scoring_Rules!$C$11,1),"")</x:f>
        <x:v>47.8</x:v>
      </x:c>
      <x:c r="AF150" s="35">
        <x:v>2</x:v>
      </x:c>
      <x:c r="AG150" s="33" t="s">
        <x:v>937</x:v>
      </x:c>
      <x:c r="AH150" s="36">
        <x:v>46353</x:v>
      </x:c>
      <x:c r="AI150" s="33" t="s">
        <x:v>127</x:v>
      </x:c>
      <x:c r="AJ150" s="34"/>
    </x:row>
    <x:row r="151" ht="23.25" customHeight="1">
      <x:c r="A151" s="31" t="s">
        <x:v>971</x:v>
      </x:c>
      <x:c r="B151" s="31" t="s">
        <x:v>972</x:v>
      </x:c>
      <x:c r="C151" s="31" t="s">
        <x:v>919</x:v>
      </x:c>
      <x:c r="D151" s="32" t="s">
        <x:v>934</x:v>
      </x:c>
      <x:c r="E151" s="32" t="str">
        <x:v>Functional Migration Only</x:v>
      </x:c>
      <x:c r="F151" s="33" t="s">
        <x:v>118</x:v>
      </x:c>
      <x:c r="G151" s="34" t="s">
        <x:v>973</x:v>
      </x:c>
      <x:c r="H151" s="33" t="s">
        <x:v>87</x:v>
      </x:c>
      <x:c r="I151" s="33" t="s">
        <x:v>922</x:v>
      </x:c>
      <x:c r="J151" s="33" t="s">
        <x:v>82</x:v>
      </x:c>
      <x:c r="K151" s="33" t="s">
        <x:v>60</x:v>
      </x:c>
      <x:c r="L151" s="33" t="s">
        <x:v>75</x:v>
      </x:c>
      <x:c r="M151" s="35">
        <x:v>30</x:v>
      </x:c>
      <x:c r="N151" s="35">
        <x:v>6957614</x:v>
      </x:c>
      <x:c r="O151" s="33" t="s">
        <x:v>101</x:v>
      </x:c>
      <x:c r="P151" s="33" t="s">
        <x:v>101</x:v>
      </x:c>
      <x:c r="Q151" s="33" t="s">
        <x:v>120</x:v>
      </x:c>
      <x:c r="R151" s="33" t="s">
        <x:v>73</x:v>
      </x:c>
      <x:c r="S151" s="31" t="s">
        <x:v>974</x:v>
      </x:c>
      <x:c r="T151" s="31" t="s">
        <x:v>975</x:v>
      </x:c>
      <x:c r="U151" s="31" t="s">
        <x:v>276</x:v>
      </x:c>
      <x:c r="V151" s="33" t="s">
        <x:v>379</x:v>
      </x:c>
      <x:c r="W151" s="33"/>
      <x:c r="X151" s="33" t="s">
        <x:v>238</x:v>
      </x:c>
      <x:c r="Y151" s="36"/>
      <x:c r="Z151" s="36"/>
      <x:c r="AA151" s="33" t="s">
        <x:v>120</x:v>
      </x:c>
      <x:c r="AB151" s="37" t="n">
        <x:f>IFERROR(INDEX(Effort_Model!$J$6:$J$33,MATCH(K151&amp;"|"&amp;L151,Effort_Model!$B$6:$B$33,0)),"")</x:f>
        <x:v>42.4</x:v>
      </x:c>
      <x:c r="AC151" s="38">
        <x:v>599.20000000000005</x:v>
      </x:c>
      <x:c r="AD151" s="37">
        <x:f t="shared" si="2"/>
        <x:v>712.53330000000005</x:v>
      </x:c>
      <x:c r="AE151" s="37" t="n">
        <x:f>IFERROR(ROUND(IFERROR(INDEX(Scoring_Rules!$C$43:$C$44,MATCH(Q151,Scoring_Rules!$B$43:$B$44,0)),0)*Scoring_Rules!$C$6+IFERROR(INDEX(Scoring_Rules!$C$34:$C$40,MATCH(K151,Scoring_Rules!$B$34:$B$40,0)),0)*Scoring_Rules!$C$7+IFERROR(INDEX(Scoring_Rules!$C$16:$C$19,MATCH(P151,Scoring_Rules!$B$16:$B$19,0)),0)*Scoring_Rules!$C$8+IFERROR(INDEX(Scoring_Rules!$C$22:$C$25,MATCH(O151,Scoring_Rules!$B$22:$B$25,0)),0)*Scoring_Rules!$C$9+IFERROR(INDEX(Scoring_Rules!$C$47:$C$50,MATCH(X151,Scoring_Rules!$B$47:$B$50,0)),0)*Scoring_Rules!$C$10+IFERROR(INDEX(Scoring_Rules!$C$28:$C$31,MATCH(R151,Scoring_Rules!$B$28:$B$31,0)),0)*Scoring_Rules!$C$11,1),"")</x:f>
        <x:v>45.8</x:v>
      </x:c>
      <x:c r="AF151" s="35">
        <x:v>6</x:v>
      </x:c>
      <x:c r="AG151" s="33" t="s">
        <x:v>941</x:v>
      </x:c>
      <x:c r="AH151" s="36">
        <x:v>46307</x:v>
      </x:c>
      <x:c r="AI151" s="33" t="s">
        <x:v>125</x:v>
      </x:c>
      <x:c r="AJ151" s="34" t="s">
        <x:v>312</x:v>
      </x:c>
    </x:row>
    <x:row r="152" ht="15" customHeight="1">
      <x:c r="A152" s="31" t="s">
        <x:v>976</x:v>
      </x:c>
      <x:c r="B152" s="31" t="s">
        <x:v>977</x:v>
      </x:c>
      <x:c r="C152" s="31" t="s">
        <x:v>919</x:v>
      </x:c>
      <x:c r="D152" s="32" t="s">
        <x:v>927</x:v>
      </x:c>
      <x:c r="E152" s="32" t="str">
        <x:v>Functional Migration Only</x:v>
      </x:c>
      <x:c r="F152" s="33" t="s">
        <x:v>118</x:v>
      </x:c>
      <x:c r="G152" s="34" t="s">
        <x:v>945</x:v>
      </x:c>
      <x:c r="H152" s="33" t="s">
        <x:v>87</x:v>
      </x:c>
      <x:c r="I152" s="33" t="s">
        <x:v>922</x:v>
      </x:c>
      <x:c r="J152" s="33" t="s">
        <x:v>82</x:v>
      </x:c>
      <x:c r="K152" s="33" t="s">
        <x:v>60</x:v>
      </x:c>
      <x:c r="L152" s="33" t="s">
        <x:v>73</x:v>
      </x:c>
      <x:c r="M152" s="35">
        <x:v>37</x:v>
      </x:c>
      <x:c r="N152" s="35">
        <x:v>6895919</x:v>
      </x:c>
      <x:c r="O152" s="33" t="s">
        <x:v>101</x:v>
      </x:c>
      <x:c r="P152" s="33" t="s">
        <x:v>101</x:v>
      </x:c>
      <x:c r="Q152" s="33" t="s">
        <x:v>120</x:v>
      </x:c>
      <x:c r="R152" s="33" t="s">
        <x:v>73</x:v>
      </x:c>
      <x:c r="S152" s="31" t="s">
        <x:v>978</x:v>
      </x:c>
      <x:c r="T152" s="31" t="s">
        <x:v>979</x:v>
      </x:c>
      <x:c r="U152" s="31" t="s">
        <x:v>276</x:v>
      </x:c>
      <x:c r="V152" s="33" t="s">
        <x:v>277</x:v>
      </x:c>
      <x:c r="W152" s="33"/>
      <x:c r="X152" s="33" t="s">
        <x:v>238</x:v>
      </x:c>
      <x:c r="Y152" s="36"/>
      <x:c r="Z152" s="36"/>
      <x:c r="AA152" s="33" t="s">
        <x:v>120</x:v>
      </x:c>
      <x:c r="AB152" s="37" t="n">
        <x:f>IFERROR(INDEX(Effort_Model!$J$6:$J$33,MATCH(K152&amp;"|"&amp;L152,Effort_Model!$B$6:$B$33,0)),"")</x:f>
        <x:v>42.4</x:v>
      </x:c>
      <x:c r="AC152" s="38">
        <x:v>396.1</x:v>
      </x:c>
      <x:c r="AD152" s="37">
        <x:f t="shared" si="2"/>
        <x:v>473.1</x:v>
      </x:c>
      <x:c r="AE152" s="37" t="n">
        <x:f>IFERROR(ROUND(IFERROR(INDEX(Scoring_Rules!$C$43:$C$44,MATCH(Q152,Scoring_Rules!$B$43:$B$44,0)),0)*Scoring_Rules!$C$6+IFERROR(INDEX(Scoring_Rules!$C$34:$C$40,MATCH(K152,Scoring_Rules!$B$34:$B$40,0)),0)*Scoring_Rules!$C$7+IFERROR(INDEX(Scoring_Rules!$C$16:$C$19,MATCH(P152,Scoring_Rules!$B$16:$B$19,0)),0)*Scoring_Rules!$C$8+IFERROR(INDEX(Scoring_Rules!$C$22:$C$25,MATCH(O152,Scoring_Rules!$B$22:$B$25,0)),0)*Scoring_Rules!$C$9+IFERROR(INDEX(Scoring_Rules!$C$47:$C$50,MATCH(X152,Scoring_Rules!$B$47:$B$50,0)),0)*Scoring_Rules!$C$10+IFERROR(INDEX(Scoring_Rules!$C$28:$C$31,MATCH(R152,Scoring_Rules!$B$28:$B$31,0)),0)*Scoring_Rules!$C$11,1),"")</x:f>
        <x:v>45.8</x:v>
      </x:c>
      <x:c r="AF152" s="35">
        <x:v>4</x:v>
      </x:c>
      <x:c r="AG152" s="33" t="s">
        <x:v>924</x:v>
      </x:c>
      <x:c r="AH152" s="36">
        <x:v>46408</x:v>
      </x:c>
      <x:c r="AI152" s="33" t="s">
        <x:v>127</x:v>
      </x:c>
      <x:c r="AJ152" s="34"/>
    </x:row>
    <x:row r="153" ht="34.5" customHeight="1">
      <x:c r="A153" s="31" t="s">
        <x:v>980</x:v>
      </x:c>
      <x:c r="B153" s="31" t="s">
        <x:v>981</x:v>
      </x:c>
      <x:c r="C153" s="31" t="s">
        <x:v>919</x:v>
      </x:c>
      <x:c r="D153" s="32" t="s">
        <x:v>982</x:v>
      </x:c>
      <x:c r="E153" s="32" t="str">
        <x:v>Functional Migration Only</x:v>
      </x:c>
      <x:c r="F153" s="33" t="s">
        <x:v>118</x:v>
      </x:c>
      <x:c r="G153" s="34" t="s">
        <x:v>921</x:v>
      </x:c>
      <x:c r="H153" s="33" t="s">
        <x:v>87</x:v>
      </x:c>
      <x:c r="I153" s="33" t="s">
        <x:v>922</x:v>
      </x:c>
      <x:c r="J153" s="33" t="s">
        <x:v>82</x:v>
      </x:c>
      <x:c r="K153" s="33" t="s">
        <x:v>60</x:v>
      </x:c>
      <x:c r="L153" s="33" t="s">
        <x:v>75</x:v>
      </x:c>
      <x:c r="M153" s="35">
        <x:v>41</x:v>
      </x:c>
      <x:c r="N153" s="35">
        <x:v>6655920</x:v>
      </x:c>
      <x:c r="O153" s="33" t="s">
        <x:v>73</x:v>
      </x:c>
      <x:c r="P153" s="33" t="s">
        <x:v>101</x:v>
      </x:c>
      <x:c r="Q153" s="33" t="s">
        <x:v>120</x:v>
      </x:c>
      <x:c r="R153" s="33" t="s">
        <x:v>115</x:v>
      </x:c>
      <x:c r="S153" s="31" t="s">
        <x:v>983</x:v>
      </x:c>
      <x:c r="T153" s="31" t="s">
        <x:v>984</x:v>
      </x:c>
      <x:c r="U153" s="31" t="s">
        <x:v>276</x:v>
      </x:c>
      <x:c r="V153" s="33" t="s">
        <x:v>277</x:v>
      </x:c>
      <x:c r="W153" s="33"/>
      <x:c r="X153" s="33" t="s">
        <x:v>238</x:v>
      </x:c>
      <x:c r="Y153" s="36"/>
      <x:c r="Z153" s="36"/>
      <x:c r="AA153" s="33" t="s">
        <x:v>120</x:v>
      </x:c>
      <x:c r="AB153" s="37" t="n">
        <x:f>IFERROR(INDEX(Effort_Model!$J$6:$J$33,MATCH(K153&amp;"|"&amp;L153,Effort_Model!$B$6:$B$33,0)),"")</x:f>
        <x:v>42.4</x:v>
      </x:c>
      <x:c r="AC153" s="38">
        <x:v>545.9</x:v>
      </x:c>
      <x:c r="AD153" s="37">
        <x:f t="shared" si="2"/>
        <x:v>659.23329999999999</x:v>
      </x:c>
      <x:c r="AE153" s="37" t="n">
        <x:f>IFERROR(ROUND(IFERROR(INDEX(Scoring_Rules!$C$43:$C$44,MATCH(Q153,Scoring_Rules!$B$43:$B$44,0)),0)*Scoring_Rules!$C$6+IFERROR(INDEX(Scoring_Rules!$C$34:$C$40,MATCH(K153,Scoring_Rules!$B$34:$B$40,0)),0)*Scoring_Rules!$C$7+IFERROR(INDEX(Scoring_Rules!$C$16:$C$19,MATCH(P153,Scoring_Rules!$B$16:$B$19,0)),0)*Scoring_Rules!$C$8+IFERROR(INDEX(Scoring_Rules!$C$22:$C$25,MATCH(O153,Scoring_Rules!$B$22:$B$25,0)),0)*Scoring_Rules!$C$9+IFERROR(INDEX(Scoring_Rules!$C$47:$C$50,MATCH(X153,Scoring_Rules!$B$47:$B$50,0)),0)*Scoring_Rules!$C$10+IFERROR(INDEX(Scoring_Rules!$C$28:$C$31,MATCH(R153,Scoring_Rules!$B$28:$B$31,0)),0)*Scoring_Rules!$C$11,1),"")</x:f>
        <x:v>47.5</x:v>
      </x:c>
      <x:c r="AF153" s="35">
        <x:v>6</x:v>
      </x:c>
      <x:c r="AG153" s="33" t="s">
        <x:v>931</x:v>
      </x:c>
      <x:c r="AH153" s="36">
        <x:v>46329</x:v>
      </x:c>
      <x:c r="AI153" s="33" t="s">
        <x:v>126</x:v>
      </x:c>
      <x:c r="AJ153" s="34" t="s">
        <x:v>336</x:v>
      </x:c>
    </x:row>
    <x:row r="154" ht="15" customHeight="1">
      <x:c r="A154" s="31" t="s">
        <x:v>985</x:v>
      </x:c>
      <x:c r="B154" s="31" t="s">
        <x:v>986</x:v>
      </x:c>
      <x:c r="C154" s="31" t="s">
        <x:v>919</x:v>
      </x:c>
      <x:c r="D154" s="32" t="s">
        <x:v>944</x:v>
      </x:c>
      <x:c r="E154" s="32" t="str">
        <x:v>Data Migration Only</x:v>
      </x:c>
      <x:c r="F154" s="33" t="s">
        <x:v>118</x:v>
      </x:c>
      <x:c r="G154" s="34" t="s">
        <x:v>945</x:v>
      </x:c>
      <x:c r="H154" s="33" t="s">
        <x:v>87</x:v>
      </x:c>
      <x:c r="I154" s="33" t="s">
        <x:v>922</x:v>
      </x:c>
      <x:c r="J154" s="33" t="s">
        <x:v>80</x:v>
      </x:c>
      <x:c r="K154" s="33" t="s">
        <x:v>60</x:v>
      </x:c>
      <x:c r="L154" s="33" t="s">
        <x:v>71</x:v>
      </x:c>
      <x:c r="M154" s="35">
        <x:v>36</x:v>
      </x:c>
      <x:c r="N154" s="35">
        <x:v>6225781</x:v>
      </x:c>
      <x:c r="O154" s="33" t="s">
        <x:v>98</x:v>
      </x:c>
      <x:c r="P154" s="33" t="s">
        <x:v>73</x:v>
      </x:c>
      <x:c r="Q154" s="33" t="s">
        <x:v>118</x:v>
      </x:c>
      <x:c r="R154" s="33" t="s">
        <x:v>101</x:v>
      </x:c>
      <x:c r="S154" s="31" t="s">
        <x:v>978</x:v>
      </x:c>
      <x:c r="T154" s="31" t="s">
        <x:v>987</x:v>
      </x:c>
      <x:c r="U154" s="31" t="s">
        <x:v>276</x:v>
      </x:c>
      <x:c r="V154" s="33" t="s">
        <x:v>323</x:v>
      </x:c>
      <x:c r="W154" s="33" t="s">
        <x:v>958</x:v>
      </x:c>
      <x:c r="X154" s="33" t="s">
        <x:v>240</x:v>
      </x:c>
      <x:c r="Y154" s="36"/>
      <x:c r="Z154" s="36"/>
      <x:c r="AA154" s="33" t="s">
        <x:v>120</x:v>
      </x:c>
      <x:c r="AB154" s="37" t="n">
        <x:f>IFERROR(INDEX(Effort_Model!$J$6:$J$33,MATCH(K154&amp;"|"&amp;L154,Effort_Model!$B$6:$B$33,0)),"")</x:f>
        <x:v>18.4</x:v>
      </x:c>
      <x:c r="AC154" s="38">
        <x:v>185.2</x:v>
      </x:c>
      <x:c r="AD154" s="37">
        <x:f t="shared" si="2"/>
        <x:v>227.6</x:v>
      </x:c>
      <x:c r="AE154" s="37" t="n">
        <x:f>IFERROR(ROUND(IFERROR(INDEX(Scoring_Rules!$C$43:$C$44,MATCH(Q154,Scoring_Rules!$B$43:$B$44,0)),0)*Scoring_Rules!$C$6+IFERROR(INDEX(Scoring_Rules!$C$34:$C$40,MATCH(K154,Scoring_Rules!$B$34:$B$40,0)),0)*Scoring_Rules!$C$7+IFERROR(INDEX(Scoring_Rules!$C$16:$C$19,MATCH(P154,Scoring_Rules!$B$16:$B$19,0)),0)*Scoring_Rules!$C$8+IFERROR(INDEX(Scoring_Rules!$C$22:$C$25,MATCH(O154,Scoring_Rules!$B$22:$B$25,0)),0)*Scoring_Rules!$C$9+IFERROR(INDEX(Scoring_Rules!$C$47:$C$50,MATCH(X154,Scoring_Rules!$B$47:$B$50,0)),0)*Scoring_Rules!$C$10+IFERROR(INDEX(Scoring_Rules!$C$28:$C$31,MATCH(R154,Scoring_Rules!$B$28:$B$31,0)),0)*Scoring_Rules!$C$11,1),"")</x:f>
        <x:v>75.3</x:v>
      </x:c>
      <x:c r="AF154" s="35">
        <x:v>1</x:v>
      </x:c>
      <x:c r="AG154" s="33" t="s">
        <x:v>937</x:v>
      </x:c>
      <x:c r="AH154" s="36">
        <x:v>46338</x:v>
      </x:c>
      <x:c r="AI154" s="33" t="s">
        <x:v>127</x:v>
      </x:c>
      <x:c r="AJ154" s="34" t="s">
        <x:v>383</x:v>
      </x:c>
    </x:row>
    <x:row r="155" ht="15" customHeight="1">
      <x:c r="A155" s="31" t="s">
        <x:v>988</x:v>
      </x:c>
      <x:c r="B155" s="31" t="s">
        <x:v>989</x:v>
      </x:c>
      <x:c r="C155" s="31" t="s">
        <x:v>919</x:v>
      </x:c>
      <x:c r="D155" s="32" t="s">
        <x:v>990</x:v>
      </x:c>
      <x:c r="E155" s="32" t="str">
        <x:v>Data Migration Only</x:v>
      </x:c>
      <x:c r="F155" s="33" t="s">
        <x:v>118</x:v>
      </x:c>
      <x:c r="G155" s="34" t="s">
        <x:v>921</x:v>
      </x:c>
      <x:c r="H155" s="33" t="s">
        <x:v>87</x:v>
      </x:c>
      <x:c r="I155" s="33" t="s">
        <x:v>922</x:v>
      </x:c>
      <x:c r="J155" s="33" t="s">
        <x:v>80</x:v>
      </x:c>
      <x:c r="K155" s="33" t="s">
        <x:v>60</x:v>
      </x:c>
      <x:c r="L155" s="33" t="s">
        <x:v>73</x:v>
      </x:c>
      <x:c r="M155" s="35">
        <x:v>50</x:v>
      </x:c>
      <x:c r="N155" s="35">
        <x:v>6842648</x:v>
      </x:c>
      <x:c r="O155" s="33" t="s">
        <x:v>103</x:v>
      </x:c>
      <x:c r="P155" s="33" t="s">
        <x:v>101</x:v>
      </x:c>
      <x:c r="Q155" s="33" t="s">
        <x:v>120</x:v>
      </x:c>
      <x:c r="R155" s="33" t="s">
        <x:v>115</x:v>
      </x:c>
      <x:c r="S155" s="31" t="s">
        <x:v>935</x:v>
      </x:c>
      <x:c r="T155" s="31" t="s">
        <x:v>957</x:v>
      </x:c>
      <x:c r="U155" s="31" t="s">
        <x:v>276</x:v>
      </x:c>
      <x:c r="V155" s="33" t="s">
        <x:v>347</x:v>
      </x:c>
      <x:c r="W155" s="33" t="s">
        <x:v>932</x:v>
      </x:c>
      <x:c r="X155" s="33" t="s">
        <x:v>239</x:v>
      </x:c>
      <x:c r="Y155" s="36"/>
      <x:c r="Z155" s="36"/>
      <x:c r="AA155" s="33" t="s">
        <x:v>120</x:v>
      </x:c>
      <x:c r="AB155" s="37" t="n">
        <x:f>IFERROR(INDEX(Effort_Model!$J$6:$J$33,MATCH(K155&amp;"|"&amp;L155,Effort_Model!$B$6:$B$33,0)),"")</x:f>
        <x:v>42.4</x:v>
      </x:c>
      <x:c r="AC155" s="38">
        <x:v>225.8</x:v>
      </x:c>
      <x:c r="AD155" s="37">
        <x:f t="shared" si="2"/>
        <x:v>302.8</x:v>
      </x:c>
      <x:c r="AE155" s="37" t="n">
        <x:f>IFERROR(ROUND(IFERROR(INDEX(Scoring_Rules!$C$43:$C$44,MATCH(Q155,Scoring_Rules!$B$43:$B$44,0)),0)*Scoring_Rules!$C$6+IFERROR(INDEX(Scoring_Rules!$C$34:$C$40,MATCH(K155,Scoring_Rules!$B$34:$B$40,0)),0)*Scoring_Rules!$C$7+IFERROR(INDEX(Scoring_Rules!$C$16:$C$19,MATCH(P155,Scoring_Rules!$B$16:$B$19,0)),0)*Scoring_Rules!$C$8+IFERROR(INDEX(Scoring_Rules!$C$22:$C$25,MATCH(O155,Scoring_Rules!$B$22:$B$25,0)),0)*Scoring_Rules!$C$9+IFERROR(INDEX(Scoring_Rules!$C$47:$C$50,MATCH(X155,Scoring_Rules!$B$47:$B$50,0)),0)*Scoring_Rules!$C$10+IFERROR(INDEX(Scoring_Rules!$C$28:$C$31,MATCH(R155,Scoring_Rules!$B$28:$B$31,0)),0)*Scoring_Rules!$C$11,1),"")</x:f>
        <x:v>32.5</x:v>
      </x:c>
      <x:c r="AF155" s="35">
        <x:v>5</x:v>
      </x:c>
      <x:c r="AG155" s="33" t="s">
        <x:v>941</x:v>
      </x:c>
      <x:c r="AH155" s="36">
        <x:v>46373</x:v>
      </x:c>
      <x:c r="AI155" s="33" t="s">
        <x:v>127</x:v>
      </x:c>
      <x:c r="AJ155" s="34"/>
    </x:row>
    <x:row r="156" ht="23.25" customHeight="1">
      <x:c r="A156" s="31" t="s">
        <x:v>991</x:v>
      </x:c>
      <x:c r="B156" s="31" t="s">
        <x:v>992</x:v>
      </x:c>
      <x:c r="C156" s="31" t="s">
        <x:v>919</x:v>
      </x:c>
      <x:c r="D156" s="32" t="s">
        <x:v>993</x:v>
      </x:c>
      <x:c r="E156" s="32" t="str">
        <x:v>Functional Migration Only</x:v>
      </x:c>
      <x:c r="F156" s="33" t="s">
        <x:v>118</x:v>
      </x:c>
      <x:c r="G156" s="34" t="s">
        <x:v>921</x:v>
      </x:c>
      <x:c r="H156" s="33" t="s">
        <x:v>87</x:v>
      </x:c>
      <x:c r="I156" s="33" t="s">
        <x:v>922</x:v>
      </x:c>
      <x:c r="J156" s="33" t="s">
        <x:v>82</x:v>
      </x:c>
      <x:c r="K156" s="33" t="s">
        <x:v>56</x:v>
      </x:c>
      <x:c r="L156" s="33" t="s">
        <x:v>71</x:v>
      </x:c>
      <x:c r="M156" s="35">
        <x:v>9</x:v>
      </x:c>
      <x:c r="N156" s="35">
        <x:v>72089</x:v>
      </x:c>
      <x:c r="O156" s="33" t="s">
        <x:v>98</x:v>
      </x:c>
      <x:c r="P156" s="33" t="s">
        <x:v>73</x:v>
      </x:c>
      <x:c r="Q156" s="33" t="s">
        <x:v>120</x:v>
      </x:c>
      <x:c r="R156" s="33" t="s">
        <x:v>98</x:v>
      </x:c>
      <x:c r="S156" s="31" t="s">
        <x:v>994</x:v>
      </x:c>
      <x:c r="T156" s="31" t="s">
        <x:v>995</x:v>
      </x:c>
      <x:c r="U156" s="31" t="s">
        <x:v>276</x:v>
      </x:c>
      <x:c r="V156" s="33" t="s">
        <x:v>277</x:v>
      </x:c>
      <x:c r="W156" s="33"/>
      <x:c r="X156" s="33" t="s">
        <x:v>238</x:v>
      </x:c>
      <x:c r="Y156" s="36"/>
      <x:c r="Z156" s="36"/>
      <x:c r="AA156" s="33" t="s">
        <x:v>120</x:v>
      </x:c>
      <x:c r="AB156" s="37" t="n">
        <x:f>IFERROR(INDEX(Effort_Model!$J$6:$J$33,MATCH(K156&amp;"|"&amp;L156,Effort_Model!$B$6:$B$33,0)),"")</x:f>
        <x:v>18.4</x:v>
      </x:c>
      <x:c r="AC156" s="38">
        <x:v>104.9</x:v>
      </x:c>
      <x:c r="AD156" s="37">
        <x:f t="shared" si="2"/>
        <x:v>123.30000000000001</x:v>
      </x:c>
      <x:c r="AE156" s="37" t="n">
        <x:f>IFERROR(ROUND(IFERROR(INDEX(Scoring_Rules!$C$43:$C$44,MATCH(Q156,Scoring_Rules!$B$43:$B$44,0)),0)*Scoring_Rules!$C$6+IFERROR(INDEX(Scoring_Rules!$C$34:$C$40,MATCH(K156,Scoring_Rules!$B$34:$B$40,0)),0)*Scoring_Rules!$C$7+IFERROR(INDEX(Scoring_Rules!$C$16:$C$19,MATCH(P156,Scoring_Rules!$B$16:$B$19,0)),0)*Scoring_Rules!$C$8+IFERROR(INDEX(Scoring_Rules!$C$22:$C$25,MATCH(O156,Scoring_Rules!$B$22:$B$25,0)),0)*Scoring_Rules!$C$9+IFERROR(INDEX(Scoring_Rules!$C$47:$C$50,MATCH(X156,Scoring_Rules!$B$47:$B$50,0)),0)*Scoring_Rules!$C$10+IFERROR(INDEX(Scoring_Rules!$C$28:$C$31,MATCH(R156,Scoring_Rules!$B$28:$B$31,0)),0)*Scoring_Rules!$C$11,1),"")</x:f>
        <x:v>69</x:v>
      </x:c>
      <x:c r="AF156" s="35">
        <x:v>2</x:v>
      </x:c>
      <x:c r="AG156" s="33" t="s">
        <x:v>924</x:v>
      </x:c>
      <x:c r="AH156" s="36">
        <x:v>46333</x:v>
      </x:c>
      <x:c r="AI156" s="33" t="s">
        <x:v>127</x:v>
      </x:c>
      <x:c r="AJ156" s="34"/>
    </x:row>
    <x:row r="157" ht="45.75" customHeight="1">
      <x:c r="A157" s="31" t="s">
        <x:v>996</x:v>
      </x:c>
      <x:c r="B157" s="31" t="s">
        <x:v>997</x:v>
      </x:c>
      <x:c r="C157" s="31" t="s">
        <x:v>919</x:v>
      </x:c>
      <x:c r="D157" s="32" t="s">
        <x:v>998</x:v>
      </x:c>
      <x:c r="E157" s="32" t="str">
        <x:v>Functional Migration Only</x:v>
      </x:c>
      <x:c r="F157" s="33" t="s">
        <x:v>118</x:v>
      </x:c>
      <x:c r="G157" s="34" t="s">
        <x:v>921</x:v>
      </x:c>
      <x:c r="H157" s="33" t="s">
        <x:v>87</x:v>
      </x:c>
      <x:c r="I157" s="33" t="s">
        <x:v>922</x:v>
      </x:c>
      <x:c r="J157" s="33" t="s">
        <x:v>82</x:v>
      </x:c>
      <x:c r="K157" s="33" t="s">
        <x:v>58</x:v>
      </x:c>
      <x:c r="L157" s="33" t="s">
        <x:v>75</x:v>
      </x:c>
      <x:c r="M157" s="35">
        <x:v>10</x:v>
      </x:c>
      <x:c r="N157" s="35">
        <x:v>548147</x:v>
      </x:c>
      <x:c r="O157" s="33" t="s">
        <x:v>101</x:v>
      </x:c>
      <x:c r="P157" s="33" t="s">
        <x:v>73</x:v>
      </x:c>
      <x:c r="Q157" s="33" t="s">
        <x:v>120</x:v>
      </x:c>
      <x:c r="R157" s="33" t="s">
        <x:v>98</x:v>
      </x:c>
      <x:c r="S157" s="31" t="s">
        <x:v>999</x:v>
      </x:c>
      <x:c r="T157" s="31" t="s">
        <x:v>1000</x:v>
      </x:c>
      <x:c r="U157" s="31" t="s">
        <x:v>276</x:v>
      </x:c>
      <x:c r="V157" s="33" t="s">
        <x:v>444</x:v>
      </x:c>
      <x:c r="W157" s="33"/>
      <x:c r="X157" s="33" t="s">
        <x:v>238</x:v>
      </x:c>
      <x:c r="Y157" s="36"/>
      <x:c r="Z157" s="36"/>
      <x:c r="AA157" s="33" t="s">
        <x:v>120</x:v>
      </x:c>
      <x:c r="AB157" s="37" t="n">
        <x:f>IFERROR(INDEX(Effort_Model!$J$6:$J$33,MATCH(K157&amp;"|"&amp;L157,Effort_Model!$B$6:$B$33,0)),"")</x:f>
        <x:v>26.4</x:v>
      </x:c>
      <x:c r="AC157" s="38">
        <x:v>336.4</x:v>
      </x:c>
      <x:c r="AD157" s="37">
        <x:f t="shared" si="2"/>
        <x:v>401.73329999999999</x:v>
      </x:c>
      <x:c r="AE157" s="37" t="n">
        <x:f>IFERROR(ROUND(IFERROR(INDEX(Scoring_Rules!$C$43:$C$44,MATCH(Q157,Scoring_Rules!$B$43:$B$44,0)),0)*Scoring_Rules!$C$6+IFERROR(INDEX(Scoring_Rules!$C$34:$C$40,MATCH(K157,Scoring_Rules!$B$34:$B$40,0)),0)*Scoring_Rules!$C$7+IFERROR(INDEX(Scoring_Rules!$C$16:$C$19,MATCH(P157,Scoring_Rules!$B$16:$B$19,0)),0)*Scoring_Rules!$C$8+IFERROR(INDEX(Scoring_Rules!$C$22:$C$25,MATCH(O157,Scoring_Rules!$B$22:$B$25,0)),0)*Scoring_Rules!$C$9+IFERROR(INDEX(Scoring_Rules!$C$47:$C$50,MATCH(X157,Scoring_Rules!$B$47:$B$50,0)),0)*Scoring_Rules!$C$10+IFERROR(INDEX(Scoring_Rules!$C$28:$C$31,MATCH(R157,Scoring_Rules!$B$28:$B$31,0)),0)*Scoring_Rules!$C$11,1),"")</x:f>
        <x:v>57.3</x:v>
      </x:c>
      <x:c r="AF157" s="35">
        <x:v>5</x:v>
      </x:c>
      <x:c r="AG157" s="33" t="s">
        <x:v>931</x:v>
      </x:c>
      <x:c r="AH157" s="36">
        <x:v>46357</x:v>
      </x:c>
      <x:c r="AI157" s="33" t="s">
        <x:v>127</x:v>
      </x:c>
      <x:c r="AJ157" s="34" t="s">
        <x:v>395</x:v>
      </x:c>
    </x:row>
    <x:row r="158" ht="15" customHeight="1">
      <x:c r="A158" s="31" t="s">
        <x:v>1001</x:v>
      </x:c>
      <x:c r="B158" s="31" t="s">
        <x:v>1002</x:v>
      </x:c>
      <x:c r="C158" s="31" t="s">
        <x:v>919</x:v>
      </x:c>
      <x:c r="D158" s="32" t="s">
        <x:v>927</x:v>
      </x:c>
      <x:c r="E158" s="32" t="str">
        <x:v>Data Migration Only</x:v>
      </x:c>
      <x:c r="F158" s="33" t="s">
        <x:v>118</x:v>
      </x:c>
      <x:c r="G158" s="34" t="s">
        <x:v>921</x:v>
      </x:c>
      <x:c r="H158" s="33" t="s">
        <x:v>87</x:v>
      </x:c>
      <x:c r="I158" s="33" t="s">
        <x:v>922</x:v>
      </x:c>
      <x:c r="J158" s="33" t="s">
        <x:v>80</x:v>
      </x:c>
      <x:c r="K158" s="33" t="s">
        <x:v>58</x:v>
      </x:c>
      <x:c r="L158" s="33" t="s">
        <x:v>71</x:v>
      </x:c>
      <x:c r="M158" s="35">
        <x:v>12</x:v>
      </x:c>
      <x:c r="N158" s="35">
        <x:v>841808</x:v>
      </x:c>
      <x:c r="O158" s="33" t="s">
        <x:v>103</x:v>
      </x:c>
      <x:c r="P158" s="33" t="s">
        <x:v>101</x:v>
      </x:c>
      <x:c r="Q158" s="33" t="s">
        <x:v>120</x:v>
      </x:c>
      <x:c r="R158" s="33" t="s">
        <x:v>98</x:v>
      </x:c>
      <x:c r="S158" s="31" t="s">
        <x:v>935</x:v>
      </x:c>
      <x:c r="T158" s="31" t="s">
        <x:v>957</x:v>
      </x:c>
      <x:c r="U158" s="31" t="s">
        <x:v>276</x:v>
      </x:c>
      <x:c r="V158" s="33" t="s">
        <x:v>303</x:v>
      </x:c>
      <x:c r="W158" s="33"/>
      <x:c r="X158" s="33" t="s">
        <x:v>238</x:v>
      </x:c>
      <x:c r="Y158" s="36"/>
      <x:c r="Z158" s="36"/>
      <x:c r="AA158" s="33" t="s">
        <x:v>120</x:v>
      </x:c>
      <x:c r="AB158" s="37" t="n">
        <x:f>IFERROR(INDEX(Effort_Model!$J$6:$J$33,MATCH(K158&amp;"|"&amp;L158,Effort_Model!$B$6:$B$33,0)),"")</x:f>
        <x:v>18.4</x:v>
      </x:c>
      <x:c r="AC158" s="38">
        <x:v>114.1</x:v>
      </x:c>
      <x:c r="AD158" s="37">
        <x:f t="shared" si="2"/>
        <x:v>140.5</x:v>
      </x:c>
      <x:c r="AE158" s="37" t="n">
        <x:f>IFERROR(ROUND(IFERROR(INDEX(Scoring_Rules!$C$43:$C$44,MATCH(Q158,Scoring_Rules!$B$43:$B$44,0)),0)*Scoring_Rules!$C$6+IFERROR(INDEX(Scoring_Rules!$C$34:$C$40,MATCH(K158,Scoring_Rules!$B$34:$B$40,0)),0)*Scoring_Rules!$C$7+IFERROR(INDEX(Scoring_Rules!$C$16:$C$19,MATCH(P158,Scoring_Rules!$B$16:$B$19,0)),0)*Scoring_Rules!$C$8+IFERROR(INDEX(Scoring_Rules!$C$22:$C$25,MATCH(O158,Scoring_Rules!$B$22:$B$25,0)),0)*Scoring_Rules!$C$9+IFERROR(INDEX(Scoring_Rules!$C$47:$C$50,MATCH(X158,Scoring_Rules!$B$47:$B$50,0)),0)*Scoring_Rules!$C$10+IFERROR(INDEX(Scoring_Rules!$C$28:$C$31,MATCH(R158,Scoring_Rules!$B$28:$B$31,0)),0)*Scoring_Rules!$C$11,1),"")</x:f>
        <x:v>45</x:v>
      </x:c>
      <x:c r="AF158" s="35">
        <x:v>3</x:v>
      </x:c>
      <x:c r="AG158" s="33" t="s">
        <x:v>937</x:v>
      </x:c>
      <x:c r="AH158" s="36">
        <x:v>46355</x:v>
      </x:c>
      <x:c r="AI158" s="33" t="s">
        <x:v>127</x:v>
      </x:c>
      <x:c r="AJ158" s="34"/>
    </x:row>
    <x:row r="159" ht="15" customHeight="1">
      <x:c r="A159" s="31" t="s">
        <x:v>1003</x:v>
      </x:c>
      <x:c r="B159" s="31" t="s">
        <x:v>1004</x:v>
      </x:c>
      <x:c r="C159" s="31" t="s">
        <x:v>919</x:v>
      </x:c>
      <x:c r="D159" s="32" t="s">
        <x:v>927</x:v>
      </x:c>
      <x:c r="E159" s="32" t="str">
        <x:v>Functional Migration Only</x:v>
      </x:c>
      <x:c r="F159" s="33" t="s">
        <x:v>118</x:v>
      </x:c>
      <x:c r="G159" s="34" t="s">
        <x:v>921</x:v>
      </x:c>
      <x:c r="H159" s="33" t="s">
        <x:v>87</x:v>
      </x:c>
      <x:c r="I159" s="33" t="s">
        <x:v>922</x:v>
      </x:c>
      <x:c r="J159" s="33" t="s">
        <x:v>82</x:v>
      </x:c>
      <x:c r="K159" s="33" t="s">
        <x:v>58</x:v>
      </x:c>
      <x:c r="L159" s="33" t="s">
        <x:v>77</x:v>
      </x:c>
      <x:c r="M159" s="35">
        <x:v>23</x:v>
      </x:c>
      <x:c r="N159" s="35">
        <x:v>1197196</x:v>
      </x:c>
      <x:c r="O159" s="33" t="s">
        <x:v>98</x:v>
      </x:c>
      <x:c r="P159" s="33" t="s">
        <x:v>101</x:v>
      </x:c>
      <x:c r="Q159" s="33" t="s">
        <x:v>120</x:v>
      </x:c>
      <x:c r="R159" s="33" t="s">
        <x:v>73</x:v>
      </x:c>
      <x:c r="S159" s="31" t="s">
        <x:v>978</x:v>
      </x:c>
      <x:c r="T159" s="31" t="s">
        <x:v>1005</x:v>
      </x:c>
      <x:c r="U159" s="31" t="s">
        <x:v>276</x:v>
      </x:c>
      <x:c r="V159" s="33" t="s">
        <x:v>277</x:v>
      </x:c>
      <x:c r="W159" s="33"/>
      <x:c r="X159" s="33" t="s">
        <x:v>238</x:v>
      </x:c>
      <x:c r="Y159" s="36">
        <x:v>46480</x:v>
      </x:c>
      <x:c r="Z159" s="36">
        <x:v>46657</x:v>
      </x:c>
      <x:c r="AA159" s="33" t="s">
        <x:v>120</x:v>
      </x:c>
      <x:c r="AB159" s="37" t="n">
        <x:f>IFERROR(INDEX(Effort_Model!$J$6:$J$33,MATCH(K159&amp;"|"&amp;L159,Effort_Model!$B$6:$B$33,0)),"")</x:f>
        <x:v>26.4</x:v>
      </x:c>
      <x:c r="AC159" s="38">
        <x:v>384.8</x:v>
      </x:c>
      <x:c r="AD159" s="37">
        <x:f t="shared" si="2"/>
        <x:v>466.13330000000002</x:v>
      </x:c>
      <x:c r="AE159" s="37" t="n">
        <x:f>IFERROR(ROUND(IFERROR(INDEX(Scoring_Rules!$C$43:$C$44,MATCH(Q159,Scoring_Rules!$B$43:$B$44,0)),0)*Scoring_Rules!$C$6+IFERROR(INDEX(Scoring_Rules!$C$34:$C$40,MATCH(K159,Scoring_Rules!$B$34:$B$40,0)),0)*Scoring_Rules!$C$7+IFERROR(INDEX(Scoring_Rules!$C$16:$C$19,MATCH(P159,Scoring_Rules!$B$16:$B$19,0)),0)*Scoring_Rules!$C$8+IFERROR(INDEX(Scoring_Rules!$C$22:$C$25,MATCH(O159,Scoring_Rules!$B$22:$B$25,0)),0)*Scoring_Rules!$C$9+IFERROR(INDEX(Scoring_Rules!$C$47:$C$50,MATCH(X159,Scoring_Rules!$B$47:$B$50,0)),0)*Scoring_Rules!$C$10+IFERROR(INDEX(Scoring_Rules!$C$28:$C$31,MATCH(R159,Scoring_Rules!$B$28:$B$31,0)),0)*Scoring_Rules!$C$11,1),"")</x:f>
        <x:v>58.5</x:v>
      </x:c>
      <x:c r="AF159" s="35">
        <x:v>6</x:v>
      </x:c>
      <x:c r="AG159" s="33" t="s">
        <x:v>941</x:v>
      </x:c>
      <x:c r="AH159" s="36">
        <x:v>46376</x:v>
      </x:c>
      <x:c r="AI159" s="33" t="s">
        <x:v>126</x:v>
      </x:c>
      <x:c r="AJ159" s="34" t="s">
        <x:v>395</x:v>
      </x:c>
    </x:row>
    <x:row r="160" ht="15" customHeight="1">
      <x:c r="A160" s="31" t="s">
        <x:v>1006</x:v>
      </x:c>
      <x:c r="B160" s="31" t="s">
        <x:v>1007</x:v>
      </x:c>
      <x:c r="C160" s="31" t="s">
        <x:v>919</x:v>
      </x:c>
      <x:c r="D160" s="32" t="s">
        <x:v>927</x:v>
      </x:c>
      <x:c r="E160" s="32" t="str">
        <x:v>Functional Migration Only</x:v>
      </x:c>
      <x:c r="F160" s="33" t="s">
        <x:v>118</x:v>
      </x:c>
      <x:c r="G160" s="34" t="s">
        <x:v>928</x:v>
      </x:c>
      <x:c r="H160" s="33" t="s">
        <x:v>87</x:v>
      </x:c>
      <x:c r="I160" s="33" t="s">
        <x:v>922</x:v>
      </x:c>
      <x:c r="J160" s="33" t="s">
        <x:v>82</x:v>
      </x:c>
      <x:c r="K160" s="33" t="s">
        <x:v>56</x:v>
      </x:c>
      <x:c r="L160" s="33" t="s">
        <x:v>71</x:v>
      </x:c>
      <x:c r="M160" s="35">
        <x:v>5</x:v>
      </x:c>
      <x:c r="N160" s="35">
        <x:v>97357</x:v>
      </x:c>
      <x:c r="O160" s="33" t="s">
        <x:v>98</x:v>
      </x:c>
      <x:c r="P160" s="33" t="s">
        <x:v>101</x:v>
      </x:c>
      <x:c r="Q160" s="33" t="s">
        <x:v>120</x:v>
      </x:c>
      <x:c r="R160" s="33" t="s">
        <x:v>73</x:v>
      </x:c>
      <x:c r="S160" s="31" t="s">
        <x:v>978</x:v>
      </x:c>
      <x:c r="T160" s="31" t="s">
        <x:v>1008</x:v>
      </x:c>
      <x:c r="U160" s="31" t="s">
        <x:v>276</x:v>
      </x:c>
      <x:c r="V160" s="33" t="s">
        <x:v>329</x:v>
      </x:c>
      <x:c r="W160" s="33"/>
      <x:c r="X160" s="33" t="s">
        <x:v>238</x:v>
      </x:c>
      <x:c r="Y160" s="36"/>
      <x:c r="Z160" s="36"/>
      <x:c r="AA160" s="33" t="s">
        <x:v>120</x:v>
      </x:c>
      <x:c r="AB160" s="37" t="n">
        <x:f>IFERROR(INDEX(Effort_Model!$J$6:$J$33,MATCH(K160&amp;"|"&amp;L160,Effort_Model!$B$6:$B$33,0)),"")</x:f>
        <x:v>18.4</x:v>
      </x:c>
      <x:c r="AC160" s="38">
        <x:v>85.5</x:v>
      </x:c>
      <x:c r="AD160" s="37">
        <x:f t="shared" si="2"/>
        <x:v>103.9</x:v>
      </x:c>
      <x:c r="AE160" s="37" t="n">
        <x:f>IFERROR(ROUND(IFERROR(INDEX(Scoring_Rules!$C$43:$C$44,MATCH(Q160,Scoring_Rules!$B$43:$B$44,0)),0)*Scoring_Rules!$C$6+IFERROR(INDEX(Scoring_Rules!$C$34:$C$40,MATCH(K160,Scoring_Rules!$B$34:$B$40,0)),0)*Scoring_Rules!$C$7+IFERROR(INDEX(Scoring_Rules!$C$16:$C$19,MATCH(P160,Scoring_Rules!$B$16:$B$19,0)),0)*Scoring_Rules!$C$8+IFERROR(INDEX(Scoring_Rules!$C$22:$C$25,MATCH(O160,Scoring_Rules!$B$22:$B$25,0)),0)*Scoring_Rules!$C$9+IFERROR(INDEX(Scoring_Rules!$C$47:$C$50,MATCH(X160,Scoring_Rules!$B$47:$B$50,0)),0)*Scoring_Rules!$C$10+IFERROR(INDEX(Scoring_Rules!$C$28:$C$31,MATCH(R160,Scoring_Rules!$B$28:$B$31,0)),0)*Scoring_Rules!$C$11,1),"")</x:f>
        <x:v>60.5</x:v>
      </x:c>
      <x:c r="AF160" s="35">
        <x:v>2</x:v>
      </x:c>
      <x:c r="AG160" s="33" t="s">
        <x:v>924</x:v>
      </x:c>
      <x:c r="AH160" s="36">
        <x:v>46333</x:v>
      </x:c>
      <x:c r="AI160" s="33" t="s">
        <x:v>127</x:v>
      </x:c>
      <x:c r="AJ160" s="34"/>
    </x:row>
    <x:row r="161" ht="15" customHeight="1">
      <x:c r="A161" s="31" t="s">
        <x:v>1009</x:v>
      </x:c>
      <x:c r="B161" s="31" t="s">
        <x:v>1010</x:v>
      </x:c>
      <x:c r="C161" s="31" t="s">
        <x:v>919</x:v>
      </x:c>
      <x:c r="D161" s="32" t="s">
        <x:v>927</x:v>
      </x:c>
      <x:c r="E161" s="32" t="str">
        <x:v>Data Migration Only</x:v>
      </x:c>
      <x:c r="F161" s="33" t="s">
        <x:v>118</x:v>
      </x:c>
      <x:c r="G161" s="34" t="s">
        <x:v>921</x:v>
      </x:c>
      <x:c r="H161" s="33" t="s">
        <x:v>87</x:v>
      </x:c>
      <x:c r="I161" s="33" t="s">
        <x:v>922</x:v>
      </x:c>
      <x:c r="J161" s="33" t="s">
        <x:v>80</x:v>
      </x:c>
      <x:c r="K161" s="33" t="s">
        <x:v>60</x:v>
      </x:c>
      <x:c r="L161" s="33" t="s">
        <x:v>71</x:v>
      </x:c>
      <x:c r="M161" s="35">
        <x:v>33</x:v>
      </x:c>
      <x:c r="N161" s="35">
        <x:v>3342829</x:v>
      </x:c>
      <x:c r="O161" s="33" t="s">
        <x:v>73</x:v>
      </x:c>
      <x:c r="P161" s="33" t="s">
        <x:v>73</x:v>
      </x:c>
      <x:c r="Q161" s="33" t="s">
        <x:v>120</x:v>
      </x:c>
      <x:c r="R161" s="33" t="s">
        <x:v>115</x:v>
      </x:c>
      <x:c r="S161" s="31" t="s">
        <x:v>1011</x:v>
      </x:c>
      <x:c r="T161" s="31" t="s">
        <x:v>1012</x:v>
      </x:c>
      <x:c r="U161" s="31" t="s">
        <x:v>276</x:v>
      </x:c>
      <x:c r="V161" s="33" t="s">
        <x:v>451</x:v>
      </x:c>
      <x:c r="W161" s="33"/>
      <x:c r="X161" s="33" t="s">
        <x:v>238</x:v>
      </x:c>
      <x:c r="Y161" s="36"/>
      <x:c r="Z161" s="36"/>
      <x:c r="AA161" s="33" t="s">
        <x:v>120</x:v>
      </x:c>
      <x:c r="AB161" s="37" t="n">
        <x:f>IFERROR(INDEX(Effort_Model!$J$6:$J$33,MATCH(K161&amp;"|"&amp;L161,Effort_Model!$B$6:$B$33,0)),"")</x:f>
        <x:v>18.4</x:v>
      </x:c>
      <x:c r="AC161" s="38">
        <x:v>207.4</x:v>
      </x:c>
      <x:c r="AD161" s="37">
        <x:f t="shared" si="2"/>
        <x:v>249.8</x:v>
      </x:c>
      <x:c r="AE161" s="37" t="n">
        <x:f>IFERROR(ROUND(IFERROR(INDEX(Scoring_Rules!$C$43:$C$44,MATCH(Q161,Scoring_Rules!$B$43:$B$44,0)),0)*Scoring_Rules!$C$6+IFERROR(INDEX(Scoring_Rules!$C$34:$C$40,MATCH(K161,Scoring_Rules!$B$34:$B$40,0)),0)*Scoring_Rules!$C$7+IFERROR(INDEX(Scoring_Rules!$C$16:$C$19,MATCH(P161,Scoring_Rules!$B$16:$B$19,0)),0)*Scoring_Rules!$C$8+IFERROR(INDEX(Scoring_Rules!$C$22:$C$25,MATCH(O161,Scoring_Rules!$B$22:$B$25,0)),0)*Scoring_Rules!$C$9+IFERROR(INDEX(Scoring_Rules!$C$47:$C$50,MATCH(X161,Scoring_Rules!$B$47:$B$50,0)),0)*Scoring_Rules!$C$10+IFERROR(INDEX(Scoring_Rules!$C$28:$C$31,MATCH(R161,Scoring_Rules!$B$28:$B$31,0)),0)*Scoring_Rules!$C$11,1),"")</x:f>
        <x:v>54.5</x:v>
      </x:c>
      <x:c r="AF161" s="35">
        <x:v>2</x:v>
      </x:c>
      <x:c r="AG161" s="33" t="s">
        <x:v>931</x:v>
      </x:c>
      <x:c r="AH161" s="36">
        <x:v>46310</x:v>
      </x:c>
      <x:c r="AI161" s="33" t="s">
        <x:v>127</x:v>
      </x:c>
      <x:c r="AJ161" s="34" t="s">
        <x:v>395</x:v>
      </x:c>
    </x:row>
    <x:row r="162" ht="34.5" customHeight="1">
      <x:c r="A162" s="31" t="s">
        <x:v>1013</x:v>
      </x:c>
      <x:c r="B162" s="31" t="s">
        <x:v>1014</x:v>
      </x:c>
      <x:c r="C162" s="31" t="s">
        <x:v>919</x:v>
      </x:c>
      <x:c r="D162" s="32" t="s">
        <x:v>1015</x:v>
      </x:c>
      <x:c r="E162" s="32" t="str">
        <x:v>Data Migration Only</x:v>
      </x:c>
      <x:c r="F162" s="33" t="s">
        <x:v>120</x:v>
      </x:c>
      <x:c r="G162" s="34" t="s">
        <x:v>928</x:v>
      </x:c>
      <x:c r="H162" s="33" t="s">
        <x:v>87</x:v>
      </x:c>
      <x:c r="I162" s="33" t="s">
        <x:v>922</x:v>
      </x:c>
      <x:c r="J162" s="33" t="s">
        <x:v>80</x:v>
      </x:c>
      <x:c r="K162" s="33" t="s">
        <x:v>58</x:v>
      </x:c>
      <x:c r="L162" s="33" t="s">
        <x:v>75</x:v>
      </x:c>
      <x:c r="M162" s="35">
        <x:v>28</x:v>
      </x:c>
      <x:c r="N162" s="35">
        <x:v>1177534</x:v>
      </x:c>
      <x:c r="O162" s="33" t="s">
        <x:v>103</x:v>
      </x:c>
      <x:c r="P162" s="33" t="s">
        <x:v>73</x:v>
      </x:c>
      <x:c r="Q162" s="33" t="s">
        <x:v>120</x:v>
      </x:c>
      <x:c r="R162" s="33" t="s">
        <x:v>101</x:v>
      </x:c>
      <x:c r="S162" s="31" t="s">
        <x:v>1016</x:v>
      </x:c>
      <x:c r="T162" s="31" t="s">
        <x:v>1017</x:v>
      </x:c>
      <x:c r="U162" s="31" t="s">
        <x:v>522</x:v>
      </x:c>
      <x:c r="V162" s="33" t="s">
        <x:v>365</x:v>
      </x:c>
      <x:c r="W162" s="33"/>
      <x:c r="X162" s="33" t="s">
        <x:v>238</x:v>
      </x:c>
      <x:c r="Y162" s="36"/>
      <x:c r="Z162" s="36"/>
      <x:c r="AA162" s="33" t="s">
        <x:v>120</x:v>
      </x:c>
      <x:c r="AB162" s="37" t="n">
        <x:f>IFERROR(INDEX(Effort_Model!$J$6:$J$33,MATCH(K162&amp;"|"&amp;L162,Effort_Model!$B$6:$B$33,0)),"")</x:f>
        <x:v>26.4</x:v>
      </x:c>
      <x:c r="AC162" s="38">
        <x:v>194.9</x:v>
      </x:c>
      <x:c r="AD162" s="37">
        <x:f t="shared" si="2"/>
        <x:v>260.23329999999999</x:v>
      </x:c>
      <x:c r="AE162" s="37" t="n">
        <x:f>IFERROR(ROUND(IFERROR(INDEX(Scoring_Rules!$C$43:$C$44,MATCH(Q162,Scoring_Rules!$B$43:$B$44,0)),0)*Scoring_Rules!$C$6+IFERROR(INDEX(Scoring_Rules!$C$34:$C$40,MATCH(K162,Scoring_Rules!$B$34:$B$40,0)),0)*Scoring_Rules!$C$7+IFERROR(INDEX(Scoring_Rules!$C$16:$C$19,MATCH(P162,Scoring_Rules!$B$16:$B$19,0)),0)*Scoring_Rules!$C$8+IFERROR(INDEX(Scoring_Rules!$C$22:$C$25,MATCH(O162,Scoring_Rules!$B$22:$B$25,0)),0)*Scoring_Rules!$C$9+IFERROR(INDEX(Scoring_Rules!$C$47:$C$50,MATCH(X162,Scoring_Rules!$B$47:$B$50,0)),0)*Scoring_Rules!$C$10+IFERROR(INDEX(Scoring_Rules!$C$28:$C$31,MATCH(R162,Scoring_Rules!$B$28:$B$31,0)),0)*Scoring_Rules!$C$11,1),"")</x:f>
        <x:v>48.8</x:v>
      </x:c>
      <x:c r="AF162" s="35">
        <x:v>6</x:v>
      </x:c>
      <x:c r="AG162" s="33" t="s">
        <x:v>937</x:v>
      </x:c>
      <x:c r="AH162" s="36">
        <x:v>46380</x:v>
      </x:c>
      <x:c r="AI162" s="33" t="s">
        <x:v>127</x:v>
      </x:c>
      <x:c r="AJ162" s="34"/>
    </x:row>
    <x:row r="163" ht="15" customHeight="1">
      <x:c r="A163" s="31" t="s">
        <x:v>1018</x:v>
      </x:c>
      <x:c r="B163" s="31" t="s">
        <x:v>1019</x:v>
      </x:c>
      <x:c r="C163" s="31" t="s">
        <x:v>919</x:v>
      </x:c>
      <x:c r="D163" s="32" t="s">
        <x:v>927</x:v>
      </x:c>
      <x:c r="E163" s="32" t="str">
        <x:v>Functional Migration Only</x:v>
      </x:c>
      <x:c r="F163" s="33" t="s">
        <x:v>118</x:v>
      </x:c>
      <x:c r="G163" s="34" t="s">
        <x:v>921</x:v>
      </x:c>
      <x:c r="H163" s="33" t="s">
        <x:v>87</x:v>
      </x:c>
      <x:c r="I163" s="33" t="s">
        <x:v>922</x:v>
      </x:c>
      <x:c r="J163" s="33" t="s">
        <x:v>82</x:v>
      </x:c>
      <x:c r="K163" s="33" t="s">
        <x:v>58</x:v>
      </x:c>
      <x:c r="L163" s="33" t="s">
        <x:v>73</x:v>
      </x:c>
      <x:c r="M163" s="35">
        <x:v>12</x:v>
      </x:c>
      <x:c r="N163" s="35">
        <x:v>587027</x:v>
      </x:c>
      <x:c r="O163" s="33" t="s">
        <x:v>103</x:v>
      </x:c>
      <x:c r="P163" s="33" t="s">
        <x:v>73</x:v>
      </x:c>
      <x:c r="Q163" s="33" t="s">
        <x:v>118</x:v>
      </x:c>
      <x:c r="R163" s="33" t="s">
        <x:v>101</x:v>
      </x:c>
      <x:c r="S163" s="31" t="s">
        <x:v>1020</x:v>
      </x:c>
      <x:c r="T163" s="31" t="s">
        <x:v>1021</x:v>
      </x:c>
      <x:c r="U163" s="31" t="s">
        <x:v>276</x:v>
      </x:c>
      <x:c r="V163" s="33" t="s">
        <x:v>323</x:v>
      </x:c>
      <x:c r="W163" s="33"/>
      <x:c r="X163" s="33" t="s">
        <x:v>238</x:v>
      </x:c>
      <x:c r="Y163" s="36">
        <x:v>46372</x:v>
      </x:c>
      <x:c r="Z163" s="36"/>
      <x:c r="AA163" s="33" t="s">
        <x:v>120</x:v>
      </x:c>
      <x:c r="AB163" s="37" t="n">
        <x:f>IFERROR(INDEX(Effort_Model!$J$6:$J$33,MATCH(K163&amp;"|"&amp;L163,Effort_Model!$B$6:$B$33,0)),"")</x:f>
        <x:v>26.4</x:v>
      </x:c>
      <x:c r="AC163" s="38">
        <x:v>242.6</x:v>
      </x:c>
      <x:c r="AD163" s="37">
        <x:f t="shared" si="2"/>
        <x:v>287.60000000000002</x:v>
      </x:c>
      <x:c r="AE163" s="37" t="n">
        <x:f>IFERROR(ROUND(IFERROR(INDEX(Scoring_Rules!$C$43:$C$44,MATCH(Q163,Scoring_Rules!$B$43:$B$44,0)),0)*Scoring_Rules!$C$6+IFERROR(INDEX(Scoring_Rules!$C$34:$C$40,MATCH(K163,Scoring_Rules!$B$34:$B$40,0)),0)*Scoring_Rules!$C$7+IFERROR(INDEX(Scoring_Rules!$C$16:$C$19,MATCH(P163,Scoring_Rules!$B$16:$B$19,0)),0)*Scoring_Rules!$C$8+IFERROR(INDEX(Scoring_Rules!$C$22:$C$25,MATCH(O163,Scoring_Rules!$B$22:$B$25,0)),0)*Scoring_Rules!$C$9+IFERROR(INDEX(Scoring_Rules!$C$47:$C$50,MATCH(X163,Scoring_Rules!$B$47:$B$50,0)),0)*Scoring_Rules!$C$10+IFERROR(INDEX(Scoring_Rules!$C$28:$C$31,MATCH(R163,Scoring_Rules!$B$28:$B$31,0)),0)*Scoring_Rules!$C$11,1),"")</x:f>
        <x:v>73.8</x:v>
      </x:c>
      <x:c r="AF163" s="35">
        <x:v>2</x:v>
      </x:c>
      <x:c r="AG163" s="33" t="s">
        <x:v>941</x:v>
      </x:c>
      <x:c r="AH163" s="36">
        <x:v>46312</x:v>
      </x:c>
      <x:c r="AI163" s="33" t="s">
        <x:v>124</x:v>
      </x:c>
      <x:c r="AJ163" s="34"/>
    </x:row>
    <x:row r="164" ht="15" customHeight="1">
      <x:c r="A164" s="31" t="s">
        <x:v>1022</x:v>
      </x:c>
      <x:c r="B164" s="31" t="s">
        <x:v>1023</x:v>
      </x:c>
      <x:c r="C164" s="31" t="s">
        <x:v>919</x:v>
      </x:c>
      <x:c r="D164" s="32" t="s">
        <x:v>1024</x:v>
      </x:c>
      <x:c r="E164" s="32" t="str">
        <x:v>Functional Migration Only</x:v>
      </x:c>
      <x:c r="F164" s="33" t="s">
        <x:v>118</x:v>
      </x:c>
      <x:c r="G164" s="34" t="s">
        <x:v>928</x:v>
      </x:c>
      <x:c r="H164" s="33" t="s">
        <x:v>87</x:v>
      </x:c>
      <x:c r="I164" s="33" t="s">
        <x:v>922</x:v>
      </x:c>
      <x:c r="J164" s="33" t="s">
        <x:v>82</x:v>
      </x:c>
      <x:c r="K164" s="33" t="s">
        <x:v>60</x:v>
      </x:c>
      <x:c r="L164" s="33" t="s">
        <x:v>75</x:v>
      </x:c>
      <x:c r="M164" s="35">
        <x:v>41</x:v>
      </x:c>
      <x:c r="N164" s="35">
        <x:v>6511574</x:v>
      </x:c>
      <x:c r="O164" s="33" t="s">
        <x:v>98</x:v>
      </x:c>
      <x:c r="P164" s="33" t="s">
        <x:v>101</x:v>
      </x:c>
      <x:c r="Q164" s="33" t="s">
        <x:v>120</x:v>
      </x:c>
      <x:c r="R164" s="33" t="s">
        <x:v>73</x:v>
      </x:c>
      <x:c r="S164" s="31" t="s">
        <x:v>1025</x:v>
      </x:c>
      <x:c r="T164" s="31" t="s">
        <x:v>1026</x:v>
      </x:c>
      <x:c r="U164" s="31" t="s">
        <x:v>276</x:v>
      </x:c>
      <x:c r="V164" s="33" t="s">
        <x:v>444</x:v>
      </x:c>
      <x:c r="W164" s="33"/>
      <x:c r="X164" s="33" t="s">
        <x:v>238</x:v>
      </x:c>
      <x:c r="Y164" s="36"/>
      <x:c r="Z164" s="36"/>
      <x:c r="AA164" s="33" t="s">
        <x:v>120</x:v>
      </x:c>
      <x:c r="AB164" s="37" t="n">
        <x:f>IFERROR(INDEX(Effort_Model!$J$6:$J$33,MATCH(K164&amp;"|"&amp;L164,Effort_Model!$B$6:$B$33,0)),"")</x:f>
        <x:v>42.4</x:v>
      </x:c>
      <x:c r="AC164" s="38">
        <x:v>597</x:v>
      </x:c>
      <x:c r="AD164" s="37">
        <x:f t="shared" si="2"/>
        <x:v>710.33330000000001</x:v>
      </x:c>
      <x:c r="AE164" s="37" t="n">
        <x:f>IFERROR(ROUND(IFERROR(INDEX(Scoring_Rules!$C$43:$C$44,MATCH(Q164,Scoring_Rules!$B$43:$B$44,0)),0)*Scoring_Rules!$C$6+IFERROR(INDEX(Scoring_Rules!$C$34:$C$40,MATCH(K164,Scoring_Rules!$B$34:$B$40,0)),0)*Scoring_Rules!$C$7+IFERROR(INDEX(Scoring_Rules!$C$16:$C$19,MATCH(P164,Scoring_Rules!$B$16:$B$19,0)),0)*Scoring_Rules!$C$8+IFERROR(INDEX(Scoring_Rules!$C$22:$C$25,MATCH(O164,Scoring_Rules!$B$22:$B$25,0)),0)*Scoring_Rules!$C$9+IFERROR(INDEX(Scoring_Rules!$C$47:$C$50,MATCH(X164,Scoring_Rules!$B$47:$B$50,0)),0)*Scoring_Rules!$C$10+IFERROR(INDEX(Scoring_Rules!$C$28:$C$31,MATCH(R164,Scoring_Rules!$B$28:$B$31,0)),0)*Scoring_Rules!$C$11,1),"")</x:f>
        <x:v>55.5</x:v>
      </x:c>
      <x:c r="AF164" s="35">
        <x:v>5</x:v>
      </x:c>
      <x:c r="AG164" s="33" t="s">
        <x:v>924</x:v>
      </x:c>
      <x:c r="AH164" s="36">
        <x:v>46306</x:v>
      </x:c>
      <x:c r="AI164" s="33" t="s">
        <x:v>125</x:v>
      </x:c>
      <x:c r="AJ164" s="34" t="s">
        <x:v>312</x:v>
      </x:c>
    </x:row>
    <x:row r="165" ht="68.25" customHeight="1">
      <x:c r="A165" s="31" t="s">
        <x:v>1027</x:v>
      </x:c>
      <x:c r="B165" s="31" t="s">
        <x:v>1028</x:v>
      </x:c>
      <x:c r="C165" s="31" t="s">
        <x:v>919</x:v>
      </x:c>
      <x:c r="D165" s="32" t="s">
        <x:v>1029</x:v>
      </x:c>
      <x:c r="E165" s="32" t="str">
        <x:v>Functional Migration Only</x:v>
      </x:c>
      <x:c r="F165" s="33" t="s">
        <x:v>118</x:v>
      </x:c>
      <x:c r="G165" s="34" t="s">
        <x:v>973</x:v>
      </x:c>
      <x:c r="H165" s="33" t="s">
        <x:v>87</x:v>
      </x:c>
      <x:c r="I165" s="33" t="s">
        <x:v>922</x:v>
      </x:c>
      <x:c r="J165" s="33" t="s">
        <x:v>82</x:v>
      </x:c>
      <x:c r="K165" s="33" t="s">
        <x:v>62</x:v>
      </x:c>
      <x:c r="L165" s="33" t="s">
        <x:v>71</x:v>
      </x:c>
      <x:c r="M165" s="35">
        <x:v>59</x:v>
      </x:c>
      <x:c r="N165" s="35">
        <x:v>81094929</x:v>
      </x:c>
      <x:c r="O165" s="33" t="s">
        <x:v>73</x:v>
      </x:c>
      <x:c r="P165" s="33" t="s">
        <x:v>101</x:v>
      </x:c>
      <x:c r="Q165" s="33" t="s">
        <x:v>120</x:v>
      </x:c>
      <x:c r="R165" s="33" t="s">
        <x:v>101</x:v>
      </x:c>
      <x:c r="S165" s="31" t="s">
        <x:v>1030</x:v>
      </x:c>
      <x:c r="T165" s="31" t="s">
        <x:v>1031</x:v>
      </x:c>
      <x:c r="U165" s="31" t="s">
        <x:v>276</x:v>
      </x:c>
      <x:c r="V165" s="33" t="s">
        <x:v>303</x:v>
      </x:c>
      <x:c r="W165" s="33"/>
      <x:c r="X165" s="33" t="s">
        <x:v>238</x:v>
      </x:c>
      <x:c r="Y165" s="36"/>
      <x:c r="Z165" s="36"/>
      <x:c r="AA165" s="33" t="s">
        <x:v>120</x:v>
      </x:c>
      <x:c r="AB165" s="37" t="n">
        <x:f>IFERROR(INDEX(Effort_Model!$J$6:$J$33,MATCH(K165&amp;"|"&amp;L165,Effort_Model!$B$6:$B$33,0)),"")</x:f>
        <x:v>18.4</x:v>
      </x:c>
      <x:c r="AC165" s="38">
        <x:v>557.70000000000005</x:v>
      </x:c>
      <x:c r="AD165" s="37">
        <x:f t="shared" si="2"/>
        <x:v>632.1</x:v>
      </x:c>
      <x:c r="AE165" s="37" t="n">
        <x:f>IFERROR(ROUND(IFERROR(INDEX(Scoring_Rules!$C$43:$C$44,MATCH(Q165,Scoring_Rules!$B$43:$B$44,0)),0)*Scoring_Rules!$C$6+IFERROR(INDEX(Scoring_Rules!$C$34:$C$40,MATCH(K165,Scoring_Rules!$B$34:$B$40,0)),0)*Scoring_Rules!$C$7+IFERROR(INDEX(Scoring_Rules!$C$16:$C$19,MATCH(P165,Scoring_Rules!$B$16:$B$19,0)),0)*Scoring_Rules!$C$8+IFERROR(INDEX(Scoring_Rules!$C$22:$C$25,MATCH(O165,Scoring_Rules!$B$22:$B$25,0)),0)*Scoring_Rules!$C$9+IFERROR(INDEX(Scoring_Rules!$C$47:$C$50,MATCH(X165,Scoring_Rules!$B$47:$B$50,0)),0)*Scoring_Rules!$C$10+IFERROR(INDEX(Scoring_Rules!$C$28:$C$31,MATCH(R165,Scoring_Rules!$B$28:$B$31,0)),0)*Scoring_Rules!$C$11,1),"")</x:f>
        <x:v>45.3</x:v>
      </x:c>
      <x:c r="AF165" s="35">
        <x:v>3</x:v>
      </x:c>
      <x:c r="AG165" s="33" t="s">
        <x:v>931</x:v>
      </x:c>
      <x:c r="AH165" s="36">
        <x:v>46356</x:v>
      </x:c>
      <x:c r="AI165" s="33" t="s">
        <x:v>127</x:v>
      </x:c>
      <x:c r="AJ165" s="34" t="s">
        <x:v>342</x:v>
      </x:c>
    </x:row>
    <x:row r="166" ht="15" customHeight="1">
      <x:c r="A166" s="31" t="s">
        <x:v>1032</x:v>
      </x:c>
      <x:c r="B166" s="31" t="s">
        <x:v>1033</x:v>
      </x:c>
      <x:c r="C166" s="31" t="s">
        <x:v>919</x:v>
      </x:c>
      <x:c r="D166" s="32" t="s">
        <x:v>927</x:v>
      </x:c>
      <x:c r="E166" s="32" t="str">
        <x:v>Data Migration Only</x:v>
      </x:c>
      <x:c r="F166" s="33" t="s">
        <x:v>118</x:v>
      </x:c>
      <x:c r="G166" s="34" t="s">
        <x:v>973</x:v>
      </x:c>
      <x:c r="H166" s="33" t="s">
        <x:v>87</x:v>
      </x:c>
      <x:c r="I166" s="33" t="s">
        <x:v>922</x:v>
      </x:c>
      <x:c r="J166" s="33" t="s">
        <x:v>80</x:v>
      </x:c>
      <x:c r="K166" s="33" t="s">
        <x:v>60</x:v>
      </x:c>
      <x:c r="L166" s="33" t="s">
        <x:v>73</x:v>
      </x:c>
      <x:c r="M166" s="35">
        <x:v>41</x:v>
      </x:c>
      <x:c r="N166" s="35">
        <x:v>6284069</x:v>
      </x:c>
      <x:c r="O166" s="33" t="s">
        <x:v>98</x:v>
      </x:c>
      <x:c r="P166" s="33" t="s">
        <x:v>73</x:v>
      </x:c>
      <x:c r="Q166" s="33" t="s">
        <x:v>120</x:v>
      </x:c>
      <x:c r="R166" s="33" t="s">
        <x:v>73</x:v>
      </x:c>
      <x:c r="S166" s="31" t="s">
        <x:v>1034</x:v>
      </x:c>
      <x:c r="T166" s="31" t="s">
        <x:v>1035</x:v>
      </x:c>
      <x:c r="U166" s="31" t="s">
        <x:v>276</x:v>
      </x:c>
      <x:c r="V166" s="33" t="s">
        <x:v>365</x:v>
      </x:c>
      <x:c r="W166" s="33" t="s">
        <x:v>953</x:v>
      </x:c>
      <x:c r="X166" s="33" t="s">
        <x:v>239</x:v>
      </x:c>
      <x:c r="Y166" s="36"/>
      <x:c r="Z166" s="36"/>
      <x:c r="AA166" s="33" t="s">
        <x:v>120</x:v>
      </x:c>
      <x:c r="AB166" s="37" t="n">
        <x:f>IFERROR(INDEX(Effort_Model!$J$6:$J$33,MATCH(K166&amp;"|"&amp;L166,Effort_Model!$B$6:$B$33,0)),"")</x:f>
        <x:v>42.4</x:v>
      </x:c>
      <x:c r="AC166" s="38">
        <x:v>269.10000000000002</x:v>
      </x:c>
      <x:c r="AD166" s="37">
        <x:f t="shared" si="2"/>
        <x:v>346.1</x:v>
      </x:c>
      <x:c r="AE166" s="37" t="n">
        <x:f>IFERROR(ROUND(IFERROR(INDEX(Scoring_Rules!$C$43:$C$44,MATCH(Q166,Scoring_Rules!$B$43:$B$44,0)),0)*Scoring_Rules!$C$6+IFERROR(INDEX(Scoring_Rules!$C$34:$C$40,MATCH(K166,Scoring_Rules!$B$34:$B$40,0)),0)*Scoring_Rules!$C$7+IFERROR(INDEX(Scoring_Rules!$C$16:$C$19,MATCH(P166,Scoring_Rules!$B$16:$B$19,0)),0)*Scoring_Rules!$C$8+IFERROR(INDEX(Scoring_Rules!$C$22:$C$25,MATCH(O166,Scoring_Rules!$B$22:$B$25,0)),0)*Scoring_Rules!$C$9+IFERROR(INDEX(Scoring_Rules!$C$47:$C$50,MATCH(X166,Scoring_Rules!$B$47:$B$50,0)),0)*Scoring_Rules!$C$10+IFERROR(INDEX(Scoring_Rules!$C$28:$C$31,MATCH(R166,Scoring_Rules!$B$28:$B$31,0)),0)*Scoring_Rules!$C$11,1),"")</x:f>
        <x:v>58</x:v>
      </x:c>
      <x:c r="AF166" s="35">
        <x:v>3</x:v>
      </x:c>
      <x:c r="AG166" s="33" t="s">
        <x:v>937</x:v>
      </x:c>
      <x:c r="AH166" s="36">
        <x:v>46405</x:v>
      </x:c>
      <x:c r="AI166" s="33" t="s">
        <x:v>126</x:v>
      </x:c>
      <x:c r="AJ166" s="34"/>
    </x:row>
    <x:row r="167" ht="15" customHeight="1">
      <x:c r="A167" s="31" t="s">
        <x:v>1036</x:v>
      </x:c>
      <x:c r="B167" s="31" t="s">
        <x:v>1037</x:v>
      </x:c>
      <x:c r="C167" s="31" t="s">
        <x:v>919</x:v>
      </x:c>
      <x:c r="D167" s="32" t="s">
        <x:v>927</x:v>
      </x:c>
      <x:c r="E167" s="32" t="str">
        <x:v>Functional Migration Only</x:v>
      </x:c>
      <x:c r="F167" s="33" t="s">
        <x:v>120</x:v>
      </x:c>
      <x:c r="G167" s="34" t="s">
        <x:v>945</x:v>
      </x:c>
      <x:c r="H167" s="33" t="s">
        <x:v>87</x:v>
      </x:c>
      <x:c r="I167" s="33" t="s">
        <x:v>922</x:v>
      </x:c>
      <x:c r="J167" s="33" t="s">
        <x:v>82</x:v>
      </x:c>
      <x:c r="K167" s="33" t="s">
        <x:v>60</x:v>
      </x:c>
      <x:c r="L167" s="33" t="s">
        <x:v>73</x:v>
      </x:c>
      <x:c r="M167" s="35">
        <x:v>41</x:v>
      </x:c>
      <x:c r="N167" s="35">
        <x:v>4955146</x:v>
      </x:c>
      <x:c r="O167" s="33" t="s">
        <x:v>98</x:v>
      </x:c>
      <x:c r="P167" s="33" t="s">
        <x:v>73</x:v>
      </x:c>
      <x:c r="Q167" s="33" t="s">
        <x:v>120</x:v>
      </x:c>
      <x:c r="R167" s="33" t="s">
        <x:v>73</x:v>
      </x:c>
      <x:c r="S167" s="31" t="s">
        <x:v>449</x:v>
      </x:c>
      <x:c r="T167" s="31" t="s">
        <x:v>1038</x:v>
      </x:c>
      <x:c r="U167" s="31" t="s">
        <x:v>276</x:v>
      </x:c>
      <x:c r="V167" s="33" t="s">
        <x:v>303</x:v>
      </x:c>
      <x:c r="W167" s="33"/>
      <x:c r="X167" s="33" t="s">
        <x:v>238</x:v>
      </x:c>
      <x:c r="Y167" s="36">
        <x:v>46321</x:v>
      </x:c>
      <x:c r="Z167" s="36"/>
      <x:c r="AA167" s="33" t="s">
        <x:v>120</x:v>
      </x:c>
      <x:c r="AB167" s="37" t="n">
        <x:f>IFERROR(INDEX(Effort_Model!$J$6:$J$33,MATCH(K167&amp;"|"&amp;L167,Effort_Model!$B$6:$B$33,0)),"")</x:f>
        <x:v>42.4</x:v>
      </x:c>
      <x:c r="AC167" s="38">
        <x:v>417.5</x:v>
      </x:c>
      <x:c r="AD167" s="37">
        <x:f t="shared" si="2"/>
        <x:v>494.5</x:v>
      </x:c>
      <x:c r="AE167" s="37" t="n">
        <x:f>IFERROR(ROUND(IFERROR(INDEX(Scoring_Rules!$C$43:$C$44,MATCH(Q167,Scoring_Rules!$B$43:$B$44,0)),0)*Scoring_Rules!$C$6+IFERROR(INDEX(Scoring_Rules!$C$34:$C$40,MATCH(K167,Scoring_Rules!$B$34:$B$40,0)),0)*Scoring_Rules!$C$7+IFERROR(INDEX(Scoring_Rules!$C$16:$C$19,MATCH(P167,Scoring_Rules!$B$16:$B$19,0)),0)*Scoring_Rules!$C$8+IFERROR(INDEX(Scoring_Rules!$C$22:$C$25,MATCH(O167,Scoring_Rules!$B$22:$B$25,0)),0)*Scoring_Rules!$C$9+IFERROR(INDEX(Scoring_Rules!$C$47:$C$50,MATCH(X167,Scoring_Rules!$B$47:$B$50,0)),0)*Scoring_Rules!$C$10+IFERROR(INDEX(Scoring_Rules!$C$28:$C$31,MATCH(R167,Scoring_Rules!$B$28:$B$31,0)),0)*Scoring_Rules!$C$11,1),"")</x:f>
        <x:v>62.5</x:v>
      </x:c>
      <x:c r="AF167" s="35">
        <x:v>2</x:v>
      </x:c>
      <x:c r="AG167" s="33" t="s">
        <x:v>941</x:v>
      </x:c>
      <x:c r="AH167" s="36">
        <x:v>46409</x:v>
      </x:c>
      <x:c r="AI167" s="33" t="s">
        <x:v>127</x:v>
      </x:c>
      <x:c r="AJ167" s="34" t="s">
        <x:v>342</x:v>
      </x:c>
    </x:row>
    <x:row r="168" ht="23.25" customHeight="1">
      <x:c r="A168" s="31" t="s">
        <x:v>1039</x:v>
      </x:c>
      <x:c r="B168" s="31" t="s">
        <x:v>1040</x:v>
      </x:c>
      <x:c r="C168" s="31" t="s">
        <x:v>919</x:v>
      </x:c>
      <x:c r="D168" s="32" t="s">
        <x:v>754</x:v>
      </x:c>
      <x:c r="E168" s="32" t="str">
        <x:v>Data Migration Only</x:v>
      </x:c>
      <x:c r="F168" s="33" t="s">
        <x:v>118</x:v>
      </x:c>
      <x:c r="G168" s="34" t="s">
        <x:v>561</x:v>
      </x:c>
      <x:c r="H168" s="33" t="s">
        <x:v>89</x:v>
      </x:c>
      <x:c r="I168" s="33" t="s">
        <x:v>922</x:v>
      </x:c>
      <x:c r="J168" s="33" t="s">
        <x:v>80</x:v>
      </x:c>
      <x:c r="K168" s="33" t="s">
        <x:v>60</x:v>
      </x:c>
      <x:c r="L168" s="33" t="s">
        <x:v>71</x:v>
      </x:c>
      <x:c r="M168" s="35">
        <x:v>30</x:v>
      </x:c>
      <x:c r="N168" s="35">
        <x:v>6458519</x:v>
      </x:c>
      <x:c r="O168" s="33" t="s">
        <x:v>98</x:v>
      </x:c>
      <x:c r="P168" s="33" t="s">
        <x:v>98</x:v>
      </x:c>
      <x:c r="Q168" s="33" t="s">
        <x:v>120</x:v>
      </x:c>
      <x:c r="R168" s="33" t="s">
        <x:v>101</x:v>
      </x:c>
      <x:c r="S168" s="31" t="s">
        <x:v>526</x:v>
      </x:c>
      <x:c r="T168" s="31" t="s">
        <x:v>1041</x:v>
      </x:c>
      <x:c r="U168" s="31" t="s">
        <x:v>276</x:v>
      </x:c>
      <x:c r="V168" s="33" t="s">
        <x:v>277</x:v>
      </x:c>
      <x:c r="W168" s="33"/>
      <x:c r="X168" s="33" t="s">
        <x:v>238</x:v>
      </x:c>
      <x:c r="Y168" s="36"/>
      <x:c r="Z168" s="36"/>
      <x:c r="AA168" s="33" t="s">
        <x:v>120</x:v>
      </x:c>
      <x:c r="AB168" s="37" t="n">
        <x:f>IFERROR(INDEX(Effort_Model!$J$6:$J$33,MATCH(K168&amp;"|"&amp;L168,Effort_Model!$B$6:$B$33,0)),"")</x:f>
        <x:v>18.4</x:v>
      </x:c>
      <x:c r="AC168" s="38">
        <x:v>199.7</x:v>
      </x:c>
      <x:c r="AD168" s="37">
        <x:f t="shared" si="2"/>
        <x:v>242.1</x:v>
      </x:c>
      <x:c r="AE168" s="37" t="n">
        <x:f>IFERROR(ROUND(IFERROR(INDEX(Scoring_Rules!$C$43:$C$44,MATCH(Q168,Scoring_Rules!$B$43:$B$44,0)),0)*Scoring_Rules!$C$6+IFERROR(INDEX(Scoring_Rules!$C$34:$C$40,MATCH(K168,Scoring_Rules!$B$34:$B$40,0)),0)*Scoring_Rules!$C$7+IFERROR(INDEX(Scoring_Rules!$C$16:$C$19,MATCH(P168,Scoring_Rules!$B$16:$B$19,0)),0)*Scoring_Rules!$C$8+IFERROR(INDEX(Scoring_Rules!$C$22:$C$25,MATCH(O168,Scoring_Rules!$B$22:$B$25,0)),0)*Scoring_Rules!$C$9+IFERROR(INDEX(Scoring_Rules!$C$47:$C$50,MATCH(X168,Scoring_Rules!$B$47:$B$50,0)),0)*Scoring_Rules!$C$10+IFERROR(INDEX(Scoring_Rules!$C$28:$C$31,MATCH(R168,Scoring_Rules!$B$28:$B$31,0)),0)*Scoring_Rules!$C$11,1),"")</x:f>
        <x:v>66.8</x:v>
      </x:c>
      <x:c r="AF168" s="35"/>
      <x:c r="AG168" s="33" t="s">
        <x:v>924</x:v>
      </x:c>
      <x:c r="AH168" s="36">
        <x:v>46335</x:v>
      </x:c>
      <x:c r="AI168" s="33" t="s">
        <x:v>127</x:v>
      </x:c>
      <x:c r="AJ168" s="34" t="s">
        <x:v>395</x:v>
      </x:c>
    </x:row>
    <x:row r="169" ht="23.25" customHeight="1">
      <x:c r="A169" s="31" t="s">
        <x:v>1042</x:v>
      </x:c>
      <x:c r="B169" s="31" t="s">
        <x:v>1043</x:v>
      </x:c>
      <x:c r="C169" s="31" t="s">
        <x:v>919</x:v>
      </x:c>
      <x:c r="D169" s="32" t="s">
        <x:v>754</x:v>
      </x:c>
      <x:c r="E169" s="32" t="str">
        <x:v>Functional Migration Only</x:v>
      </x:c>
      <x:c r="F169" s="33" t="s">
        <x:v>118</x:v>
      </x:c>
      <x:c r="G169" s="34" t="s">
        <x:v>928</x:v>
      </x:c>
      <x:c r="H169" s="33" t="s">
        <x:v>87</x:v>
      </x:c>
      <x:c r="I169" s="33" t="s">
        <x:v>922</x:v>
      </x:c>
      <x:c r="J169" s="33" t="s">
        <x:v>82</x:v>
      </x:c>
      <x:c r="K169" s="33" t="s">
        <x:v>62</x:v>
      </x:c>
      <x:c r="L169" s="33" t="s">
        <x:v>73</x:v>
      </x:c>
      <x:c r="M169" s="35">
        <x:v>56</x:v>
      </x:c>
      <x:c r="N169" s="35">
        <x:v>96669801</x:v>
      </x:c>
      <x:c r="O169" s="33" t="s">
        <x:v>73</x:v>
      </x:c>
      <x:c r="P169" s="33" t="s">
        <x:v>98</x:v>
      </x:c>
      <x:c r="Q169" s="33" t="s">
        <x:v>120</x:v>
      </x:c>
      <x:c r="R169" s="33" t="s">
        <x:v>73</x:v>
      </x:c>
      <x:c r="S169" s="31" t="s">
        <x:v>526</x:v>
      </x:c>
      <x:c r="T169" s="31" t="s">
        <x:v>1044</x:v>
      </x:c>
      <x:c r="U169" s="31" t="s">
        <x:v>276</x:v>
      </x:c>
      <x:c r="V169" s="33" t="s">
        <x:v>329</x:v>
      </x:c>
      <x:c r="W169" s="33"/>
      <x:c r="X169" s="33" t="s">
        <x:v>238</x:v>
      </x:c>
      <x:c r="Y169" s="36"/>
      <x:c r="Z169" s="36"/>
      <x:c r="AA169" s="33" t="s">
        <x:v>120</x:v>
      </x:c>
      <x:c r="AB169" s="37" t="n">
        <x:f>IFERROR(INDEX(Effort_Model!$J$6:$J$33,MATCH(K169&amp;"|"&amp;L169,Effort_Model!$B$6:$B$33,0)),"")</x:f>
        <x:v>74.4</x:v>
      </x:c>
      <x:c r="AC169" s="38">
        <x:v>698.9</x:v>
      </x:c>
      <x:c r="AD169" s="37">
        <x:f t="shared" si="2"/>
        <x:v>839.9</x:v>
      </x:c>
      <x:c r="AE169" s="37" t="n">
        <x:f>IFERROR(ROUND(IFERROR(INDEX(Scoring_Rules!$C$43:$C$44,MATCH(Q169,Scoring_Rules!$B$43:$B$44,0)),0)*Scoring_Rules!$C$6+IFERROR(INDEX(Scoring_Rules!$C$34:$C$40,MATCH(K169,Scoring_Rules!$B$34:$B$40,0)),0)*Scoring_Rules!$C$7+IFERROR(INDEX(Scoring_Rules!$C$16:$C$19,MATCH(P169,Scoring_Rules!$B$16:$B$19,0)),0)*Scoring_Rules!$C$8+IFERROR(INDEX(Scoring_Rules!$C$22:$C$25,MATCH(O169,Scoring_Rules!$B$22:$B$25,0)),0)*Scoring_Rules!$C$9+IFERROR(INDEX(Scoring_Rules!$C$47:$C$50,MATCH(X169,Scoring_Rules!$B$47:$B$50,0)),0)*Scoring_Rules!$C$10+IFERROR(INDEX(Scoring_Rules!$C$28:$C$31,MATCH(R169,Scoring_Rules!$B$28:$B$31,0)),0)*Scoring_Rules!$C$11,1),"")</x:f>
        <x:v>60</x:v>
      </x:c>
      <x:c r="AF169" s="35">
        <x:v>3</x:v>
      </x:c>
      <x:c r="AG169" s="33" t="s">
        <x:v>931</x:v>
      </x:c>
      <x:c r="AH169" s="36">
        <x:v>46308</x:v>
      </x:c>
      <x:c r="AI169" s="33" t="s">
        <x:v>127</x:v>
      </x:c>
      <x:c r="AJ169" s="34"/>
    </x:row>
    <x:row r="170" ht="15" customHeight="1">
      <x:c r="A170" s="31" t="s">
        <x:v>1045</x:v>
      </x:c>
      <x:c r="B170" s="31" t="s">
        <x:v>1046</x:v>
      </x:c>
      <x:c r="C170" s="31" t="s">
        <x:v>919</x:v>
      </x:c>
      <x:c r="D170" s="32" t="s">
        <x:v>1047</x:v>
      </x:c>
      <x:c r="E170" s="32" t="str">
        <x:v>Data Migration Only</x:v>
      </x:c>
      <x:c r="F170" s="33" t="s">
        <x:v>118</x:v>
      </x:c>
      <x:c r="G170" s="34" t="s">
        <x:v>950</x:v>
      </x:c>
      <x:c r="H170" s="33" t="s">
        <x:v>89</x:v>
      </x:c>
      <x:c r="I170" s="33" t="s">
        <x:v>922</x:v>
      </x:c>
      <x:c r="J170" s="33" t="s">
        <x:v>80</x:v>
      </x:c>
      <x:c r="K170" s="33" t="s">
        <x:v>60</x:v>
      </x:c>
      <x:c r="L170" s="33" t="s">
        <x:v>75</x:v>
      </x:c>
      <x:c r="M170" s="35">
        <x:v>38</x:v>
      </x:c>
      <x:c r="N170" s="35">
        <x:v>5624478</x:v>
      </x:c>
      <x:c r="O170" s="33" t="s">
        <x:v>73</x:v>
      </x:c>
      <x:c r="P170" s="33" t="s">
        <x:v>73</x:v>
      </x:c>
      <x:c r="Q170" s="33" t="s">
        <x:v>120</x:v>
      </x:c>
      <x:c r="R170" s="33" t="s">
        <x:v>101</x:v>
      </x:c>
      <x:c r="S170" s="31" t="s">
        <x:v>1048</x:v>
      </x:c>
      <x:c r="T170" s="31" t="s">
        <x:v>1049</x:v>
      </x:c>
      <x:c r="U170" s="31" t="s">
        <x:v>276</x:v>
      </x:c>
      <x:c r="V170" s="33" t="s">
        <x:v>303</x:v>
      </x:c>
      <x:c r="W170" s="33" t="s">
        <x:v>1050</x:v>
      </x:c>
      <x:c r="X170" s="33" t="s">
        <x:v>239</x:v>
      </x:c>
      <x:c r="Y170" s="36">
        <x:v>46309</x:v>
      </x:c>
      <x:c r="Z170" s="36"/>
      <x:c r="AA170" s="33" t="s">
        <x:v>120</x:v>
      </x:c>
      <x:c r="AB170" s="37" t="n">
        <x:f>IFERROR(INDEX(Effort_Model!$J$6:$J$33,MATCH(K170&amp;"|"&amp;L170,Effort_Model!$B$6:$B$33,0)),"")</x:f>
        <x:v>42.4</x:v>
      </x:c>
      <x:c r="AC170" s="38">
        <x:v>382.8</x:v>
      </x:c>
      <x:c r="AD170" s="37">
        <x:f t="shared" si="2"/>
        <x:v>496.13330000000002</x:v>
      </x:c>
      <x:c r="AE170" s="37" t="n">
        <x:f>IFERROR(ROUND(IFERROR(INDEX(Scoring_Rules!$C$43:$C$44,MATCH(Q170,Scoring_Rules!$B$43:$B$44,0)),0)*Scoring_Rules!$C$6+IFERROR(INDEX(Scoring_Rules!$C$34:$C$40,MATCH(K170,Scoring_Rules!$B$34:$B$40,0)),0)*Scoring_Rules!$C$7+IFERROR(INDEX(Scoring_Rules!$C$16:$C$19,MATCH(P170,Scoring_Rules!$B$16:$B$19,0)),0)*Scoring_Rules!$C$8+IFERROR(INDEX(Scoring_Rules!$C$22:$C$25,MATCH(O170,Scoring_Rules!$B$22:$B$25,0)),0)*Scoring_Rules!$C$9+IFERROR(INDEX(Scoring_Rules!$C$47:$C$50,MATCH(X170,Scoring_Rules!$B$47:$B$50,0)),0)*Scoring_Rules!$C$10+IFERROR(INDEX(Scoring_Rules!$C$28:$C$31,MATCH(R170,Scoring_Rules!$B$28:$B$31,0)),0)*Scoring_Rules!$C$11,1),"")</x:f>
        <x:v>51.8</x:v>
      </x:c>
      <x:c r="AF170" s="35"/>
      <x:c r="AG170" s="33" t="s">
        <x:v>937</x:v>
      </x:c>
      <x:c r="AH170" s="36">
        <x:v>46353</x:v>
      </x:c>
      <x:c r="AI170" s="33" t="s">
        <x:v>127</x:v>
      </x:c>
      <x:c r="AJ170" s="34" t="s">
        <x:v>342</x:v>
      </x:c>
    </x:row>
    <x:row r="171" ht="15" customHeight="1">
      <x:c r="A171" s="31" t="s">
        <x:v>1051</x:v>
      </x:c>
      <x:c r="B171" s="31" t="s">
        <x:v>1052</x:v>
      </x:c>
      <x:c r="C171" s="31" t="s">
        <x:v>919</x:v>
      </x:c>
      <x:c r="D171" s="32" t="s">
        <x:v>1047</x:v>
      </x:c>
      <x:c r="E171" s="32" t="str">
        <x:v>Functional Migration Only</x:v>
      </x:c>
      <x:c r="F171" s="33" t="s">
        <x:v>118</x:v>
      </x:c>
      <x:c r="G171" s="34" t="s">
        <x:v>928</x:v>
      </x:c>
      <x:c r="H171" s="33" t="s">
        <x:v>87</x:v>
      </x:c>
      <x:c r="I171" s="33" t="s">
        <x:v>922</x:v>
      </x:c>
      <x:c r="J171" s="33" t="s">
        <x:v>82</x:v>
      </x:c>
      <x:c r="K171" s="33" t="s">
        <x:v>60</x:v>
      </x:c>
      <x:c r="L171" s="33" t="s">
        <x:v>77</x:v>
      </x:c>
      <x:c r="M171" s="35">
        <x:v>36</x:v>
      </x:c>
      <x:c r="N171" s="35">
        <x:v>4372668</x:v>
      </x:c>
      <x:c r="O171" s="33" t="s">
        <x:v>103</x:v>
      </x:c>
      <x:c r="P171" s="33" t="s">
        <x:v>101</x:v>
      </x:c>
      <x:c r="Q171" s="33" t="s">
        <x:v>120</x:v>
      </x:c>
      <x:c r="R171" s="33" t="s">
        <x:v>101</x:v>
      </x:c>
      <x:c r="S171" s="31" t="s">
        <x:v>1053</x:v>
      </x:c>
      <x:c r="T171" s="31" t="s">
        <x:v>1054</x:v>
      </x:c>
      <x:c r="U171" s="31" t="s">
        <x:v>276</x:v>
      </x:c>
      <x:c r="V171" s="33" t="s">
        <x:v>444</x:v>
      </x:c>
      <x:c r="W171" s="33" t="s">
        <x:v>1009</x:v>
      </x:c>
      <x:c r="X171" s="33" t="s">
        <x:v>239</x:v>
      </x:c>
      <x:c r="Y171" s="36">
        <x:v>46361</x:v>
      </x:c>
      <x:c r="Z171" s="36"/>
      <x:c r="AA171" s="33" t="s">
        <x:v>120</x:v>
      </x:c>
      <x:c r="AB171" s="37" t="n">
        <x:f>IFERROR(INDEX(Effort_Model!$J$6:$J$33,MATCH(K171&amp;"|"&amp;L171,Effort_Model!$B$6:$B$33,0)),"")</x:f>
        <x:v>42.4</x:v>
      </x:c>
      <x:c r="AC171" s="38">
        <x:v>737</x:v>
      </x:c>
      <x:c r="AD171" s="37">
        <x:f t="shared" si="2"/>
        <x:v>882.33330000000001</x:v>
      </x:c>
      <x:c r="AE171" s="37" t="n">
        <x:f>IFERROR(ROUND(IFERROR(INDEX(Scoring_Rules!$C$43:$C$44,MATCH(Q171,Scoring_Rules!$B$43:$B$44,0)),0)*Scoring_Rules!$C$6+IFERROR(INDEX(Scoring_Rules!$C$34:$C$40,MATCH(K171,Scoring_Rules!$B$34:$B$40,0)),0)*Scoring_Rules!$C$7+IFERROR(INDEX(Scoring_Rules!$C$16:$C$19,MATCH(P171,Scoring_Rules!$B$16:$B$19,0)),0)*Scoring_Rules!$C$8+IFERROR(INDEX(Scoring_Rules!$C$22:$C$25,MATCH(O171,Scoring_Rules!$B$22:$B$25,0)),0)*Scoring_Rules!$C$9+IFERROR(INDEX(Scoring_Rules!$C$47:$C$50,MATCH(X171,Scoring_Rules!$B$47:$B$50,0)),0)*Scoring_Rules!$C$10+IFERROR(INDEX(Scoring_Rules!$C$28:$C$31,MATCH(R171,Scoring_Rules!$B$28:$B$31,0)),0)*Scoring_Rules!$C$11,1),"")</x:f>
        <x:v>34.3</x:v>
      </x:c>
      <x:c r="AF171" s="35">
        <x:v>8</x:v>
      </x:c>
      <x:c r="AG171" s="33" t="s">
        <x:v>941</x:v>
      </x:c>
      <x:c r="AH171" s="36">
        <x:v>46323</x:v>
      </x:c>
      <x:c r="AI171" s="33" t="s">
        <x:v>124</x:v>
      </x:c>
      <x:c r="AJ171" s="34"/>
    </x:row>
    <x:row r="172" ht="15" customHeight="1">
      <x:c r="A172" s="31" t="s">
        <x:v>1055</x:v>
      </x:c>
      <x:c r="B172" s="31" t="s">
        <x:v>1056</x:v>
      </x:c>
      <x:c r="C172" s="31" t="s">
        <x:v>919</x:v>
      </x:c>
      <x:c r="D172" s="32" t="s">
        <x:v>1047</x:v>
      </x:c>
      <x:c r="E172" s="32" t="str">
        <x:v>Data Migration Only</x:v>
      </x:c>
      <x:c r="F172" s="33" t="s">
        <x:v>118</x:v>
      </x:c>
      <x:c r="G172" s="34" t="s">
        <x:v>921</x:v>
      </x:c>
      <x:c r="H172" s="33" t="s">
        <x:v>87</x:v>
      </x:c>
      <x:c r="I172" s="33" t="s">
        <x:v>922</x:v>
      </x:c>
      <x:c r="J172" s="33" t="s">
        <x:v>80</x:v>
      </x:c>
      <x:c r="K172" s="33" t="s">
        <x:v>60</x:v>
      </x:c>
      <x:c r="L172" s="33" t="s">
        <x:v>73</x:v>
      </x:c>
      <x:c r="M172" s="35">
        <x:v>39</x:v>
      </x:c>
      <x:c r="N172" s="35">
        <x:v>4681890</x:v>
      </x:c>
      <x:c r="O172" s="33" t="s">
        <x:v>98</x:v>
      </x:c>
      <x:c r="P172" s="33" t="s">
        <x:v>73</x:v>
      </x:c>
      <x:c r="Q172" s="33" t="s">
        <x:v>118</x:v>
      </x:c>
      <x:c r="R172" s="33" t="s">
        <x:v>73</x:v>
      </x:c>
      <x:c r="S172" s="31" t="s">
        <x:v>1057</x:v>
      </x:c>
      <x:c r="T172" s="31" t="s">
        <x:v>1058</x:v>
      </x:c>
      <x:c r="U172" s="31" t="s">
        <x:v>276</x:v>
      </x:c>
      <x:c r="V172" s="33" t="s">
        <x:v>329</x:v>
      </x:c>
      <x:c r="W172" s="33"/>
      <x:c r="X172" s="33" t="s">
        <x:v>238</x:v>
      </x:c>
      <x:c r="Y172" s="36"/>
      <x:c r="Z172" s="36"/>
      <x:c r="AA172" s="33" t="s">
        <x:v>120</x:v>
      </x:c>
      <x:c r="AB172" s="37" t="n">
        <x:f>IFERROR(INDEX(Effort_Model!$J$6:$J$33,MATCH(K172&amp;"|"&amp;L172,Effort_Model!$B$6:$B$33,0)),"")</x:f>
        <x:v>42.4</x:v>
      </x:c>
      <x:c r="AC172" s="38">
        <x:v>233.1</x:v>
      </x:c>
      <x:c r="AD172" s="37">
        <x:f t="shared" si="2"/>
        <x:v>310.10000000000002</x:v>
      </x:c>
      <x:c r="AE172" s="37" t="n">
        <x:f>IFERROR(ROUND(IFERROR(INDEX(Scoring_Rules!$C$43:$C$44,MATCH(Q172,Scoring_Rules!$B$43:$B$44,0)),0)*Scoring_Rules!$C$6+IFERROR(INDEX(Scoring_Rules!$C$34:$C$40,MATCH(K172,Scoring_Rules!$B$34:$B$40,0)),0)*Scoring_Rules!$C$7+IFERROR(INDEX(Scoring_Rules!$C$16:$C$19,MATCH(P172,Scoring_Rules!$B$16:$B$19,0)),0)*Scoring_Rules!$C$8+IFERROR(INDEX(Scoring_Rules!$C$22:$C$25,MATCH(O172,Scoring_Rules!$B$22:$B$25,0)),0)*Scoring_Rules!$C$9+IFERROR(INDEX(Scoring_Rules!$C$47:$C$50,MATCH(X172,Scoring_Rules!$B$47:$B$50,0)),0)*Scoring_Rules!$C$10+IFERROR(INDEX(Scoring_Rules!$C$28:$C$31,MATCH(R172,Scoring_Rules!$B$28:$B$31,0)),0)*Scoring_Rules!$C$11,1),"")</x:f>
        <x:v>87.5</x:v>
      </x:c>
      <x:c r="AF172" s="35">
        <x:v>1</x:v>
      </x:c>
      <x:c r="AG172" s="33" t="s">
        <x:v>924</x:v>
      </x:c>
      <x:c r="AH172" s="36">
        <x:v>46367</x:v>
      </x:c>
      <x:c r="AI172" s="33" t="s">
        <x:v>127</x:v>
      </x:c>
      <x:c r="AJ172" s="34" t="s">
        <x:v>342</x:v>
      </x:c>
    </x:row>
    <x:row r="173" ht="34.5" customHeight="1">
      <x:c r="A173" s="31" t="s">
        <x:v>1059</x:v>
      </x:c>
      <x:c r="B173" s="31" t="s">
        <x:v>1060</x:v>
      </x:c>
      <x:c r="C173" s="31" t="s">
        <x:v>919</x:v>
      </x:c>
      <x:c r="D173" s="32" t="s">
        <x:v>1061</x:v>
      </x:c>
      <x:c r="E173" s="32" t="str">
        <x:v>Functional Migration Only</x:v>
      </x:c>
      <x:c r="F173" s="33" t="s">
        <x:v>118</x:v>
      </x:c>
      <x:c r="G173" s="34" t="s">
        <x:v>945</x:v>
      </x:c>
      <x:c r="H173" s="33" t="s">
        <x:v>87</x:v>
      </x:c>
      <x:c r="I173" s="33" t="s">
        <x:v>922</x:v>
      </x:c>
      <x:c r="J173" s="33" t="s">
        <x:v>82</x:v>
      </x:c>
      <x:c r="K173" s="33" t="s">
        <x:v>62</x:v>
      </x:c>
      <x:c r="L173" s="33" t="s">
        <x:v>71</x:v>
      </x:c>
      <x:c r="M173" s="35">
        <x:v>60</x:v>
      </x:c>
      <x:c r="N173" s="35">
        <x:v>90919184</x:v>
      </x:c>
      <x:c r="O173" s="33" t="s">
        <x:v>101</x:v>
      </x:c>
      <x:c r="P173" s="33" t="s">
        <x:v>98</x:v>
      </x:c>
      <x:c r="Q173" s="33" t="s">
        <x:v>120</x:v>
      </x:c>
      <x:c r="R173" s="33" t="s">
        <x:v>73</x:v>
      </x:c>
      <x:c r="S173" s="31" t="s">
        <x:v>1062</x:v>
      </x:c>
      <x:c r="T173" s="31" t="s">
        <x:v>1063</x:v>
      </x:c>
      <x:c r="U173" s="31" t="s">
        <x:v>276</x:v>
      </x:c>
      <x:c r="V173" s="33" t="s">
        <x:v>347</x:v>
      </x:c>
      <x:c r="W173" s="33"/>
      <x:c r="X173" s="33" t="s">
        <x:v>238</x:v>
      </x:c>
      <x:c r="Y173" s="36">
        <x:v>46620</x:v>
      </x:c>
      <x:c r="Z173" s="36">
        <x:v>47030</x:v>
      </x:c>
      <x:c r="AA173" s="33" t="s">
        <x:v>120</x:v>
      </x:c>
      <x:c r="AB173" s="37" t="n">
        <x:f>IFERROR(INDEX(Effort_Model!$J$6:$J$33,MATCH(K173&amp;"|"&amp;L173,Effort_Model!$B$6:$B$33,0)),"")</x:f>
        <x:v>18.4</x:v>
      </x:c>
      <x:c r="AC173" s="38">
        <x:v>514.4</x:v>
      </x:c>
      <x:c r="AD173" s="37">
        <x:f t="shared" si="2"/>
        <x:v>588.79999999999995</x:v>
      </x:c>
      <x:c r="AE173" s="37" t="n">
        <x:f>IFERROR(ROUND(IFERROR(INDEX(Scoring_Rules!$C$43:$C$44,MATCH(Q173,Scoring_Rules!$B$43:$B$44,0)),0)*Scoring_Rules!$C$6+IFERROR(INDEX(Scoring_Rules!$C$34:$C$40,MATCH(K173,Scoring_Rules!$B$34:$B$40,0)),0)*Scoring_Rules!$C$7+IFERROR(INDEX(Scoring_Rules!$C$16:$C$19,MATCH(P173,Scoring_Rules!$B$16:$B$19,0)),0)*Scoring_Rules!$C$8+IFERROR(INDEX(Scoring_Rules!$C$22:$C$25,MATCH(O173,Scoring_Rules!$B$22:$B$25,0)),0)*Scoring_Rules!$C$9+IFERROR(INDEX(Scoring_Rules!$C$47:$C$50,MATCH(X173,Scoring_Rules!$B$47:$B$50,0)),0)*Scoring_Rules!$C$10+IFERROR(INDEX(Scoring_Rules!$C$28:$C$31,MATCH(R173,Scoring_Rules!$B$28:$B$31,0)),0)*Scoring_Rules!$C$11,1),"")</x:f>
        <x:v>54.8</x:v>
      </x:c>
      <x:c r="AF173" s="35">
        <x:v>2</x:v>
      </x:c>
      <x:c r="AG173" s="33" t="s">
        <x:v>931</x:v>
      </x:c>
      <x:c r="AH173" s="36">
        <x:v>46321</x:v>
      </x:c>
      <x:c r="AI173" s="33" t="s">
        <x:v>126</x:v>
      </x:c>
      <x:c r="AJ173" s="34" t="s">
        <x:v>445</x:v>
      </x:c>
    </x:row>
    <x:row r="174" ht="34.5" customHeight="1">
      <x:c r="A174" s="31" t="s">
        <x:v>1064</x:v>
      </x:c>
      <x:c r="B174" s="31" t="s">
        <x:v>1065</x:v>
      </x:c>
      <x:c r="C174" s="31" t="s">
        <x:v>919</x:v>
      </x:c>
      <x:c r="D174" s="32" t="s">
        <x:v>1066</x:v>
      </x:c>
      <x:c r="E174" s="32" t="str">
        <x:v>Data Migration Only</x:v>
      </x:c>
      <x:c r="F174" s="33" t="s">
        <x:v>118</x:v>
      </x:c>
      <x:c r="G174" s="34" t="s">
        <x:v>928</x:v>
      </x:c>
      <x:c r="H174" s="33" t="s">
        <x:v>87</x:v>
      </x:c>
      <x:c r="I174" s="33" t="s">
        <x:v>922</x:v>
      </x:c>
      <x:c r="J174" s="33" t="s">
        <x:v>80</x:v>
      </x:c>
      <x:c r="K174" s="33" t="s">
        <x:v>58</x:v>
      </x:c>
      <x:c r="L174" s="33" t="s">
        <x:v>73</x:v>
      </x:c>
      <x:c r="M174" s="35">
        <x:v>12</x:v>
      </x:c>
      <x:c r="N174" s="35">
        <x:v>629405</x:v>
      </x:c>
      <x:c r="O174" s="33" t="s">
        <x:v>98</x:v>
      </x:c>
      <x:c r="P174" s="33" t="s">
        <x:v>73</x:v>
      </x:c>
      <x:c r="Q174" s="33" t="s">
        <x:v>118</x:v>
      </x:c>
      <x:c r="R174" s="33" t="s">
        <x:v>73</x:v>
      </x:c>
      <x:c r="S174" s="31" t="s">
        <x:v>340</x:v>
      </x:c>
      <x:c r="T174" s="31" t="s">
        <x:v>341</x:v>
      </x:c>
      <x:c r="U174" s="31" t="s">
        <x:v>276</x:v>
      </x:c>
      <x:c r="V174" s="33" t="s">
        <x:v>347</x:v>
      </x:c>
      <x:c r="W174" s="33"/>
      <x:c r="X174" s="33" t="s">
        <x:v>238</x:v>
      </x:c>
      <x:c r="Y174" s="36"/>
      <x:c r="Z174" s="36"/>
      <x:c r="AA174" s="33" t="s">
        <x:v>120</x:v>
      </x:c>
      <x:c r="AB174" s="37" t="n">
        <x:f>IFERROR(INDEX(Effort_Model!$J$6:$J$33,MATCH(K174&amp;"|"&amp;L174,Effort_Model!$B$6:$B$33,0)),"")</x:f>
        <x:v>26.4</x:v>
      </x:c>
      <x:c r="AC174" s="38">
        <x:v>131.30000000000001</x:v>
      </x:c>
      <x:c r="AD174" s="37">
        <x:f t="shared" si="2"/>
        <x:v>176.3</x:v>
      </x:c>
      <x:c r="AE174" s="37" t="n">
        <x:f>IFERROR(ROUND(IFERROR(INDEX(Scoring_Rules!$C$43:$C$44,MATCH(Q174,Scoring_Rules!$B$43:$B$44,0)),0)*Scoring_Rules!$C$6+IFERROR(INDEX(Scoring_Rules!$C$34:$C$40,MATCH(K174,Scoring_Rules!$B$34:$B$40,0)),0)*Scoring_Rules!$C$7+IFERROR(INDEX(Scoring_Rules!$C$16:$C$19,MATCH(P174,Scoring_Rules!$B$16:$B$19,0)),0)*Scoring_Rules!$C$8+IFERROR(INDEX(Scoring_Rules!$C$22:$C$25,MATCH(O174,Scoring_Rules!$B$22:$B$25,0)),0)*Scoring_Rules!$C$9+IFERROR(INDEX(Scoring_Rules!$C$47:$C$50,MATCH(X174,Scoring_Rules!$B$47:$B$50,0)),0)*Scoring_Rules!$C$10+IFERROR(INDEX(Scoring_Rules!$C$28:$C$31,MATCH(R174,Scoring_Rules!$B$28:$B$31,0)),0)*Scoring_Rules!$C$11,1),"")</x:f>
        <x:v>90.5</x:v>
      </x:c>
      <x:c r="AF174" s="35">
        <x:v>1</x:v>
      </x:c>
      <x:c r="AG174" s="33" t="s">
        <x:v>937</x:v>
      </x:c>
      <x:c r="AH174" s="36">
        <x:v>46393</x:v>
      </x:c>
      <x:c r="AI174" s="33" t="s">
        <x:v>127</x:v>
      </x:c>
      <x:c r="AJ174" s="34"/>
    </x:row>
    <x:row r="175" ht="15" customHeight="1">
      <x:c r="A175" s="31" t="s">
        <x:v>1067</x:v>
      </x:c>
      <x:c r="B175" s="31" t="s">
        <x:v>1068</x:v>
      </x:c>
      <x:c r="C175" s="31" t="s">
        <x:v>919</x:v>
      </x:c>
      <x:c r="D175" s="32" t="s">
        <x:v>1069</x:v>
      </x:c>
      <x:c r="E175" s="32" t="str">
        <x:v>Data Migration Only</x:v>
      </x:c>
      <x:c r="F175" s="33" t="s">
        <x:v>120</x:v>
      </x:c>
      <x:c r="G175" s="34" t="s">
        <x:v>945</x:v>
      </x:c>
      <x:c r="H175" s="33" t="s">
        <x:v>87</x:v>
      </x:c>
      <x:c r="I175" s="33" t="s">
        <x:v>922</x:v>
      </x:c>
      <x:c r="J175" s="33" t="s">
        <x:v>80</x:v>
      </x:c>
      <x:c r="K175" s="33" t="s">
        <x:v>58</x:v>
      </x:c>
      <x:c r="L175" s="33" t="s">
        <x:v>71</x:v>
      </x:c>
      <x:c r="M175" s="35">
        <x:v>19</x:v>
      </x:c>
      <x:c r="N175" s="35">
        <x:v>667020</x:v>
      </x:c>
      <x:c r="O175" s="33" t="s">
        <x:v>73</x:v>
      </x:c>
      <x:c r="P175" s="33" t="s">
        <x:v>73</x:v>
      </x:c>
      <x:c r="Q175" s="33" t="s">
        <x:v>118</x:v>
      </x:c>
      <x:c r="R175" s="33" t="s">
        <x:v>73</x:v>
      </x:c>
      <x:c r="S175" s="31" t="s">
        <x:v>409</x:v>
      </x:c>
      <x:c r="T175" s="31" t="s">
        <x:v>923</x:v>
      </x:c>
      <x:c r="U175" s="31" t="s">
        <x:v>276</x:v>
      </x:c>
      <x:c r="V175" s="33" t="s">
        <x:v>365</x:v>
      </x:c>
      <x:c r="W175" s="33"/>
      <x:c r="X175" s="33" t="s">
        <x:v>238</x:v>
      </x:c>
      <x:c r="Y175" s="36"/>
      <x:c r="Z175" s="36"/>
      <x:c r="AA175" s="33" t="s">
        <x:v>120</x:v>
      </x:c>
      <x:c r="AB175" s="37" t="n">
        <x:f>IFERROR(INDEX(Effort_Model!$J$6:$J$33,MATCH(K175&amp;"|"&amp;L175,Effort_Model!$B$6:$B$33,0)),"")</x:f>
        <x:v>18.4</x:v>
      </x:c>
      <x:c r="AC175" s="38">
        <x:v>101.8</x:v>
      </x:c>
      <x:c r="AD175" s="37">
        <x:f t="shared" si="2"/>
        <x:v>128.19999999999999</x:v>
      </x:c>
      <x:c r="AE175" s="37" t="n">
        <x:f>IFERROR(ROUND(IFERROR(INDEX(Scoring_Rules!$C$43:$C$44,MATCH(Q175,Scoring_Rules!$B$43:$B$44,0)),0)*Scoring_Rules!$C$6+IFERROR(INDEX(Scoring_Rules!$C$34:$C$40,MATCH(K175,Scoring_Rules!$B$34:$B$40,0)),0)*Scoring_Rules!$C$7+IFERROR(INDEX(Scoring_Rules!$C$16:$C$19,MATCH(P175,Scoring_Rules!$B$16:$B$19,0)),0)*Scoring_Rules!$C$8+IFERROR(INDEX(Scoring_Rules!$C$22:$C$25,MATCH(O175,Scoring_Rules!$B$22:$B$25,0)),0)*Scoring_Rules!$C$9+IFERROR(INDEX(Scoring_Rules!$C$47:$C$50,MATCH(X175,Scoring_Rules!$B$47:$B$50,0)),0)*Scoring_Rules!$C$10+IFERROR(INDEX(Scoring_Rules!$C$28:$C$31,MATCH(R175,Scoring_Rules!$B$28:$B$31,0)),0)*Scoring_Rules!$C$11,1),"")</x:f>
        <x:v>86</x:v>
      </x:c>
      <x:c r="AF175" s="35">
        <x:v>1</x:v>
      </x:c>
      <x:c r="AG175" s="33" t="s">
        <x:v>941</x:v>
      </x:c>
      <x:c r="AH175" s="36">
        <x:v>46403</x:v>
      </x:c>
      <x:c r="AI175" s="33" t="s">
        <x:v>127</x:v>
      </x:c>
      <x:c r="AJ175" s="34" t="s">
        <x:v>354</x:v>
      </x:c>
    </x:row>
    <x:row r="176" ht="15" customHeight="1">
      <x:c r="A176" s="31" t="s">
        <x:v>1070</x:v>
      </x:c>
      <x:c r="B176" s="31" t="s">
        <x:v>1071</x:v>
      </x:c>
      <x:c r="C176" s="31" t="s">
        <x:v>919</x:v>
      </x:c>
      <x:c r="D176" s="32" t="s">
        <x:v>1072</x:v>
      </x:c>
      <x:c r="E176" s="32" t="str">
        <x:v>Data Migration Only</x:v>
      </x:c>
      <x:c r="F176" s="33" t="s">
        <x:v>118</x:v>
      </x:c>
      <x:c r="G176" s="34" t="s">
        <x:v>945</x:v>
      </x:c>
      <x:c r="H176" s="33" t="s">
        <x:v>87</x:v>
      </x:c>
      <x:c r="I176" s="33" t="s">
        <x:v>922</x:v>
      </x:c>
      <x:c r="J176" s="33" t="s">
        <x:v>80</x:v>
      </x:c>
      <x:c r="K176" s="33" t="s">
        <x:v>58</x:v>
      </x:c>
      <x:c r="L176" s="33" t="s">
        <x:v>77</x:v>
      </x:c>
      <x:c r="M176" s="35">
        <x:v>16</x:v>
      </x:c>
      <x:c r="N176" s="35">
        <x:v>1234076</x:v>
      </x:c>
      <x:c r="O176" s="33" t="s">
        <x:v>98</x:v>
      </x:c>
      <x:c r="P176" s="33" t="s">
        <x:v>101</x:v>
      </x:c>
      <x:c r="Q176" s="33" t="s">
        <x:v>120</x:v>
      </x:c>
      <x:c r="R176" s="33" t="s">
        <x:v>73</x:v>
      </x:c>
      <x:c r="S176" s="31" t="s">
        <x:v>1073</x:v>
      </x:c>
      <x:c r="T176" s="31" t="s">
        <x:v>1074</x:v>
      </x:c>
      <x:c r="U176" s="31" t="s">
        <x:v>276</x:v>
      </x:c>
      <x:c r="V176" s="33" t="s">
        <x:v>365</x:v>
      </x:c>
      <x:c r="W176" s="33" t="s">
        <x:v>938</x:v>
      </x:c>
      <x:c r="X176" s="33" t="s">
        <x:v>239</x:v>
      </x:c>
      <x:c r="Y176" s="36">
        <x:v>46306</x:v>
      </x:c>
      <x:c r="Z176" s="36">
        <x:v>46686</x:v>
      </x:c>
      <x:c r="AA176" s="33" t="s">
        <x:v>120</x:v>
      </x:c>
      <x:c r="AB176" s="37" t="n">
        <x:f>IFERROR(INDEX(Effort_Model!$J$6:$J$33,MATCH(K176&amp;"|"&amp;L176,Effort_Model!$B$6:$B$33,0)),"")</x:f>
        <x:v>26.4</x:v>
      </x:c>
      <x:c r="AC176" s="38">
        <x:v>247.9</x:v>
      </x:c>
      <x:c r="AD176" s="37">
        <x:f t="shared" si="2"/>
        <x:v>329.23329999999999</x:v>
      </x:c>
      <x:c r="AE176" s="37" t="n">
        <x:f>IFERROR(ROUND(IFERROR(INDEX(Scoring_Rules!$C$43:$C$44,MATCH(Q176,Scoring_Rules!$B$43:$B$44,0)),0)*Scoring_Rules!$C$6+IFERROR(INDEX(Scoring_Rules!$C$34:$C$40,MATCH(K176,Scoring_Rules!$B$34:$B$40,0)),0)*Scoring_Rules!$C$7+IFERROR(INDEX(Scoring_Rules!$C$16:$C$19,MATCH(P176,Scoring_Rules!$B$16:$B$19,0)),0)*Scoring_Rules!$C$8+IFERROR(INDEX(Scoring_Rules!$C$22:$C$25,MATCH(O176,Scoring_Rules!$B$22:$B$25,0)),0)*Scoring_Rules!$C$9+IFERROR(INDEX(Scoring_Rules!$C$47:$C$50,MATCH(X176,Scoring_Rules!$B$47:$B$50,0)),0)*Scoring_Rules!$C$10+IFERROR(INDEX(Scoring_Rules!$C$28:$C$31,MATCH(R176,Scoring_Rules!$B$28:$B$31,0)),0)*Scoring_Rules!$C$11,1),"")</x:f>
        <x:v>54</x:v>
      </x:c>
      <x:c r="AF176" s="35">
        <x:v>6</x:v>
      </x:c>
      <x:c r="AG176" s="33" t="s">
        <x:v>924</x:v>
      </x:c>
      <x:c r="AH176" s="36">
        <x:v>46370</x:v>
      </x:c>
      <x:c r="AI176" s="33" t="s">
        <x:v>127</x:v>
      </x:c>
      <x:c r="AJ176" s="34" t="s">
        <x:v>395</x:v>
      </x:c>
    </x:row>
    <x:row r="177" ht="15" customHeight="1">
      <x:c r="A177" s="31" t="s">
        <x:v>1075</x:v>
      </x:c>
      <x:c r="B177" s="31" t="s">
        <x:v>1076</x:v>
      </x:c>
      <x:c r="C177" s="31" t="s">
        <x:v>919</x:v>
      </x:c>
      <x:c r="D177" s="32" t="s">
        <x:v>927</x:v>
      </x:c>
      <x:c r="E177" s="32" t="str">
        <x:v>Functional Migration Only</x:v>
      </x:c>
      <x:c r="F177" s="33" t="s">
        <x:v>118</x:v>
      </x:c>
      <x:c r="G177" s="34" t="s">
        <x:v>945</x:v>
      </x:c>
      <x:c r="H177" s="33" t="s">
        <x:v>87</x:v>
      </x:c>
      <x:c r="I177" s="33" t="s">
        <x:v>922</x:v>
      </x:c>
      <x:c r="J177" s="33" t="s">
        <x:v>82</x:v>
      </x:c>
      <x:c r="K177" s="33" t="s">
        <x:v>58</x:v>
      </x:c>
      <x:c r="L177" s="33" t="s">
        <x:v>73</x:v>
      </x:c>
      <x:c r="M177" s="35">
        <x:v>10</x:v>
      </x:c>
      <x:c r="N177" s="35">
        <x:v>801116</x:v>
      </x:c>
      <x:c r="O177" s="33" t="s">
        <x:v>98</x:v>
      </x:c>
      <x:c r="P177" s="33" t="s">
        <x:v>73</x:v>
      </x:c>
      <x:c r="Q177" s="33" t="s">
        <x:v>120</x:v>
      </x:c>
      <x:c r="R177" s="33" t="s">
        <x:v>73</x:v>
      </x:c>
      <x:c r="S177" s="31" t="s">
        <x:v>1048</x:v>
      </x:c>
      <x:c r="T177" s="31" t="s">
        <x:v>1049</x:v>
      </x:c>
      <x:c r="U177" s="31" t="s">
        <x:v>276</x:v>
      </x:c>
      <x:c r="V177" s="33" t="s">
        <x:v>277</x:v>
      </x:c>
      <x:c r="W177" s="33"/>
      <x:c r="X177" s="33" t="s">
        <x:v>238</x:v>
      </x:c>
      <x:c r="Y177" s="36">
        <x:v>46350</x:v>
      </x:c>
      <x:c r="Z177" s="36"/>
      <x:c r="AA177" s="33" t="s">
        <x:v>120</x:v>
      </x:c>
      <x:c r="AB177" s="37" t="n">
        <x:f>IFERROR(INDEX(Effort_Model!$J$6:$J$33,MATCH(K177&amp;"|"&amp;L177,Effort_Model!$B$6:$B$33,0)),"")</x:f>
        <x:v>26.4</x:v>
      </x:c>
      <x:c r="AC177" s="38">
        <x:v>243.8</x:v>
      </x:c>
      <x:c r="AD177" s="37">
        <x:f t="shared" si="2"/>
        <x:v>288.8</x:v>
      </x:c>
      <x:c r="AE177" s="37" t="n">
        <x:f>IFERROR(ROUND(IFERROR(INDEX(Scoring_Rules!$C$43:$C$44,MATCH(Q177,Scoring_Rules!$B$43:$B$44,0)),0)*Scoring_Rules!$C$6+IFERROR(INDEX(Scoring_Rules!$C$34:$C$40,MATCH(K177,Scoring_Rules!$B$34:$B$40,0)),0)*Scoring_Rules!$C$7+IFERROR(INDEX(Scoring_Rules!$C$16:$C$19,MATCH(P177,Scoring_Rules!$B$16:$B$19,0)),0)*Scoring_Rules!$C$8+IFERROR(INDEX(Scoring_Rules!$C$22:$C$25,MATCH(O177,Scoring_Rules!$B$22:$B$25,0)),0)*Scoring_Rules!$C$9+IFERROR(INDEX(Scoring_Rules!$C$47:$C$50,MATCH(X177,Scoring_Rules!$B$47:$B$50,0)),0)*Scoring_Rules!$C$10+IFERROR(INDEX(Scoring_Rules!$C$28:$C$31,MATCH(R177,Scoring_Rules!$B$28:$B$31,0)),0)*Scoring_Rules!$C$11,1),"")</x:f>
        <x:v>65.5</x:v>
      </x:c>
      <x:c r="AF177" s="35">
        <x:v>2</x:v>
      </x:c>
      <x:c r="AG177" s="33" t="s">
        <x:v>931</x:v>
      </x:c>
      <x:c r="AH177" s="36">
        <x:v>46406</x:v>
      </x:c>
      <x:c r="AI177" s="33" t="s">
        <x:v>126</x:v>
      </x:c>
      <x:c r="AJ177" s="34" t="s">
        <x:v>383</x:v>
      </x:c>
    </x:row>
    <x:row r="178" ht="23.25" customHeight="1">
      <x:c r="A178" s="31" t="s">
        <x:v>1077</x:v>
      </x:c>
      <x:c r="B178" s="31" t="s">
        <x:v>1078</x:v>
      </x:c>
      <x:c r="C178" s="31" t="s">
        <x:v>919</x:v>
      </x:c>
      <x:c r="D178" s="32" t="s">
        <x:v>1079</x:v>
      </x:c>
      <x:c r="E178" s="32" t="str">
        <x:v>Data Migration Only</x:v>
      </x:c>
      <x:c r="F178" s="33" t="s">
        <x:v>118</x:v>
      </x:c>
      <x:c r="G178" s="34" t="s">
        <x:v>973</x:v>
      </x:c>
      <x:c r="H178" s="33" t="s">
        <x:v>87</x:v>
      </x:c>
      <x:c r="I178" s="33" t="s">
        <x:v>922</x:v>
      </x:c>
      <x:c r="J178" s="33" t="s">
        <x:v>80</x:v>
      </x:c>
      <x:c r="K178" s="33" t="s">
        <x:v>58</x:v>
      </x:c>
      <x:c r="L178" s="33" t="s">
        <x:v>73</x:v>
      </x:c>
      <x:c r="M178" s="35">
        <x:v>15</x:v>
      </x:c>
      <x:c r="N178" s="35">
        <x:v>539405</x:v>
      </x:c>
      <x:c r="O178" s="33" t="s">
        <x:v>98</x:v>
      </x:c>
      <x:c r="P178" s="33" t="s">
        <x:v>73</x:v>
      </x:c>
      <x:c r="Q178" s="33" t="s">
        <x:v>120</x:v>
      </x:c>
      <x:c r="R178" s="33" t="s">
        <x:v>115</x:v>
      </x:c>
      <x:c r="S178" s="31" t="s">
        <x:v>1030</x:v>
      </x:c>
      <x:c r="T178" s="31" t="s">
        <x:v>1031</x:v>
      </x:c>
      <x:c r="U178" s="31" t="s">
        <x:v>276</x:v>
      </x:c>
      <x:c r="V178" s="33" t="s">
        <x:v>365</x:v>
      </x:c>
      <x:c r="W178" s="33"/>
      <x:c r="X178" s="33" t="s">
        <x:v>238</x:v>
      </x:c>
      <x:c r="Y178" s="36">
        <x:v>46342</x:v>
      </x:c>
      <x:c r="Z178" s="36"/>
      <x:c r="AA178" s="33" t="s">
        <x:v>120</x:v>
      </x:c>
      <x:c r="AB178" s="37" t="n">
        <x:f>IFERROR(INDEX(Effort_Model!$J$6:$J$33,MATCH(K178&amp;"|"&amp;L178,Effort_Model!$B$6:$B$33,0)),"")</x:f>
        <x:v>26.4</x:v>
      </x:c>
      <x:c r="AC178" s="38">
        <x:v>133.4</x:v>
      </x:c>
      <x:c r="AD178" s="37">
        <x:f t="shared" si="2"/>
        <x:v>178.4</x:v>
      </x:c>
      <x:c r="AE178" s="37" t="n">
        <x:f>IFERROR(ROUND(IFERROR(INDEX(Scoring_Rules!$C$43:$C$44,MATCH(Q178,Scoring_Rules!$B$43:$B$44,0)),0)*Scoring_Rules!$C$6+IFERROR(INDEX(Scoring_Rules!$C$34:$C$40,MATCH(K178,Scoring_Rules!$B$34:$B$40,0)),0)*Scoring_Rules!$C$7+IFERROR(INDEX(Scoring_Rules!$C$16:$C$19,MATCH(P178,Scoring_Rules!$B$16:$B$19,0)),0)*Scoring_Rules!$C$8+IFERROR(INDEX(Scoring_Rules!$C$22:$C$25,MATCH(O178,Scoring_Rules!$B$22:$B$25,0)),0)*Scoring_Rules!$C$9+IFERROR(INDEX(Scoring_Rules!$C$47:$C$50,MATCH(X178,Scoring_Rules!$B$47:$B$50,0)),0)*Scoring_Rules!$C$10+IFERROR(INDEX(Scoring_Rules!$C$28:$C$31,MATCH(R178,Scoring_Rules!$B$28:$B$31,0)),0)*Scoring_Rules!$C$11,1),"")</x:f>
        <x:v>62</x:v>
      </x:c>
      <x:c r="AF178" s="35">
        <x:v>2</x:v>
      </x:c>
      <x:c r="AG178" s="33" t="s">
        <x:v>937</x:v>
      </x:c>
      <x:c r="AH178" s="36">
        <x:v>46332</x:v>
      </x:c>
      <x:c r="AI178" s="33" t="s">
        <x:v>126</x:v>
      </x:c>
      <x:c r="AJ178" s="34"/>
    </x:row>
    <x:row r="179" ht="23.25" customHeight="1">
      <x:c r="A179" s="31" t="s">
        <x:v>1080</x:v>
      </x:c>
      <x:c r="B179" s="31" t="s">
        <x:v>1081</x:v>
      </x:c>
      <x:c r="C179" s="31" t="s">
        <x:v>919</x:v>
      </x:c>
      <x:c r="D179" s="32" t="s">
        <x:v>754</x:v>
      </x:c>
      <x:c r="E179" s="32" t="str">
        <x:v>Functional Migration Only</x:v>
      </x:c>
      <x:c r="F179" s="33" t="s">
        <x:v>118</x:v>
      </x:c>
      <x:c r="G179" s="34" t="s">
        <x:v>928</x:v>
      </x:c>
      <x:c r="H179" s="33" t="s">
        <x:v>87</x:v>
      </x:c>
      <x:c r="I179" s="33" t="s">
        <x:v>922</x:v>
      </x:c>
      <x:c r="J179" s="33" t="s">
        <x:v>82</x:v>
      </x:c>
      <x:c r="K179" s="33" t="s">
        <x:v>66</x:v>
      </x:c>
      <x:c r="L179" s="33" t="s">
        <x:v>71</x:v>
      </x:c>
      <x:c r="M179" s="35">
        <x:v>156</x:v>
      </x:c>
      <x:c r="N179" s="35">
        <x:v>13131784139</x:v>
      </x:c>
      <x:c r="O179" s="33" t="s">
        <x:v>101</x:v>
      </x:c>
      <x:c r="P179" s="33" t="s">
        <x:v>73</x:v>
      </x:c>
      <x:c r="Q179" s="33" t="s">
        <x:v>120</x:v>
      </x:c>
      <x:c r="R179" s="33" t="s">
        <x:v>73</x:v>
      </x:c>
      <x:c r="S179" s="31" t="s">
        <x:v>526</x:v>
      </x:c>
      <x:c r="T179" s="31" t="s">
        <x:v>1044</x:v>
      </x:c>
      <x:c r="U179" s="31" t="s">
        <x:v>276</x:v>
      </x:c>
      <x:c r="V179" s="33" t="s">
        <x:v>277</x:v>
      </x:c>
      <x:c r="W179" s="33"/>
      <x:c r="X179" s="33" t="s">
        <x:v>238</x:v>
      </x:c>
      <x:c r="Y179" s="36">
        <x:v>46366</x:v>
      </x:c>
      <x:c r="Z179" s="36"/>
      <x:c r="AA179" s="33" t="s">
        <x:v>120</x:v>
      </x:c>
      <x:c r="AB179" s="37" t="n">
        <x:f>IFERROR(INDEX(Effort_Model!$J$6:$J$33,MATCH(K179&amp;"|"&amp;L179,Effort_Model!$B$6:$B$33,0)),"")</x:f>
        <x:v>18.4</x:v>
      </x:c>
      <x:c r="AC179" s="38">
        <x:v>1208.3</x:v>
      </x:c>
      <x:c r="AD179" s="37">
        <x:f t="shared" si="2"/>
        <x:v>1346.7</x:v>
      </x:c>
      <x:c r="AE179" s="37" t="n">
        <x:f>IFERROR(ROUND(IFERROR(INDEX(Scoring_Rules!$C$43:$C$44,MATCH(Q179,Scoring_Rules!$B$43:$B$44,0)),0)*Scoring_Rules!$C$6+IFERROR(INDEX(Scoring_Rules!$C$34:$C$40,MATCH(K179,Scoring_Rules!$B$34:$B$40,0)),0)*Scoring_Rules!$C$7+IFERROR(INDEX(Scoring_Rules!$C$16:$C$19,MATCH(P179,Scoring_Rules!$B$16:$B$19,0)),0)*Scoring_Rules!$C$8+IFERROR(INDEX(Scoring_Rules!$C$22:$C$25,MATCH(O179,Scoring_Rules!$B$22:$B$25,0)),0)*Scoring_Rules!$C$9+IFERROR(INDEX(Scoring_Rules!$C$47:$C$50,MATCH(X179,Scoring_Rules!$B$47:$B$50,0)),0)*Scoring_Rules!$C$10+IFERROR(INDEX(Scoring_Rules!$C$28:$C$31,MATCH(R179,Scoring_Rules!$B$28:$B$31,0)),0)*Scoring_Rules!$C$11,1),"")</x:f>
        <x:v>41.8</x:v>
      </x:c>
      <x:c r="AF179" s="35">
        <x:v>4</x:v>
      </x:c>
      <x:c r="AG179" s="33" t="s">
        <x:v>941</x:v>
      </x:c>
      <x:c r="AH179" s="36">
        <x:v>46356</x:v>
      </x:c>
      <x:c r="AI179" s="33" t="s">
        <x:v>124</x:v>
      </x:c>
      <x:c r="AJ179" s="34" t="s">
        <x:v>342</x:v>
      </x:c>
    </x:row>
    <x:row r="180" ht="23.25" customHeight="1">
      <x:c r="A180" s="31" t="s">
        <x:v>1082</x:v>
      </x:c>
      <x:c r="B180" s="31" t="s">
        <x:v>1083</x:v>
      </x:c>
      <x:c r="C180" s="31" t="s">
        <x:v>919</x:v>
      </x:c>
      <x:c r="D180" s="32" t="s">
        <x:v>1084</x:v>
      </x:c>
      <x:c r="E180" s="32" t="str">
        <x:v>Data Migration Only</x:v>
      </x:c>
      <x:c r="F180" s="33" t="s">
        <x:v>120</x:v>
      </x:c>
      <x:c r="G180" s="34" t="s">
        <x:v>973</x:v>
      </x:c>
      <x:c r="H180" s="33" t="s">
        <x:v>87</x:v>
      </x:c>
      <x:c r="I180" s="33" t="s">
        <x:v>922</x:v>
      </x:c>
      <x:c r="J180" s="33" t="s">
        <x:v>80</x:v>
      </x:c>
      <x:c r="K180" s="33" t="s">
        <x:v>62</x:v>
      </x:c>
      <x:c r="L180" s="33" t="s">
        <x:v>71</x:v>
      </x:c>
      <x:c r="M180" s="35">
        <x:v>55</x:v>
      </x:c>
      <x:c r="N180" s="35">
        <x:v>61383199</x:v>
      </x:c>
      <x:c r="O180" s="33" t="s">
        <x:v>73</x:v>
      </x:c>
      <x:c r="P180" s="33" t="s">
        <x:v>73</x:v>
      </x:c>
      <x:c r="Q180" s="33" t="s">
        <x:v>120</x:v>
      </x:c>
      <x:c r="R180" s="33" t="s">
        <x:v>101</x:v>
      </x:c>
      <x:c r="S180" s="31" t="s">
        <x:v>1085</x:v>
      </x:c>
      <x:c r="T180" s="31" t="s">
        <x:v>1086</x:v>
      </x:c>
      <x:c r="U180" s="31" t="s">
        <x:v>276</x:v>
      </x:c>
      <x:c r="V180" s="33" t="s">
        <x:v>444</x:v>
      </x:c>
      <x:c r="W180" s="33"/>
      <x:c r="X180" s="33" t="s">
        <x:v>238</x:v>
      </x:c>
      <x:c r="Y180" s="36">
        <x:v>46667</x:v>
      </x:c>
      <x:c r="Z180" s="36">
        <x:v>46731</x:v>
      </x:c>
      <x:c r="AA180" s="33" t="s">
        <x:v>120</x:v>
      </x:c>
      <x:c r="AB180" s="37" t="n">
        <x:f>IFERROR(INDEX(Effort_Model!$J$6:$J$33,MATCH(K180&amp;"|"&amp;L180,Effort_Model!$B$6:$B$33,0)),"")</x:f>
        <x:v>18.4</x:v>
      </x:c>
      <x:c r="AC180" s="38">
        <x:v>307.7</x:v>
      </x:c>
      <x:c r="AD180" s="37">
        <x:f t="shared" si="2"/>
        <x:v>382.1</x:v>
      </x:c>
      <x:c r="AE180" s="37" t="n">
        <x:f>IFERROR(ROUND(IFERROR(INDEX(Scoring_Rules!$C$43:$C$44,MATCH(Q180,Scoring_Rules!$B$43:$B$44,0)),0)*Scoring_Rules!$C$6+IFERROR(INDEX(Scoring_Rules!$C$34:$C$40,MATCH(K180,Scoring_Rules!$B$34:$B$40,0)),0)*Scoring_Rules!$C$7+IFERROR(INDEX(Scoring_Rules!$C$16:$C$19,MATCH(P180,Scoring_Rules!$B$16:$B$19,0)),0)*Scoring_Rules!$C$8+IFERROR(INDEX(Scoring_Rules!$C$22:$C$25,MATCH(O180,Scoring_Rules!$B$22:$B$25,0)),0)*Scoring_Rules!$C$9+IFERROR(INDEX(Scoring_Rules!$C$47:$C$50,MATCH(X180,Scoring_Rules!$B$47:$B$50,0)),0)*Scoring_Rules!$C$10+IFERROR(INDEX(Scoring_Rules!$C$28:$C$31,MATCH(R180,Scoring_Rules!$B$28:$B$31,0)),0)*Scoring_Rules!$C$11,1),"")</x:f>
        <x:v>52.3</x:v>
      </x:c>
      <x:c r="AF180" s="35">
        <x:v>2</x:v>
      </x:c>
      <x:c r="AG180" s="33" t="s">
        <x:v>924</x:v>
      </x:c>
      <x:c r="AH180" s="36">
        <x:v>46361</x:v>
      </x:c>
      <x:c r="AI180" s="33" t="s">
        <x:v>125</x:v>
      </x:c>
      <x:c r="AJ180" s="34" t="s">
        <x:v>383</x:v>
      </x:c>
    </x:row>
    <x:row r="181" ht="15" customHeight="1">
      <x:c r="A181" s="31" t="s">
        <x:v>1087</x:v>
      </x:c>
      <x:c r="B181" s="31" t="s">
        <x:v>1088</x:v>
      </x:c>
      <x:c r="C181" s="31" t="s">
        <x:v>919</x:v>
      </x:c>
      <x:c r="D181" s="32" t="s">
        <x:v>1024</x:v>
      </x:c>
      <x:c r="E181" s="32" t="str">
        <x:v>Functional Migration Only</x:v>
      </x:c>
      <x:c r="F181" s="33" t="s">
        <x:v>118</x:v>
      </x:c>
      <x:c r="G181" s="34" t="s">
        <x:v>921</x:v>
      </x:c>
      <x:c r="H181" s="33" t="s">
        <x:v>87</x:v>
      </x:c>
      <x:c r="I181" s="33" t="s">
        <x:v>922</x:v>
      </x:c>
      <x:c r="J181" s="33" t="s">
        <x:v>82</x:v>
      </x:c>
      <x:c r="K181" s="33" t="s">
        <x:v>56</x:v>
      </x:c>
      <x:c r="L181" s="33" t="s">
        <x:v>71</x:v>
      </x:c>
      <x:c r="M181" s="35">
        <x:v>5</x:v>
      </x:c>
      <x:c r="N181" s="35">
        <x:v>136257</x:v>
      </x:c>
      <x:c r="O181" s="33" t="s">
        <x:v>73</x:v>
      </x:c>
      <x:c r="P181" s="33" t="s">
        <x:v>98</x:v>
      </x:c>
      <x:c r="Q181" s="33" t="s">
        <x:v>120</x:v>
      </x:c>
      <x:c r="R181" s="33" t="s">
        <x:v>101</x:v>
      </x:c>
      <x:c r="S181" s="31" t="s">
        <x:v>1089</x:v>
      </x:c>
      <x:c r="T181" s="31" t="s">
        <x:v>1090</x:v>
      </x:c>
      <x:c r="U181" s="31" t="s">
        <x:v>276</x:v>
      </x:c>
      <x:c r="V181" s="33" t="s">
        <x:v>379</x:v>
      </x:c>
      <x:c r="W181" s="33" t="s">
        <x:v>1091</x:v>
      </x:c>
      <x:c r="X181" s="33" t="s">
        <x:v>240</x:v>
      </x:c>
      <x:c r="Y181" s="36"/>
      <x:c r="Z181" s="36"/>
      <x:c r="AA181" s="33" t="s">
        <x:v>120</x:v>
      </x:c>
      <x:c r="AB181" s="37" t="n">
        <x:f>IFERROR(INDEX(Effort_Model!$J$6:$J$33,MATCH(K181&amp;"|"&amp;L181,Effort_Model!$B$6:$B$33,0)),"")</x:f>
        <x:v>18.4</x:v>
      </x:c>
      <x:c r="AC181" s="38">
        <x:v>99.9</x:v>
      </x:c>
      <x:c r="AD181" s="37">
        <x:f t="shared" si="2"/>
        <x:v>118.30000000000001</x:v>
      </x:c>
      <x:c r="AE181" s="37" t="n">
        <x:f>IFERROR(ROUND(IFERROR(INDEX(Scoring_Rules!$C$43:$C$44,MATCH(Q181,Scoring_Rules!$B$43:$B$44,0)),0)*Scoring_Rules!$C$6+IFERROR(INDEX(Scoring_Rules!$C$34:$C$40,MATCH(K181,Scoring_Rules!$B$34:$B$40,0)),0)*Scoring_Rules!$C$7+IFERROR(INDEX(Scoring_Rules!$C$16:$C$19,MATCH(P181,Scoring_Rules!$B$16:$B$19,0)),0)*Scoring_Rules!$C$8+IFERROR(INDEX(Scoring_Rules!$C$22:$C$25,MATCH(O181,Scoring_Rules!$B$22:$B$25,0)),0)*Scoring_Rules!$C$9+IFERROR(INDEX(Scoring_Rules!$C$47:$C$50,MATCH(X181,Scoring_Rules!$B$47:$B$50,0)),0)*Scoring_Rules!$C$10+IFERROR(INDEX(Scoring_Rules!$C$28:$C$31,MATCH(R181,Scoring_Rules!$B$28:$B$31,0)),0)*Scoring_Rules!$C$11,1),"")</x:f>
        <x:v>56.8</x:v>
      </x:c>
      <x:c r="AF181" s="35">
        <x:v>2</x:v>
      </x:c>
      <x:c r="AG181" s="33" t="s">
        <x:v>931</x:v>
      </x:c>
      <x:c r="AH181" s="36">
        <x:v>46366</x:v>
      </x:c>
      <x:c r="AI181" s="33" t="s">
        <x:v>126</x:v>
      </x:c>
      <x:c r="AJ181" s="34" t="s">
        <x:v>342</x:v>
      </x:c>
    </x:row>
    <x:row r="182" ht="15" customHeight="1">
      <x:c r="A182" s="31" t="s">
        <x:v>1092</x:v>
      </x:c>
      <x:c r="B182" s="31" t="s">
        <x:v>1093</x:v>
      </x:c>
      <x:c r="C182" s="31" t="s">
        <x:v>919</x:v>
      </x:c>
      <x:c r="D182" s="32" t="s">
        <x:v>927</x:v>
      </x:c>
      <x:c r="E182" s="32" t="str">
        <x:v>Data Migration Only</x:v>
      </x:c>
      <x:c r="F182" s="33" t="s">
        <x:v>118</x:v>
      </x:c>
      <x:c r="G182" s="34" t="s">
        <x:v>945</x:v>
      </x:c>
      <x:c r="H182" s="33" t="s">
        <x:v>87</x:v>
      </x:c>
      <x:c r="I182" s="33" t="s">
        <x:v>922</x:v>
      </x:c>
      <x:c r="J182" s="33" t="s">
        <x:v>80</x:v>
      </x:c>
      <x:c r="K182" s="33" t="s">
        <x:v>58</x:v>
      </x:c>
      <x:c r="L182" s="33" t="s">
        <x:v>73</x:v>
      </x:c>
      <x:c r="M182" s="35">
        <x:v>25</x:v>
      </x:c>
      <x:c r="N182" s="35">
        <x:v>845749</x:v>
      </x:c>
      <x:c r="O182" s="33" t="s">
        <x:v>103</x:v>
      </x:c>
      <x:c r="P182" s="33" t="s">
        <x:v>73</x:v>
      </x:c>
      <x:c r="Q182" s="33" t="s">
        <x:v>118</x:v>
      </x:c>
      <x:c r="R182" s="33" t="s">
        <x:v>101</x:v>
      </x:c>
      <x:c r="S182" s="31" t="s">
        <x:v>1094</x:v>
      </x:c>
      <x:c r="T182" s="31" t="s">
        <x:v>1095</x:v>
      </x:c>
      <x:c r="U182" s="31" t="s">
        <x:v>276</x:v>
      </x:c>
      <x:c r="V182" s="33" t="s">
        <x:v>329</x:v>
      </x:c>
      <x:c r="W182" s="33" t="s">
        <x:v>1096</x:v>
      </x:c>
      <x:c r="X182" s="33" t="s">
        <x:v>240</x:v>
      </x:c>
      <x:c r="Y182" s="36"/>
      <x:c r="Z182" s="36"/>
      <x:c r="AA182" s="33" t="s">
        <x:v>120</x:v>
      </x:c>
      <x:c r="AB182" s="37" t="n">
        <x:f>IFERROR(INDEX(Effort_Model!$J$6:$J$33,MATCH(K182&amp;"|"&amp;L182,Effort_Model!$B$6:$B$33,0)),"")</x:f>
        <x:v>26.4</x:v>
      </x:c>
      <x:c r="AC182" s="38">
        <x:v>132.5</x:v>
      </x:c>
      <x:c r="AD182" s="37">
        <x:f t="shared" si="2"/>
        <x:v>177.5</x:v>
      </x:c>
      <x:c r="AE182" s="37" t="n">
        <x:f>IFERROR(ROUND(IFERROR(INDEX(Scoring_Rules!$C$43:$C$44,MATCH(Q182,Scoring_Rules!$B$43:$B$44,0)),0)*Scoring_Rules!$C$6+IFERROR(INDEX(Scoring_Rules!$C$34:$C$40,MATCH(K182,Scoring_Rules!$B$34:$B$40,0)),0)*Scoring_Rules!$C$7+IFERROR(INDEX(Scoring_Rules!$C$16:$C$19,MATCH(P182,Scoring_Rules!$B$16:$B$19,0)),0)*Scoring_Rules!$C$8+IFERROR(INDEX(Scoring_Rules!$C$22:$C$25,MATCH(O182,Scoring_Rules!$B$22:$B$25,0)),0)*Scoring_Rules!$C$9+IFERROR(INDEX(Scoring_Rules!$C$47:$C$50,MATCH(X182,Scoring_Rules!$B$47:$B$50,0)),0)*Scoring_Rules!$C$10+IFERROR(INDEX(Scoring_Rules!$C$28:$C$31,MATCH(R182,Scoring_Rules!$B$28:$B$31,0)),0)*Scoring_Rules!$C$11,1),"")</x:f>
        <x:v>63.3</x:v>
      </x:c>
      <x:c r="AF182" s="35">
        <x:v>2</x:v>
      </x:c>
      <x:c r="AG182" s="33" t="s">
        <x:v>937</x:v>
      </x:c>
      <x:c r="AH182" s="36">
        <x:v>46382</x:v>
      </x:c>
      <x:c r="AI182" s="33" t="s">
        <x:v>127</x:v>
      </x:c>
      <x:c r="AJ182" s="34" t="s">
        <x:v>395</x:v>
      </x:c>
    </x:row>
    <x:row r="183" ht="15" customHeight="1">
      <x:c r="A183" s="31" t="s">
        <x:v>1097</x:v>
      </x:c>
      <x:c r="B183" s="31" t="s">
        <x:v>1098</x:v>
      </x:c>
      <x:c r="C183" s="31" t="s">
        <x:v>919</x:v>
      </x:c>
      <x:c r="D183" s="32" t="s">
        <x:v>927</x:v>
      </x:c>
      <x:c r="E183" s="32" t="str">
        <x:v>Data Migration Only</x:v>
      </x:c>
      <x:c r="F183" s="33" t="s">
        <x:v>120</x:v>
      </x:c>
      <x:c r="G183" s="34" t="s">
        <x:v>973</x:v>
      </x:c>
      <x:c r="H183" s="33" t="s">
        <x:v>87</x:v>
      </x:c>
      <x:c r="I183" s="33" t="s">
        <x:v>922</x:v>
      </x:c>
      <x:c r="J183" s="33" t="s">
        <x:v>80</x:v>
      </x:c>
      <x:c r="K183" s="33" t="s">
        <x:v>56</x:v>
      </x:c>
      <x:c r="L183" s="33" t="s">
        <x:v>73</x:v>
      </x:c>
      <x:c r="M183" s="35">
        <x:v>9</x:v>
      </x:c>
      <x:c r="N183" s="35">
        <x:v>94809</x:v>
      </x:c>
      <x:c r="O183" s="33" t="s">
        <x:v>73</x:v>
      </x:c>
      <x:c r="P183" s="33" t="s">
        <x:v>73</x:v>
      </x:c>
      <x:c r="Q183" s="33" t="s">
        <x:v>118</x:v>
      </x:c>
      <x:c r="R183" s="33" t="s">
        <x:v>98</x:v>
      </x:c>
      <x:c r="S183" s="31" t="s">
        <x:v>1099</x:v>
      </x:c>
      <x:c r="T183" s="31" t="s">
        <x:v>1100</x:v>
      </x:c>
      <x:c r="U183" s="31" t="s">
        <x:v>276</x:v>
      </x:c>
      <x:c r="V183" s="33" t="s">
        <x:v>444</x:v>
      </x:c>
      <x:c r="W183" s="33"/>
      <x:c r="X183" s="33" t="s">
        <x:v>238</x:v>
      </x:c>
      <x:c r="Y183" s="36">
        <x:v>46605</x:v>
      </x:c>
      <x:c r="Z183" s="36"/>
      <x:c r="AA183" s="33" t="s">
        <x:v>118</x:v>
      </x:c>
      <x:c r="AB183" s="37" t="n">
        <x:f>IFERROR(INDEX(Effort_Model!$J$6:$J$33,MATCH(K183&amp;"|"&amp;L183,Effort_Model!$B$6:$B$33,0)),"")</x:f>
        <x:v>18.4</x:v>
      </x:c>
      <x:c r="AC183" s="38">
        <x:v>83.7</x:v>
      </x:c>
      <x:c r="AD183" s="37">
        <x:f t="shared" si="2"/>
        <x:v>112.7</x:v>
      </x:c>
      <x:c r="AE183" s="37" t="n">
        <x:f>IFERROR(ROUND(IFERROR(INDEX(Scoring_Rules!$C$43:$C$44,MATCH(Q183,Scoring_Rules!$B$43:$B$44,0)),0)*Scoring_Rules!$C$6+IFERROR(INDEX(Scoring_Rules!$C$34:$C$40,MATCH(K183,Scoring_Rules!$B$34:$B$40,0)),0)*Scoring_Rules!$C$7+IFERROR(INDEX(Scoring_Rules!$C$16:$C$19,MATCH(P183,Scoring_Rules!$B$16:$B$19,0)),0)*Scoring_Rules!$C$8+IFERROR(INDEX(Scoring_Rules!$C$22:$C$25,MATCH(O183,Scoring_Rules!$B$22:$B$25,0)),0)*Scoring_Rules!$C$9+IFERROR(INDEX(Scoring_Rules!$C$47:$C$50,MATCH(X183,Scoring_Rules!$B$47:$B$50,0)),0)*Scoring_Rules!$C$10+IFERROR(INDEX(Scoring_Rules!$C$28:$C$31,MATCH(R183,Scoring_Rules!$B$28:$B$31,0)),0)*Scoring_Rules!$C$11,1),"")</x:f>
        <x:v>89.5</x:v>
      </x:c>
      <x:c r="AF183" s="35"/>
      <x:c r="AG183" s="33" t="s">
        <x:v>941</x:v>
      </x:c>
      <x:c r="AH183" s="36">
        <x:v>46371</x:v>
      </x:c>
      <x:c r="AI183" s="33" t="s">
        <x:v>127</x:v>
      </x:c>
      <x:c r="AJ183" s="34"/>
    </x:row>
    <x:row r="184" ht="15" customHeight="1">
      <x:c r="A184" s="31" t="s">
        <x:v>1101</x:v>
      </x:c>
      <x:c r="B184" s="31" t="s">
        <x:v>1102</x:v>
      </x:c>
      <x:c r="C184" s="31" t="s">
        <x:v>919</x:v>
      </x:c>
      <x:c r="D184" s="32" t="s">
        <x:v>944</x:v>
      </x:c>
      <x:c r="E184" s="32" t="str">
        <x:v>Functional Migration Only</x:v>
      </x:c>
      <x:c r="F184" s="33" t="s">
        <x:v>118</x:v>
      </x:c>
      <x:c r="G184" s="34" t="s">
        <x:v>973</x:v>
      </x:c>
      <x:c r="H184" s="33" t="s">
        <x:v>87</x:v>
      </x:c>
      <x:c r="I184" s="33" t="s">
        <x:v>922</x:v>
      </x:c>
      <x:c r="J184" s="33" t="s">
        <x:v>82</x:v>
      </x:c>
      <x:c r="K184" s="33" t="s">
        <x:v>64</x:v>
      </x:c>
      <x:c r="L184" s="33" t="s">
        <x:v>73</x:v>
      </x:c>
      <x:c r="M184" s="35">
        <x:v>103</x:v>
      </x:c>
      <x:c r="N184" s="35">
        <x:v>1344317439</x:v>
      </x:c>
      <x:c r="O184" s="33" t="s">
        <x:v>73</x:v>
      </x:c>
      <x:c r="P184" s="33" t="s">
        <x:v>73</x:v>
      </x:c>
      <x:c r="Q184" s="33" t="s">
        <x:v>120</x:v>
      </x:c>
      <x:c r="R184" s="33" t="s">
        <x:v>73</x:v>
      </x:c>
      <x:c r="S184" s="31" t="s">
        <x:v>409</x:v>
      </x:c>
      <x:c r="T184" s="31" t="s">
        <x:v>923</x:v>
      </x:c>
      <x:c r="U184" s="31" t="s">
        <x:v>276</x:v>
      </x:c>
      <x:c r="V184" s="33" t="s">
        <x:v>379</x:v>
      </x:c>
      <x:c r="W184" s="33" t="s">
        <x:v>1103</x:v>
      </x:c>
      <x:c r="X184" s="33" t="s">
        <x:v>239</x:v>
      </x:c>
      <x:c r="Y184" s="36"/>
      <x:c r="Z184" s="36"/>
      <x:c r="AA184" s="33" t="s">
        <x:v>120</x:v>
      </x:c>
      <x:c r="AB184" s="37" t="n">
        <x:f>IFERROR(INDEX(Effort_Model!$J$6:$J$33,MATCH(K184&amp;"|"&amp;L184,Effort_Model!$B$6:$B$33,0)),"")</x:f>
        <x:v>106.4</x:v>
      </x:c>
      <x:c r="AC184" s="38">
        <x:v>1173</x:v>
      </x:c>
      <x:c r="AD184" s="37">
        <x:f t="shared" si="2"/>
        <x:v>1378</x:v>
      </x:c>
      <x:c r="AE184" s="37" t="n">
        <x:f>IFERROR(ROUND(IFERROR(INDEX(Scoring_Rules!$C$43:$C$44,MATCH(Q184,Scoring_Rules!$B$43:$B$44,0)),0)*Scoring_Rules!$C$6+IFERROR(INDEX(Scoring_Rules!$C$34:$C$40,MATCH(K184,Scoring_Rules!$B$34:$B$40,0)),0)*Scoring_Rules!$C$7+IFERROR(INDEX(Scoring_Rules!$C$16:$C$19,MATCH(P184,Scoring_Rules!$B$16:$B$19,0)),0)*Scoring_Rules!$C$8+IFERROR(INDEX(Scoring_Rules!$C$22:$C$25,MATCH(O184,Scoring_Rules!$B$22:$B$25,0)),0)*Scoring_Rules!$C$9+IFERROR(INDEX(Scoring_Rules!$C$47:$C$50,MATCH(X184,Scoring_Rules!$B$47:$B$50,0)),0)*Scoring_Rules!$C$10+IFERROR(INDEX(Scoring_Rules!$C$28:$C$31,MATCH(R184,Scoring_Rules!$B$28:$B$31,0)),0)*Scoring_Rules!$C$11,1),"")</x:f>
        <x:v>45.5</x:v>
      </x:c>
      <x:c r="AF184" s="35">
        <x:v>4</x:v>
      </x:c>
      <x:c r="AG184" s="33" t="s">
        <x:v>924</x:v>
      </x:c>
      <x:c r="AH184" s="36">
        <x:v>46321</x:v>
      </x:c>
      <x:c r="AI184" s="33" t="s">
        <x:v>126</x:v>
      </x:c>
      <x:c r="AJ184" s="34"/>
    </x:row>
    <x:row r="185" ht="15" customHeight="1">
      <x:c r="A185" s="31" t="s">
        <x:v>1104</x:v>
      </x:c>
      <x:c r="B185" s="31" t="s">
        <x:v>1105</x:v>
      </x:c>
      <x:c r="C185" s="31" t="s">
        <x:v>919</x:v>
      </x:c>
      <x:c r="D185" s="32" t="s">
        <x:v>927</x:v>
      </x:c>
      <x:c r="E185" s="32" t="str">
        <x:v>Data Migration Only</x:v>
      </x:c>
      <x:c r="F185" s="33" t="s">
        <x:v>118</x:v>
      </x:c>
      <x:c r="G185" s="34" t="s">
        <x:v>921</x:v>
      </x:c>
      <x:c r="H185" s="33" t="s">
        <x:v>87</x:v>
      </x:c>
      <x:c r="I185" s="33" t="s">
        <x:v>922</x:v>
      </x:c>
      <x:c r="J185" s="33" t="s">
        <x:v>80</x:v>
      </x:c>
      <x:c r="K185" s="33" t="s">
        <x:v>56</x:v>
      </x:c>
      <x:c r="L185" s="33" t="s">
        <x:v>73</x:v>
      </x:c>
      <x:c r="M185" s="35">
        <x:v>6</x:v>
      </x:c>
      <x:c r="N185" s="35">
        <x:v>62074</x:v>
      </x:c>
      <x:c r="O185" s="33" t="s">
        <x:v>98</x:v>
      </x:c>
      <x:c r="P185" s="33" t="s">
        <x:v>98</x:v>
      </x:c>
      <x:c r="Q185" s="33" t="s">
        <x:v>120</x:v>
      </x:c>
      <x:c r="R185" s="33" t="s">
        <x:v>101</x:v>
      </x:c>
      <x:c r="S185" s="31" t="s">
        <x:v>935</x:v>
      </x:c>
      <x:c r="T185" s="31" t="s">
        <x:v>1106</x:v>
      </x:c>
      <x:c r="U185" s="31" t="s">
        <x:v>276</x:v>
      </x:c>
      <x:c r="V185" s="33" t="s">
        <x:v>277</x:v>
      </x:c>
      <x:c r="W185" s="33"/>
      <x:c r="X185" s="33" t="s">
        <x:v>238</x:v>
      </x:c>
      <x:c r="Y185" s="36">
        <x:v>46526</x:v>
      </x:c>
      <x:c r="Z185" s="36"/>
      <x:c r="AA185" s="33" t="s">
        <x:v>120</x:v>
      </x:c>
      <x:c r="AB185" s="37" t="n">
        <x:f>IFERROR(INDEX(Effort_Model!$J$6:$J$33,MATCH(K185&amp;"|"&amp;L185,Effort_Model!$B$6:$B$33,0)),"")</x:f>
        <x:v>18.4</x:v>
      </x:c>
      <x:c r="AC185" s="38">
        <x:v>82.7</x:v>
      </x:c>
      <x:c r="AD185" s="37">
        <x:f t="shared" si="2"/>
        <x:v>111.7</x:v>
      </x:c>
      <x:c r="AE185" s="37" t="n">
        <x:f>IFERROR(ROUND(IFERROR(INDEX(Scoring_Rules!$C$43:$C$44,MATCH(Q185,Scoring_Rules!$B$43:$B$44,0)),0)*Scoring_Rules!$C$6+IFERROR(INDEX(Scoring_Rules!$C$34:$C$40,MATCH(K185,Scoring_Rules!$B$34:$B$40,0)),0)*Scoring_Rules!$C$7+IFERROR(INDEX(Scoring_Rules!$C$16:$C$19,MATCH(P185,Scoring_Rules!$B$16:$B$19,0)),0)*Scoring_Rules!$C$8+IFERROR(INDEX(Scoring_Rules!$C$22:$C$25,MATCH(O185,Scoring_Rules!$B$22:$B$25,0)),0)*Scoring_Rules!$C$9+IFERROR(INDEX(Scoring_Rules!$C$47:$C$50,MATCH(X185,Scoring_Rules!$B$47:$B$50,0)),0)*Scoring_Rules!$C$10+IFERROR(INDEX(Scoring_Rules!$C$28:$C$31,MATCH(R185,Scoring_Rules!$B$28:$B$31,0)),0)*Scoring_Rules!$C$11,1),"")</x:f>
        <x:v>71.8</x:v>
      </x:c>
      <x:c r="AF185" s="35">
        <x:v>2</x:v>
      </x:c>
      <x:c r="AG185" s="33" t="s">
        <x:v>931</x:v>
      </x:c>
      <x:c r="AH185" s="36">
        <x:v>46363</x:v>
      </x:c>
      <x:c r="AI185" s="33" t="s">
        <x:v>127</x:v>
      </x:c>
      <x:c r="AJ185" s="34" t="s">
        <x:v>445</x:v>
      </x:c>
    </x:row>
    <x:row r="186" ht="15" customHeight="1">
      <x:c r="A186" s="31" t="s">
        <x:v>1107</x:v>
      </x:c>
      <x:c r="B186" s="31" t="s">
        <x:v>1108</x:v>
      </x:c>
      <x:c r="C186" s="31" t="s">
        <x:v>919</x:v>
      </x:c>
      <x:c r="D186" s="32" t="s">
        <x:v>1024</x:v>
      </x:c>
      <x:c r="E186" s="32" t="str">
        <x:v>Functional Migration Only</x:v>
      </x:c>
      <x:c r="F186" s="33" t="s">
        <x:v>120</x:v>
      </x:c>
      <x:c r="G186" s="34" t="s">
        <x:v>973</x:v>
      </x:c>
      <x:c r="H186" s="33" t="s">
        <x:v>87</x:v>
      </x:c>
      <x:c r="I186" s="33" t="s">
        <x:v>922</x:v>
      </x:c>
      <x:c r="J186" s="33" t="s">
        <x:v>82</x:v>
      </x:c>
      <x:c r="K186" s="33" t="s">
        <x:v>60</x:v>
      </x:c>
      <x:c r="L186" s="33" t="s">
        <x:v>73</x:v>
      </x:c>
      <x:c r="M186" s="35">
        <x:v>48</x:v>
      </x:c>
      <x:c r="N186" s="35">
        <x:v>4931727</x:v>
      </x:c>
      <x:c r="O186" s="33" t="s">
        <x:v>73</x:v>
      </x:c>
      <x:c r="P186" s="33" t="s">
        <x:v>73</x:v>
      </x:c>
      <x:c r="Q186" s="33" t="s">
        <x:v>118</x:v>
      </x:c>
      <x:c r="R186" s="33" t="s">
        <x:v>98</x:v>
      </x:c>
      <x:c r="S186" s="31" t="s">
        <x:v>1109</x:v>
      </x:c>
      <x:c r="T186" s="31" t="s">
        <x:v>1110</x:v>
      </x:c>
      <x:c r="U186" s="31" t="s">
        <x:v>276</x:v>
      </x:c>
      <x:c r="V186" s="33" t="s">
        <x:v>444</x:v>
      </x:c>
      <x:c r="W186" s="33"/>
      <x:c r="X186" s="33" t="s">
        <x:v>238</x:v>
      </x:c>
      <x:c r="Y186" s="36"/>
      <x:c r="Z186" s="36"/>
      <x:c r="AA186" s="33" t="s">
        <x:v>120</x:v>
      </x:c>
      <x:c r="AB186" s="37" t="n">
        <x:f>IFERROR(INDEX(Effort_Model!$J$6:$J$33,MATCH(K186&amp;"|"&amp;L186,Effort_Model!$B$6:$B$33,0)),"")</x:f>
        <x:v>42.4</x:v>
      </x:c>
      <x:c r="AC186" s="38">
        <x:v>457.6</x:v>
      </x:c>
      <x:c r="AD186" s="37">
        <x:f t="shared" si="2"/>
        <x:v>534.6</x:v>
      </x:c>
      <x:c r="AE186" s="37" t="n">
        <x:f>IFERROR(ROUND(IFERROR(INDEX(Scoring_Rules!$C$43:$C$44,MATCH(Q186,Scoring_Rules!$B$43:$B$44,0)),0)*Scoring_Rules!$C$6+IFERROR(INDEX(Scoring_Rules!$C$34:$C$40,MATCH(K186,Scoring_Rules!$B$34:$B$40,0)),0)*Scoring_Rules!$C$7+IFERROR(INDEX(Scoring_Rules!$C$16:$C$19,MATCH(P186,Scoring_Rules!$B$16:$B$19,0)),0)*Scoring_Rules!$C$8+IFERROR(INDEX(Scoring_Rules!$C$22:$C$25,MATCH(O186,Scoring_Rules!$B$22:$B$25,0)),0)*Scoring_Rules!$C$9+IFERROR(INDEX(Scoring_Rules!$C$47:$C$50,MATCH(X186,Scoring_Rules!$B$47:$B$50,0)),0)*Scoring_Rules!$C$10+IFERROR(INDEX(Scoring_Rules!$C$28:$C$31,MATCH(R186,Scoring_Rules!$B$28:$B$31,0)),0)*Scoring_Rules!$C$11,1),"")</x:f>
        <x:v>84.5</x:v>
      </x:c>
      <x:c r="AF186" s="35">
        <x:v>1</x:v>
      </x:c>
      <x:c r="AG186" s="33" t="s">
        <x:v>937</x:v>
      </x:c>
      <x:c r="AH186" s="36">
        <x:v>46397</x:v>
      </x:c>
      <x:c r="AI186" s="33" t="s">
        <x:v>127</x:v>
      </x:c>
      <x:c r="AJ186" s="34" t="s">
        <x:v>342</x:v>
      </x:c>
    </x:row>
    <x:row r="187" ht="15" customHeight="1">
      <x:c r="A187" s="31" t="s">
        <x:v>1111</x:v>
      </x:c>
      <x:c r="B187" s="31" t="s">
        <x:v>1112</x:v>
      </x:c>
      <x:c r="C187" s="31" t="s">
        <x:v>919</x:v>
      </x:c>
      <x:c r="D187" s="32" t="s">
        <x:v>1113</x:v>
      </x:c>
      <x:c r="E187" s="32" t="str">
        <x:v>Functional Migration Only</x:v>
      </x:c>
      <x:c r="F187" s="33" t="s">
        <x:v>118</x:v>
      </x:c>
      <x:c r="G187" s="34" t="s">
        <x:v>945</x:v>
      </x:c>
      <x:c r="H187" s="33" t="s">
        <x:v>87</x:v>
      </x:c>
      <x:c r="I187" s="33" t="s">
        <x:v>922</x:v>
      </x:c>
      <x:c r="J187" s="33" t="s">
        <x:v>82</x:v>
      </x:c>
      <x:c r="K187" s="33" t="s">
        <x:v>64</x:v>
      </x:c>
      <x:c r="L187" s="33" t="s">
        <x:v>77</x:v>
      </x:c>
      <x:c r="M187" s="35">
        <x:v>132</x:v>
      </x:c>
      <x:c r="N187" s="35">
        <x:v>1304796830</x:v>
      </x:c>
      <x:c r="O187" s="33" t="s">
        <x:v>103</x:v>
      </x:c>
      <x:c r="P187" s="33" t="s">
        <x:v>101</x:v>
      </x:c>
      <x:c r="Q187" s="33" t="s">
        <x:v>120</x:v>
      </x:c>
      <x:c r="R187" s="33" t="s">
        <x:v>101</x:v>
      </x:c>
      <x:c r="S187" s="31" t="s">
        <x:v>978</x:v>
      </x:c>
      <x:c r="T187" s="31" t="s">
        <x:v>1005</x:v>
      </x:c>
      <x:c r="U187" s="31" t="s">
        <x:v>276</x:v>
      </x:c>
      <x:c r="V187" s="33" t="s">
        <x:v>289</x:v>
      </x:c>
      <x:c r="W187" s="33" t="s">
        <x:v>1114</x:v>
      </x:c>
      <x:c r="X187" s="33" t="s">
        <x:v>239</x:v>
      </x:c>
      <x:c r="Y187" s="36"/>
      <x:c r="Z187" s="36"/>
      <x:c r="AA187" s="33" t="s">
        <x:v>120</x:v>
      </x:c>
      <x:c r="AB187" s="37" t="n">
        <x:f>IFERROR(INDEX(Effort_Model!$J$6:$J$33,MATCH(K187&amp;"|"&amp;L187,Effort_Model!$B$6:$B$33,0)),"")</x:f>
        <x:v>106.4</x:v>
      </x:c>
      <x:c r="AC187" s="38">
        <x:v>2269.1</x:v>
      </x:c>
      <x:c r="AD187" s="37">
        <x:f t="shared" si="2"/>
        <x:v>2670.4332999999997</x:v>
      </x:c>
      <x:c r="AE187" s="37" t="n">
        <x:f>IFERROR(ROUND(IFERROR(INDEX(Scoring_Rules!$C$43:$C$44,MATCH(Q187,Scoring_Rules!$B$43:$B$44,0)),0)*Scoring_Rules!$C$6+IFERROR(INDEX(Scoring_Rules!$C$34:$C$40,MATCH(K187,Scoring_Rules!$B$34:$B$40,0)),0)*Scoring_Rules!$C$7+IFERROR(INDEX(Scoring_Rules!$C$16:$C$19,MATCH(P187,Scoring_Rules!$B$16:$B$19,0)),0)*Scoring_Rules!$C$8+IFERROR(INDEX(Scoring_Rules!$C$22:$C$25,MATCH(O187,Scoring_Rules!$B$22:$B$25,0)),0)*Scoring_Rules!$C$9+IFERROR(INDEX(Scoring_Rules!$C$47:$C$50,MATCH(X187,Scoring_Rules!$B$47:$B$50,0)),0)*Scoring_Rules!$C$10+IFERROR(INDEX(Scoring_Rules!$C$28:$C$31,MATCH(R187,Scoring_Rules!$B$28:$B$31,0)),0)*Scoring_Rules!$C$11,1),"")</x:f>
        <x:v>26.3</x:v>
      </x:c>
      <x:c r="AF187" s="35">
        <x:v>8</x:v>
      </x:c>
      <x:c r="AG187" s="33" t="s">
        <x:v>941</x:v>
      </x:c>
      <x:c r="AH187" s="36">
        <x:v>46390</x:v>
      </x:c>
      <x:c r="AI187" s="33" t="s">
        <x:v>126</x:v>
      </x:c>
      <x:c r="AJ187" s="34"/>
    </x:row>
    <x:row r="188" ht="15" customHeight="1">
      <x:c r="A188" s="31" t="s">
        <x:v>1115</x:v>
      </x:c>
      <x:c r="B188" s="31" t="s">
        <x:v>1116</x:v>
      </x:c>
      <x:c r="C188" s="31" t="s">
        <x:v>919</x:v>
      </x:c>
      <x:c r="D188" s="32" t="s">
        <x:v>927</x:v>
      </x:c>
      <x:c r="E188" s="32" t="str">
        <x:v>Functional Migration Only</x:v>
      </x:c>
      <x:c r="F188" s="33" t="s">
        <x:v>118</x:v>
      </x:c>
      <x:c r="G188" s="34" t="s">
        <x:v>921</x:v>
      </x:c>
      <x:c r="H188" s="33" t="s">
        <x:v>87</x:v>
      </x:c>
      <x:c r="I188" s="33" t="s">
        <x:v>922</x:v>
      </x:c>
      <x:c r="J188" s="33" t="s">
        <x:v>82</x:v>
      </x:c>
      <x:c r="K188" s="33" t="s">
        <x:v>58</x:v>
      </x:c>
      <x:c r="L188" s="33" t="s">
        <x:v>73</x:v>
      </x:c>
      <x:c r="M188" s="35">
        <x:v>20</x:v>
      </x:c>
      <x:c r="N188" s="35">
        <x:v>1210352</x:v>
      </x:c>
      <x:c r="O188" s="33" t="s">
        <x:v>73</x:v>
      </x:c>
      <x:c r="P188" s="33" t="s">
        <x:v>101</x:v>
      </x:c>
      <x:c r="Q188" s="33" t="s">
        <x:v>120</x:v>
      </x:c>
      <x:c r="R188" s="33" t="s">
        <x:v>73</x:v>
      </x:c>
      <x:c r="S188" s="31" t="s">
        <x:v>1094</x:v>
      </x:c>
      <x:c r="T188" s="31" t="s">
        <x:v>1095</x:v>
      </x:c>
      <x:c r="U188" s="31" t="s">
        <x:v>276</x:v>
      </x:c>
      <x:c r="V188" s="33" t="s">
        <x:v>323</x:v>
      </x:c>
      <x:c r="W188" s="33"/>
      <x:c r="X188" s="33" t="s">
        <x:v>238</x:v>
      </x:c>
      <x:c r="Y188" s="36"/>
      <x:c r="Z188" s="36"/>
      <x:c r="AA188" s="33" t="s">
        <x:v>120</x:v>
      </x:c>
      <x:c r="AB188" s="37" t="n">
        <x:f>IFERROR(INDEX(Effort_Model!$J$6:$J$33,MATCH(K188&amp;"|"&amp;L188,Effort_Model!$B$6:$B$33,0)),"")</x:f>
        <x:v>26.4</x:v>
      </x:c>
      <x:c r="AC188" s="38">
        <x:v>209.8</x:v>
      </x:c>
      <x:c r="AD188" s="37">
        <x:f t="shared" si="2"/>
        <x:v>254.8</x:v>
      </x:c>
      <x:c r="AE188" s="37" t="n">
        <x:f>IFERROR(ROUND(IFERROR(INDEX(Scoring_Rules!$C$43:$C$44,MATCH(Q188,Scoring_Rules!$B$43:$B$44,0)),0)*Scoring_Rules!$C$6+IFERROR(INDEX(Scoring_Rules!$C$34:$C$40,MATCH(K188,Scoring_Rules!$B$34:$B$40,0)),0)*Scoring_Rules!$C$7+IFERROR(INDEX(Scoring_Rules!$C$16:$C$19,MATCH(P188,Scoring_Rules!$B$16:$B$19,0)),0)*Scoring_Rules!$C$8+IFERROR(INDEX(Scoring_Rules!$C$22:$C$25,MATCH(O188,Scoring_Rules!$B$22:$B$25,0)),0)*Scoring_Rules!$C$9+IFERROR(INDEX(Scoring_Rules!$C$47:$C$50,MATCH(X188,Scoring_Rules!$B$47:$B$50,0)),0)*Scoring_Rules!$C$10+IFERROR(INDEX(Scoring_Rules!$C$28:$C$31,MATCH(R188,Scoring_Rules!$B$28:$B$31,0)),0)*Scoring_Rules!$C$11,1),"")</x:f>
        <x:v>54</x:v>
      </x:c>
      <x:c r="AF188" s="35">
        <x:v>3</x:v>
      </x:c>
      <x:c r="AG188" s="33" t="s">
        <x:v>924</x:v>
      </x:c>
      <x:c r="AH188" s="36">
        <x:v>46348</x:v>
      </x:c>
      <x:c r="AI188" s="33" t="s">
        <x:v>127</x:v>
      </x:c>
      <x:c r="AJ188" s="34" t="s">
        <x:v>395</x:v>
      </x:c>
    </x:row>
    <x:row r="189" ht="15" customHeight="1">
      <x:c r="A189" s="31" t="s">
        <x:v>1117</x:v>
      </x:c>
      <x:c r="B189" s="31" t="s">
        <x:v>1118</x:v>
      </x:c>
      <x:c r="C189" s="31" t="s">
        <x:v>919</x:v>
      </x:c>
      <x:c r="D189" s="32" t="s">
        <x:v>1119</x:v>
      </x:c>
      <x:c r="E189" s="32" t="str">
        <x:v>Data Migration Only</x:v>
      </x:c>
      <x:c r="F189" s="33" t="s">
        <x:v>118</x:v>
      </x:c>
      <x:c r="G189" s="34" t="s">
        <x:v>945</x:v>
      </x:c>
      <x:c r="H189" s="33" t="s">
        <x:v>87</x:v>
      </x:c>
      <x:c r="I189" s="33" t="s">
        <x:v>922</x:v>
      </x:c>
      <x:c r="J189" s="33" t="s">
        <x:v>80</x:v>
      </x:c>
      <x:c r="K189" s="33" t="s">
        <x:v>58</x:v>
      </x:c>
      <x:c r="L189" s="33" t="s">
        <x:v>73</x:v>
      </x:c>
      <x:c r="M189" s="35">
        <x:v>15</x:v>
      </x:c>
      <x:c r="N189" s="35">
        <x:v>1483532</x:v>
      </x:c>
      <x:c r="O189" s="33" t="s">
        <x:v>98</x:v>
      </x:c>
      <x:c r="P189" s="33" t="s">
        <x:v>101</x:v>
      </x:c>
      <x:c r="Q189" s="33" t="s">
        <x:v>120</x:v>
      </x:c>
      <x:c r="R189" s="33" t="s">
        <x:v>98</x:v>
      </x:c>
      <x:c r="S189" s="31" t="s">
        <x:v>409</x:v>
      </x:c>
      <x:c r="T189" s="31" t="s">
        <x:v>923</x:v>
      </x:c>
      <x:c r="U189" s="31" t="s">
        <x:v>276</x:v>
      </x:c>
      <x:c r="V189" s="33" t="s">
        <x:v>289</x:v>
      </x:c>
      <x:c r="W189" s="33"/>
      <x:c r="X189" s="33" t="s">
        <x:v>238</x:v>
      </x:c>
      <x:c r="Y189" s="36"/>
      <x:c r="Z189" s="36"/>
      <x:c r="AA189" s="33" t="s">
        <x:v>120</x:v>
      </x:c>
      <x:c r="AB189" s="37" t="n">
        <x:f>IFERROR(INDEX(Effort_Model!$J$6:$J$33,MATCH(K189&amp;"|"&amp;L189,Effort_Model!$B$6:$B$33,0)),"")</x:f>
        <x:v>26.4</x:v>
      </x:c>
      <x:c r="AC189" s="38">
        <x:v>150.69999999999999</x:v>
      </x:c>
      <x:c r="AD189" s="37">
        <x:f t="shared" si="2"/>
        <x:v>195.7</x:v>
      </x:c>
      <x:c r="AE189" s="37" t="n">
        <x:f>IFERROR(ROUND(IFERROR(INDEX(Scoring_Rules!$C$43:$C$44,MATCH(Q189,Scoring_Rules!$B$43:$B$44,0)),0)*Scoring_Rules!$C$6+IFERROR(INDEX(Scoring_Rules!$C$34:$C$40,MATCH(K189,Scoring_Rules!$B$34:$B$40,0)),0)*Scoring_Rules!$C$7+IFERROR(INDEX(Scoring_Rules!$C$16:$C$19,MATCH(P189,Scoring_Rules!$B$16:$B$19,0)),0)*Scoring_Rules!$C$8+IFERROR(INDEX(Scoring_Rules!$C$22:$C$25,MATCH(O189,Scoring_Rules!$B$22:$B$25,0)),0)*Scoring_Rules!$C$9+IFERROR(INDEX(Scoring_Rules!$C$47:$C$50,MATCH(X189,Scoring_Rules!$B$47:$B$50,0)),0)*Scoring_Rules!$C$10+IFERROR(INDEX(Scoring_Rules!$C$28:$C$31,MATCH(R189,Scoring_Rules!$B$28:$B$31,0)),0)*Scoring_Rules!$C$11,1),"")</x:f>
        <x:v>60</x:v>
      </x:c>
      <x:c r="AF189" s="35">
        <x:v>3</x:v>
      </x:c>
      <x:c r="AG189" s="33" t="s">
        <x:v>931</x:v>
      </x:c>
      <x:c r="AH189" s="36">
        <x:v>46382</x:v>
      </x:c>
      <x:c r="AI189" s="33" t="s">
        <x:v>126</x:v>
      </x:c>
      <x:c r="AJ189" s="34" t="s">
        <x:v>383</x:v>
      </x:c>
    </x:row>
    <x:row r="190" ht="23.25" customHeight="1">
      <x:c r="A190" s="31" t="s">
        <x:v>1120</x:v>
      </x:c>
      <x:c r="B190" s="31" t="s">
        <x:v>1121</x:v>
      </x:c>
      <x:c r="C190" s="31" t="s">
        <x:v>919</x:v>
      </x:c>
      <x:c r="D190" s="32" t="s">
        <x:v>1122</x:v>
      </x:c>
      <x:c r="E190" s="32" t="str">
        <x:v>Functional Migration Only</x:v>
      </x:c>
      <x:c r="F190" s="33" t="s">
        <x:v>118</x:v>
      </x:c>
      <x:c r="G190" s="34" t="s">
        <x:v>945</x:v>
      </x:c>
      <x:c r="H190" s="33" t="s">
        <x:v>87</x:v>
      </x:c>
      <x:c r="I190" s="33" t="s">
        <x:v>922</x:v>
      </x:c>
      <x:c r="J190" s="33" t="s">
        <x:v>82</x:v>
      </x:c>
      <x:c r="K190" s="33" t="s">
        <x:v>58</x:v>
      </x:c>
      <x:c r="L190" s="33" t="s">
        <x:v>75</x:v>
      </x:c>
      <x:c r="M190" s="35">
        <x:v>19</x:v>
      </x:c>
      <x:c r="N190" s="35">
        <x:v>1192936</x:v>
      </x:c>
      <x:c r="O190" s="33" t="s">
        <x:v>73</x:v>
      </x:c>
      <x:c r="P190" s="33" t="s">
        <x:v>101</x:v>
      </x:c>
      <x:c r="Q190" s="33" t="s">
        <x:v>120</x:v>
      </x:c>
      <x:c r="R190" s="33" t="s">
        <x:v>73</x:v>
      </x:c>
      <x:c r="S190" s="31" t="s">
        <x:v>409</x:v>
      </x:c>
      <x:c r="T190" s="31" t="s">
        <x:v>923</x:v>
      </x:c>
      <x:c r="U190" s="31" t="s">
        <x:v>276</x:v>
      </x:c>
      <x:c r="V190" s="33" t="s">
        <x:v>365</x:v>
      </x:c>
      <x:c r="W190" s="33" t="s">
        <x:v>1123</x:v>
      </x:c>
      <x:c r="X190" s="33" t="s">
        <x:v>239</x:v>
      </x:c>
      <x:c r="Y190" s="36"/>
      <x:c r="Z190" s="36"/>
      <x:c r="AA190" s="33" t="s">
        <x:v>120</x:v>
      </x:c>
      <x:c r="AB190" s="37" t="n">
        <x:f>IFERROR(INDEX(Effort_Model!$J$6:$J$33,MATCH(K190&amp;"|"&amp;L190,Effort_Model!$B$6:$B$33,0)),"")</x:f>
        <x:v>26.4</x:v>
      </x:c>
      <x:c r="AC190" s="38">
        <x:v>327</x:v>
      </x:c>
      <x:c r="AD190" s="37">
        <x:f t="shared" si="2"/>
        <x:v>392.33330000000001</x:v>
      </x:c>
      <x:c r="AE190" s="37" t="n">
        <x:f>IFERROR(ROUND(IFERROR(INDEX(Scoring_Rules!$C$43:$C$44,MATCH(Q190,Scoring_Rules!$B$43:$B$44,0)),0)*Scoring_Rules!$C$6+IFERROR(INDEX(Scoring_Rules!$C$34:$C$40,MATCH(K190,Scoring_Rules!$B$34:$B$40,0)),0)*Scoring_Rules!$C$7+IFERROR(INDEX(Scoring_Rules!$C$16:$C$19,MATCH(P190,Scoring_Rules!$B$16:$B$19,0)),0)*Scoring_Rules!$C$8+IFERROR(INDEX(Scoring_Rules!$C$22:$C$25,MATCH(O190,Scoring_Rules!$B$22:$B$25,0)),0)*Scoring_Rules!$C$9+IFERROR(INDEX(Scoring_Rules!$C$47:$C$50,MATCH(X190,Scoring_Rules!$B$47:$B$50,0)),0)*Scoring_Rules!$C$10+IFERROR(INDEX(Scoring_Rules!$C$28:$C$31,MATCH(R190,Scoring_Rules!$B$28:$B$31,0)),0)*Scoring_Rules!$C$11,1),"")</x:f>
        <x:v>49.5</x:v>
      </x:c>
      <x:c r="AF190" s="35">
        <x:v>6</x:v>
      </x:c>
      <x:c r="AG190" s="33" t="s">
        <x:v>937</x:v>
      </x:c>
      <x:c r="AH190" s="36">
        <x:v>46347</x:v>
      </x:c>
      <x:c r="AI190" s="33" t="s">
        <x:v>125</x:v>
      </x:c>
      <x:c r="AJ190" s="34"/>
    </x:row>
    <x:row r="191" ht="15" customHeight="1">
      <x:c r="A191" s="31" t="s">
        <x:v>1124</x:v>
      </x:c>
      <x:c r="B191" s="31" t="s">
        <x:v>1125</x:v>
      </x:c>
      <x:c r="C191" s="31" t="s">
        <x:v>919</x:v>
      </x:c>
      <x:c r="D191" s="32" t="s">
        <x:v>944</x:v>
      </x:c>
      <x:c r="E191" s="32" t="str">
        <x:v>Data Migration Only</x:v>
      </x:c>
      <x:c r="F191" s="33" t="s">
        <x:v>118</x:v>
      </x:c>
      <x:c r="G191" s="34" t="s">
        <x:v>629</x:v>
      </x:c>
      <x:c r="H191" s="33" t="s">
        <x:v>89</x:v>
      </x:c>
      <x:c r="I191" s="33" t="s">
        <x:v>922</x:v>
      </x:c>
      <x:c r="J191" s="33" t="s">
        <x:v>80</x:v>
      </x:c>
      <x:c r="K191" s="33" t="s">
        <x:v>60</x:v>
      </x:c>
      <x:c r="L191" s="33" t="s">
        <x:v>77</x:v>
      </x:c>
      <x:c r="M191" s="35">
        <x:v>39</x:v>
      </x:c>
      <x:c r="N191" s="35">
        <x:v>4795259</x:v>
      </x:c>
      <x:c r="O191" s="33" t="s">
        <x:v>73</x:v>
      </x:c>
      <x:c r="P191" s="33" t="s">
        <x:v>109</x:v>
      </x:c>
      <x:c r="Q191" s="33" t="s">
        <x:v>120</x:v>
      </x:c>
      <x:c r="R191" s="33" t="s">
        <x:v>98</x:v>
      </x:c>
      <x:c r="S191" s="31" t="s">
        <x:v>409</x:v>
      </x:c>
      <x:c r="T191" s="31" t="s">
        <x:v>923</x:v>
      </x:c>
      <x:c r="U191" s="31" t="s">
        <x:v>276</x:v>
      </x:c>
      <x:c r="V191" s="33" t="s">
        <x:v>277</x:v>
      </x:c>
      <x:c r="W191" s="33" t="s">
        <x:v>991</x:v>
      </x:c>
      <x:c r="X191" s="33" t="s">
        <x:v>239</x:v>
      </x:c>
      <x:c r="Y191" s="36"/>
      <x:c r="Z191" s="36"/>
      <x:c r="AA191" s="33" t="s">
        <x:v>120</x:v>
      </x:c>
      <x:c r="AB191" s="37" t="n">
        <x:f>IFERROR(INDEX(Effort_Model!$J$6:$J$33,MATCH(K191&amp;"|"&amp;L191,Effort_Model!$B$6:$B$33,0)),"")</x:f>
        <x:v>42.4</x:v>
      </x:c>
      <x:c r="AC191" s="38">
        <x:v>459</x:v>
      </x:c>
      <x:c r="AD191" s="37">
        <x:f t="shared" si="2"/>
        <x:v>604.33330000000001</x:v>
      </x:c>
      <x:c r="AE191" s="37" t="n">
        <x:f>IFERROR(ROUND(IFERROR(INDEX(Scoring_Rules!$C$43:$C$44,MATCH(Q191,Scoring_Rules!$B$43:$B$44,0)),0)*Scoring_Rules!$C$6+IFERROR(INDEX(Scoring_Rules!$C$34:$C$40,MATCH(K191,Scoring_Rules!$B$34:$B$40,0)),0)*Scoring_Rules!$C$7+IFERROR(INDEX(Scoring_Rules!$C$16:$C$19,MATCH(P191,Scoring_Rules!$B$16:$B$19,0)),0)*Scoring_Rules!$C$8+IFERROR(INDEX(Scoring_Rules!$C$22:$C$25,MATCH(O191,Scoring_Rules!$B$22:$B$25,0)),0)*Scoring_Rules!$C$9+IFERROR(INDEX(Scoring_Rules!$C$47:$C$50,MATCH(X191,Scoring_Rules!$B$47:$B$50,0)),0)*Scoring_Rules!$C$10+IFERROR(INDEX(Scoring_Rules!$C$28:$C$31,MATCH(R191,Scoring_Rules!$B$28:$B$31,0)),0)*Scoring_Rules!$C$11,1),"")</x:f>
        <x:v>41</x:v>
      </x:c>
      <x:c r="AF191" s="35"/>
      <x:c r="AG191" s="33" t="s">
        <x:v>941</x:v>
      </x:c>
      <x:c r="AH191" s="36">
        <x:v>46319</x:v>
      </x:c>
      <x:c r="AI191" s="33" t="s">
        <x:v>124</x:v>
      </x:c>
      <x:c r="AJ191" s="34" t="s">
        <x:v>336</x:v>
      </x:c>
    </x:row>
    <x:row r="192" ht="15" customHeight="1">
      <x:c r="A192" s="31" t="s">
        <x:v>1126</x:v>
      </x:c>
      <x:c r="B192" s="31" t="s">
        <x:v>1127</x:v>
      </x:c>
      <x:c r="C192" s="31" t="s">
        <x:v>919</x:v>
      </x:c>
      <x:c r="D192" s="32" t="s">
        <x:v>1024</x:v>
      </x:c>
      <x:c r="E192" s="32" t="str">
        <x:v>Data Migration Only</x:v>
      </x:c>
      <x:c r="F192" s="33" t="s">
        <x:v>118</x:v>
      </x:c>
      <x:c r="G192" s="34" t="s">
        <x:v>945</x:v>
      </x:c>
      <x:c r="H192" s="33" t="s">
        <x:v>87</x:v>
      </x:c>
      <x:c r="I192" s="33" t="s">
        <x:v>922</x:v>
      </x:c>
      <x:c r="J192" s="33" t="s">
        <x:v>80</x:v>
      </x:c>
      <x:c r="K192" s="33" t="s">
        <x:v>60</x:v>
      </x:c>
      <x:c r="L192" s="33" t="s">
        <x:v>73</x:v>
      </x:c>
      <x:c r="M192" s="35">
        <x:v>39</x:v>
      </x:c>
      <x:c r="N192" s="35">
        <x:v>4962203</x:v>
      </x:c>
      <x:c r="O192" s="33" t="s">
        <x:v>73</x:v>
      </x:c>
      <x:c r="P192" s="33" t="s">
        <x:v>73</x:v>
      </x:c>
      <x:c r="Q192" s="33" t="s">
        <x:v>118</x:v>
      </x:c>
      <x:c r="R192" s="33" t="s">
        <x:v>101</x:v>
      </x:c>
      <x:c r="S192" s="31" t="s">
        <x:v>1128</x:v>
      </x:c>
      <x:c r="T192" s="31" t="s">
        <x:v>1129</x:v>
      </x:c>
      <x:c r="U192" s="31" t="s">
        <x:v>276</x:v>
      </x:c>
      <x:c r="V192" s="33" t="s">
        <x:v>277</x:v>
      </x:c>
      <x:c r="W192" s="33"/>
      <x:c r="X192" s="33" t="s">
        <x:v>238</x:v>
      </x:c>
      <x:c r="Y192" s="36"/>
      <x:c r="Z192" s="36">
        <x:v>46794</x:v>
      </x:c>
      <x:c r="AA192" s="33" t="s">
        <x:v>120</x:v>
      </x:c>
      <x:c r="AB192" s="37" t="n">
        <x:f>IFERROR(INDEX(Effort_Model!$J$6:$J$33,MATCH(K192&amp;"|"&amp;L192,Effort_Model!$B$6:$B$33,0)),"")</x:f>
        <x:v>42.4</x:v>
      </x:c>
      <x:c r="AC192" s="38">
        <x:v>280.10000000000002</x:v>
      </x:c>
      <x:c r="AD192" s="37">
        <x:f t="shared" si="2"/>
        <x:v>357.1</x:v>
      </x:c>
      <x:c r="AE192" s="37" t="n">
        <x:f>IFERROR(ROUND(IFERROR(INDEX(Scoring_Rules!$C$43:$C$44,MATCH(Q192,Scoring_Rules!$B$43:$B$44,0)),0)*Scoring_Rules!$C$6+IFERROR(INDEX(Scoring_Rules!$C$34:$C$40,MATCH(K192,Scoring_Rules!$B$34:$B$40,0)),0)*Scoring_Rules!$C$7+IFERROR(INDEX(Scoring_Rules!$C$16:$C$19,MATCH(P192,Scoring_Rules!$B$16:$B$19,0)),0)*Scoring_Rules!$C$8+IFERROR(INDEX(Scoring_Rules!$C$22:$C$25,MATCH(O192,Scoring_Rules!$B$22:$B$25,0)),0)*Scoring_Rules!$C$9+IFERROR(INDEX(Scoring_Rules!$C$47:$C$50,MATCH(X192,Scoring_Rules!$B$47:$B$50,0)),0)*Scoring_Rules!$C$10+IFERROR(INDEX(Scoring_Rules!$C$28:$C$31,MATCH(R192,Scoring_Rules!$B$28:$B$31,0)),0)*Scoring_Rules!$C$11,1),"")</x:f>
        <x:v>81.3</x:v>
      </x:c>
      <x:c r="AF192" s="35">
        <x:v>1</x:v>
      </x:c>
      <x:c r="AG192" s="33" t="s">
        <x:v>924</x:v>
      </x:c>
      <x:c r="AH192" s="36">
        <x:v>46342</x:v>
      </x:c>
      <x:c r="AI192" s="33" t="s">
        <x:v>127</x:v>
      </x:c>
      <x:c r="AJ192" s="34" t="s">
        <x:v>312</x:v>
      </x:c>
    </x:row>
    <x:row r="193" ht="23.25" customHeight="1">
      <x:c r="A193" s="31" t="s">
        <x:v>1130</x:v>
      </x:c>
      <x:c r="B193" s="31" t="s">
        <x:v>1131</x:v>
      </x:c>
      <x:c r="C193" s="31" t="s">
        <x:v>919</x:v>
      </x:c>
      <x:c r="D193" s="32" t="s">
        <x:v>293</x:v>
      </x:c>
      <x:c r="E193" s="32" t="str">
        <x:v>Functional Migration Only</x:v>
      </x:c>
      <x:c r="F193" s="33" t="s">
        <x:v>120</x:v>
      </x:c>
      <x:c r="G193" s="34" t="s">
        <x:v>928</x:v>
      </x:c>
      <x:c r="H193" s="33" t="s">
        <x:v>87</x:v>
      </x:c>
      <x:c r="I193" s="33" t="s">
        <x:v>922</x:v>
      </x:c>
      <x:c r="J193" s="33" t="s">
        <x:v>82</x:v>
      </x:c>
      <x:c r="K193" s="33" t="s">
        <x:v>64</x:v>
      </x:c>
      <x:c r="L193" s="33" t="s">
        <x:v>73</x:v>
      </x:c>
      <x:c r="M193" s="35">
        <x:v>135</x:v>
      </x:c>
      <x:c r="N193" s="35">
        <x:v>1496631082</x:v>
      </x:c>
      <x:c r="O193" s="33" t="s">
        <x:v>101</x:v>
      </x:c>
      <x:c r="P193" s="33" t="s">
        <x:v>73</x:v>
      </x:c>
      <x:c r="Q193" s="33" t="s">
        <x:v>120</x:v>
      </x:c>
      <x:c r="R193" s="33" t="s">
        <x:v>98</x:v>
      </x:c>
      <x:c r="S193" s="31" t="s">
        <x:v>935</x:v>
      </x:c>
      <x:c r="T193" s="31" t="s">
        <x:v>936</x:v>
      </x:c>
      <x:c r="U193" s="31" t="s">
        <x:v>276</x:v>
      </x:c>
      <x:c r="V193" s="33" t="s">
        <x:v>365</x:v>
      </x:c>
      <x:c r="W193" s="33"/>
      <x:c r="X193" s="33" t="s">
        <x:v>238</x:v>
      </x:c>
      <x:c r="Y193" s="36"/>
      <x:c r="Z193" s="36"/>
      <x:c r="AA193" s="33" t="s">
        <x:v>120</x:v>
      </x:c>
      <x:c r="AB193" s="37" t="n">
        <x:f>IFERROR(INDEX(Effort_Model!$J$6:$J$33,MATCH(K193&amp;"|"&amp;L193,Effort_Model!$B$6:$B$33,0)),"")</x:f>
        <x:v>106.4</x:v>
      </x:c>
      <x:c r="AC193" s="38">
        <x:v>1157.5999999999999</x:v>
      </x:c>
      <x:c r="AD193" s="37">
        <x:f t="shared" si="2"/>
        <x:v>1362.6</x:v>
      </x:c>
      <x:c r="AE193" s="37" t="n">
        <x:f>IFERROR(ROUND(IFERROR(INDEX(Scoring_Rules!$C$43:$C$44,MATCH(Q193,Scoring_Rules!$B$43:$B$44,0)),0)*Scoring_Rules!$C$6+IFERROR(INDEX(Scoring_Rules!$C$34:$C$40,MATCH(K193,Scoring_Rules!$B$34:$B$40,0)),0)*Scoring_Rules!$C$7+IFERROR(INDEX(Scoring_Rules!$C$16:$C$19,MATCH(P193,Scoring_Rules!$B$16:$B$19,0)),0)*Scoring_Rules!$C$8+IFERROR(INDEX(Scoring_Rules!$C$22:$C$25,MATCH(O193,Scoring_Rules!$B$22:$B$25,0)),0)*Scoring_Rules!$C$9+IFERROR(INDEX(Scoring_Rules!$C$47:$C$50,MATCH(X193,Scoring_Rules!$B$47:$B$50,0)),0)*Scoring_Rules!$C$10+IFERROR(INDEX(Scoring_Rules!$C$28:$C$31,MATCH(R193,Scoring_Rules!$B$28:$B$31,0)),0)*Scoring_Rules!$C$11,1),"")</x:f>
        <x:v>46.3</x:v>
      </x:c>
      <x:c r="AF193" s="35">
        <x:v>4</x:v>
      </x:c>
      <x:c r="AG193" s="33" t="s">
        <x:v>931</x:v>
      </x:c>
      <x:c r="AH193" s="36">
        <x:v>46314</x:v>
      </x:c>
      <x:c r="AI193" s="33" t="s">
        <x:v>127</x:v>
      </x:c>
      <x:c r="AJ193" s="34" t="s">
        <x:v>395</x:v>
      </x:c>
    </x:row>
    <x:row r="194" ht="15" customHeight="1">
      <x:c r="A194" s="31" t="s">
        <x:v>1132</x:v>
      </x:c>
      <x:c r="B194" s="31" t="s">
        <x:v>1133</x:v>
      </x:c>
      <x:c r="C194" s="31" t="s">
        <x:v>919</x:v>
      </x:c>
      <x:c r="D194" s="32" t="s">
        <x:v>1134</x:v>
      </x:c>
      <x:c r="E194" s="32" t="str">
        <x:v>Data Migration Only</x:v>
      </x:c>
      <x:c r="F194" s="33" t="s">
        <x:v>118</x:v>
      </x:c>
      <x:c r="G194" s="34" t="s">
        <x:v>973</x:v>
      </x:c>
      <x:c r="H194" s="33" t="s">
        <x:v>87</x:v>
      </x:c>
      <x:c r="I194" s="33" t="s">
        <x:v>922</x:v>
      </x:c>
      <x:c r="J194" s="33" t="s">
        <x:v>80</x:v>
      </x:c>
      <x:c r="K194" s="33" t="s">
        <x:v>56</x:v>
      </x:c>
      <x:c r="L194" s="33" t="s">
        <x:v>73</x:v>
      </x:c>
      <x:c r="M194" s="35">
        <x:v>7</x:v>
      </x:c>
      <x:c r="N194" s="35">
        <x:v>101430</x:v>
      </x:c>
      <x:c r="O194" s="33" t="s">
        <x:v>98</x:v>
      </x:c>
      <x:c r="P194" s="33" t="s">
        <x:v>73</x:v>
      </x:c>
      <x:c r="Q194" s="33" t="s">
        <x:v>118</x:v>
      </x:c>
      <x:c r="R194" s="33" t="s">
        <x:v>73</x:v>
      </x:c>
      <x:c r="S194" s="31" t="s">
        <x:v>1135</x:v>
      </x:c>
      <x:c r="T194" s="31" t="s">
        <x:v>1136</x:v>
      </x:c>
      <x:c r="U194" s="31" t="s">
        <x:v>276</x:v>
      </x:c>
      <x:c r="V194" s="33" t="s">
        <x:v>277</x:v>
      </x:c>
      <x:c r="W194" s="33"/>
      <x:c r="X194" s="33" t="s">
        <x:v>238</x:v>
      </x:c>
      <x:c r="Y194" s="36"/>
      <x:c r="Z194" s="36"/>
      <x:c r="AA194" s="33" t="s">
        <x:v>120</x:v>
      </x:c>
      <x:c r="AB194" s="37" t="n">
        <x:f>IFERROR(INDEX(Effort_Model!$J$6:$J$33,MATCH(K194&amp;"|"&amp;L194,Effort_Model!$B$6:$B$33,0)),"")</x:f>
        <x:v>18.4</x:v>
      </x:c>
      <x:c r="AC194" s="38">
        <x:v>75.400000000000006</x:v>
      </x:c>
      <x:c r="AD194" s="37" t="n">
        <x:f t="shared" ref="AD194:AD257" si="3">IFERROR(AB194+N(AC194),"")</x:f>
        <x:v>93.80000000000001</x:v>
      </x:c>
      <x:c r="AE194" s="37" t="n">
        <x:f>IFERROR(ROUND(IFERROR(INDEX(Scoring_Rules!$C$43:$C$44,MATCH(Q194,Scoring_Rules!$B$43:$B$44,0)),0)*Scoring_Rules!$C$6+IFERROR(INDEX(Scoring_Rules!$C$34:$C$40,MATCH(K194,Scoring_Rules!$B$34:$B$40,0)),0)*Scoring_Rules!$C$7+IFERROR(INDEX(Scoring_Rules!$C$16:$C$19,MATCH(P194,Scoring_Rules!$B$16:$B$19,0)),0)*Scoring_Rules!$C$8+IFERROR(INDEX(Scoring_Rules!$C$22:$C$25,MATCH(O194,Scoring_Rules!$B$22:$B$25,0)),0)*Scoring_Rules!$C$9+IFERROR(INDEX(Scoring_Rules!$C$47:$C$50,MATCH(X194,Scoring_Rules!$B$47:$B$50,0)),0)*Scoring_Rules!$C$10+IFERROR(INDEX(Scoring_Rules!$C$28:$C$31,MATCH(R194,Scoring_Rules!$B$28:$B$31,0)),0)*Scoring_Rules!$C$11,1),"")</x:f>
        <x:v>92.5</x:v>
      </x:c>
      <x:c r="AF194" s="35">
        <x:v>1</x:v>
      </x:c>
      <x:c r="AG194" s="33" t="s">
        <x:v>937</x:v>
      </x:c>
      <x:c r="AH194" s="36">
        <x:v>46327</x:v>
      </x:c>
      <x:c r="AI194" s="33" t="s">
        <x:v>124</x:v>
      </x:c>
      <x:c r="AJ194" s="34" t="s">
        <x:v>312</x:v>
      </x:c>
    </x:row>
    <x:row r="195" ht="23.25" customHeight="1">
      <x:c r="A195" s="31" t="s">
        <x:v>1137</x:v>
      </x:c>
      <x:c r="B195" s="31" t="s">
        <x:v>1138</x:v>
      </x:c>
      <x:c r="C195" s="31" t="s">
        <x:v>919</x:v>
      </x:c>
      <x:c r="D195" s="32" t="s">
        <x:v>934</x:v>
      </x:c>
      <x:c r="E195" s="32" t="str">
        <x:v>Functional Migration Only</x:v>
      </x:c>
      <x:c r="F195" s="33" t="s">
        <x:v>118</x:v>
      </x:c>
      <x:c r="G195" s="34" t="s">
        <x:v>921</x:v>
      </x:c>
      <x:c r="H195" s="33" t="s">
        <x:v>87</x:v>
      </x:c>
      <x:c r="I195" s="33" t="s">
        <x:v>922</x:v>
      </x:c>
      <x:c r="J195" s="33" t="s">
        <x:v>82</x:v>
      </x:c>
      <x:c r="K195" s="33" t="s">
        <x:v>62</x:v>
      </x:c>
      <x:c r="L195" s="33" t="s">
        <x:v>71</x:v>
      </x:c>
      <x:c r="M195" s="35">
        <x:v>73</x:v>
      </x:c>
      <x:c r="N195" s="35">
        <x:v>127520674</x:v>
      </x:c>
      <x:c r="O195" s="33" t="s">
        <x:v>73</x:v>
      </x:c>
      <x:c r="P195" s="33" t="s">
        <x:v>98</x:v>
      </x:c>
      <x:c r="Q195" s="33" t="s">
        <x:v>120</x:v>
      </x:c>
      <x:c r="R195" s="33" t="s">
        <x:v>101</x:v>
      </x:c>
      <x:c r="S195" s="31" t="s">
        <x:v>935</x:v>
      </x:c>
      <x:c r="T195" s="31" t="s">
        <x:v>1139</x:v>
      </x:c>
      <x:c r="U195" s="31" t="s">
        <x:v>276</x:v>
      </x:c>
      <x:c r="V195" s="33" t="s">
        <x:v>303</x:v>
      </x:c>
      <x:c r="W195" s="33" t="s">
        <x:v>1120</x:v>
      </x:c>
      <x:c r="X195" s="33" t="s">
        <x:v>240</x:v>
      </x:c>
      <x:c r="Y195" s="36"/>
      <x:c r="Z195" s="36"/>
      <x:c r="AA195" s="33" t="s">
        <x:v>120</x:v>
      </x:c>
      <x:c r="AB195" s="37" t="n">
        <x:f>IFERROR(INDEX(Effort_Model!$J$6:$J$33,MATCH(K195&amp;"|"&amp;L195,Effort_Model!$B$6:$B$33,0)),"")</x:f>
        <x:v>18.4</x:v>
      </x:c>
      <x:c r="AC195" s="38">
        <x:v>531.9</x:v>
      </x:c>
      <x:c r="AD195" s="37">
        <x:f t="shared" si="3"/>
        <x:v>606.29999999999995</x:v>
      </x:c>
      <x:c r="AE195" s="37" t="n">
        <x:f>IFERROR(ROUND(IFERROR(INDEX(Scoring_Rules!$C$43:$C$44,MATCH(Q195,Scoring_Rules!$B$43:$B$44,0)),0)*Scoring_Rules!$C$6+IFERROR(INDEX(Scoring_Rules!$C$34:$C$40,MATCH(K195,Scoring_Rules!$B$34:$B$40,0)),0)*Scoring_Rules!$C$7+IFERROR(INDEX(Scoring_Rules!$C$16:$C$19,MATCH(P195,Scoring_Rules!$B$16:$B$19,0)),0)*Scoring_Rules!$C$8+IFERROR(INDEX(Scoring_Rules!$C$22:$C$25,MATCH(O195,Scoring_Rules!$B$22:$B$25,0)),0)*Scoring_Rules!$C$9+IFERROR(INDEX(Scoring_Rules!$C$47:$C$50,MATCH(X195,Scoring_Rules!$B$47:$B$50,0)),0)*Scoring_Rules!$C$10+IFERROR(INDEX(Scoring_Rules!$C$28:$C$31,MATCH(R195,Scoring_Rules!$B$28:$B$31,0)),0)*Scoring_Rules!$C$11,1),"")</x:f>
        <x:v>47.8</x:v>
      </x:c>
      <x:c r="AF195" s="35">
        <x:v>2</x:v>
      </x:c>
      <x:c r="AG195" s="33" t="s">
        <x:v>941</x:v>
      </x:c>
      <x:c r="AH195" s="36">
        <x:v>46351</x:v>
      </x:c>
      <x:c r="AI195" s="33" t="s">
        <x:v>127</x:v>
      </x:c>
      <x:c r="AJ195" s="34"/>
    </x:row>
    <x:row r="196" ht="15" customHeight="1">
      <x:c r="A196" s="31" t="s">
        <x:v>1140</x:v>
      </x:c>
      <x:c r="B196" s="31" t="s">
        <x:v>1141</x:v>
      </x:c>
      <x:c r="C196" s="31" t="s">
        <x:v>919</x:v>
      </x:c>
      <x:c r="D196" s="32" t="s">
        <x:v>944</x:v>
      </x:c>
      <x:c r="E196" s="32" t="str">
        <x:v>Data Migration Only</x:v>
      </x:c>
      <x:c r="F196" s="33" t="s">
        <x:v>118</x:v>
      </x:c>
      <x:c r="G196" s="34" t="s">
        <x:v>945</x:v>
      </x:c>
      <x:c r="H196" s="33" t="s">
        <x:v>87</x:v>
      </x:c>
      <x:c r="I196" s="33" t="s">
        <x:v>922</x:v>
      </x:c>
      <x:c r="J196" s="33" t="s">
        <x:v>80</x:v>
      </x:c>
      <x:c r="K196" s="33" t="s">
        <x:v>58</x:v>
      </x:c>
      <x:c r="L196" s="33" t="s">
        <x:v>73</x:v>
      </x:c>
      <x:c r="M196" s="35">
        <x:v>29</x:v>
      </x:c>
      <x:c r="N196" s="35">
        <x:v>563237</x:v>
      </x:c>
      <x:c r="O196" s="33" t="s">
        <x:v>73</x:v>
      </x:c>
      <x:c r="P196" s="33" t="s">
        <x:v>73</x:v>
      </x:c>
      <x:c r="Q196" s="33" t="s">
        <x:v>118</x:v>
      </x:c>
      <x:c r="R196" s="33" t="s">
        <x:v>101</x:v>
      </x:c>
      <x:c r="S196" s="31" t="s">
        <x:v>409</x:v>
      </x:c>
      <x:c r="T196" s="31" t="s">
        <x:v>923</x:v>
      </x:c>
      <x:c r="U196" s="31" t="s">
        <x:v>276</x:v>
      </x:c>
      <x:c r="V196" s="33" t="s">
        <x:v>323</x:v>
      </x:c>
      <x:c r="W196" s="33"/>
      <x:c r="X196" s="33" t="s">
        <x:v>238</x:v>
      </x:c>
      <x:c r="Y196" s="36"/>
      <x:c r="Z196" s="36"/>
      <x:c r="AA196" s="33" t="s">
        <x:v>120</x:v>
      </x:c>
      <x:c r="AB196" s="37" t="n">
        <x:f>IFERROR(INDEX(Effort_Model!$J$6:$J$33,MATCH(K196&amp;"|"&amp;L196,Effort_Model!$B$6:$B$33,0)),"")</x:f>
        <x:v>26.4</x:v>
      </x:c>
      <x:c r="AC196" s="38">
        <x:v>160</x:v>
      </x:c>
      <x:c r="AD196" s="37">
        <x:f t="shared" si="3"/>
        <x:v>205</x:v>
      </x:c>
      <x:c r="AE196" s="37" t="n">
        <x:f>IFERROR(ROUND(IFERROR(INDEX(Scoring_Rules!$C$43:$C$44,MATCH(Q196,Scoring_Rules!$B$43:$B$44,0)),0)*Scoring_Rules!$C$6+IFERROR(INDEX(Scoring_Rules!$C$34:$C$40,MATCH(K196,Scoring_Rules!$B$34:$B$40,0)),0)*Scoring_Rules!$C$7+IFERROR(INDEX(Scoring_Rules!$C$16:$C$19,MATCH(P196,Scoring_Rules!$B$16:$B$19,0)),0)*Scoring_Rules!$C$8+IFERROR(INDEX(Scoring_Rules!$C$22:$C$25,MATCH(O196,Scoring_Rules!$B$22:$B$25,0)),0)*Scoring_Rules!$C$9+IFERROR(INDEX(Scoring_Rules!$C$47:$C$50,MATCH(X196,Scoring_Rules!$B$47:$B$50,0)),0)*Scoring_Rules!$C$10+IFERROR(INDEX(Scoring_Rules!$C$28:$C$31,MATCH(R196,Scoring_Rules!$B$28:$B$31,0)),0)*Scoring_Rules!$C$11,1),"")</x:f>
        <x:v>84.3</x:v>
      </x:c>
      <x:c r="AF196" s="35">
        <x:v>1</x:v>
      </x:c>
      <x:c r="AG196" s="33" t="s">
        <x:v>924</x:v>
      </x:c>
      <x:c r="AH196" s="36">
        <x:v>46320</x:v>
      </x:c>
      <x:c r="AI196" s="33" t="s">
        <x:v>126</x:v>
      </x:c>
      <x:c r="AJ196" s="34" t="s">
        <x:v>383</x:v>
      </x:c>
    </x:row>
    <x:row r="197" ht="23.25" customHeight="1">
      <x:c r="A197" s="31" t="s">
        <x:v>1142</x:v>
      </x:c>
      <x:c r="B197" s="31" t="s">
        <x:v>1143</x:v>
      </x:c>
      <x:c r="C197" s="31" t="s">
        <x:v>919</x:v>
      </x:c>
      <x:c r="D197" s="32" t="s">
        <x:v>1144</x:v>
      </x:c>
      <x:c r="E197" s="32" t="str">
        <x:v>Data Migration Only</x:v>
      </x:c>
      <x:c r="F197" s="33" t="s">
        <x:v>118</x:v>
      </x:c>
      <x:c r="G197" s="34" t="s">
        <x:v>921</x:v>
      </x:c>
      <x:c r="H197" s="33" t="s">
        <x:v>87</x:v>
      </x:c>
      <x:c r="I197" s="33" t="s">
        <x:v>922</x:v>
      </x:c>
      <x:c r="J197" s="33" t="s">
        <x:v>80</x:v>
      </x:c>
      <x:c r="K197" s="33" t="s">
        <x:v>60</x:v>
      </x:c>
      <x:c r="L197" s="33" t="s">
        <x:v>75</x:v>
      </x:c>
      <x:c r="M197" s="35">
        <x:v>47</x:v>
      </x:c>
      <x:c r="N197" s="35">
        <x:v>4179913</x:v>
      </x:c>
      <x:c r="O197" s="33" t="s">
        <x:v>101</x:v>
      </x:c>
      <x:c r="P197" s="33" t="s">
        <x:v>109</x:v>
      </x:c>
      <x:c r="Q197" s="33" t="s">
        <x:v>120</x:v>
      </x:c>
      <x:c r="R197" s="33" t="s">
        <x:v>101</x:v>
      </x:c>
      <x:c r="S197" s="31" t="s">
        <x:v>409</x:v>
      </x:c>
      <x:c r="T197" s="31" t="s">
        <x:v>923</x:v>
      </x:c>
      <x:c r="U197" s="31" t="s">
        <x:v>276</x:v>
      </x:c>
      <x:c r="V197" s="33" t="s">
        <x:v>329</x:v>
      </x:c>
      <x:c r="W197" s="33"/>
      <x:c r="X197" s="33" t="s">
        <x:v>238</x:v>
      </x:c>
      <x:c r="Y197" s="36"/>
      <x:c r="Z197" s="36"/>
      <x:c r="AA197" s="33" t="s">
        <x:v>118</x:v>
      </x:c>
      <x:c r="AB197" s="37" t="n">
        <x:f>IFERROR(INDEX(Effort_Model!$J$6:$J$33,MATCH(K197&amp;"|"&amp;L197,Effort_Model!$B$6:$B$33,0)),"")</x:f>
        <x:v>42.4</x:v>
      </x:c>
      <x:c r="AC197" s="38">
        <x:v>304.39999999999998</x:v>
      </x:c>
      <x:c r="AD197" s="37">
        <x:f t="shared" si="3"/>
        <x:v>417.73329999999999</x:v>
      </x:c>
      <x:c r="AE197" s="37" t="n">
        <x:f>IFERROR(ROUND(IFERROR(INDEX(Scoring_Rules!$C$43:$C$44,MATCH(Q197,Scoring_Rules!$B$43:$B$44,0)),0)*Scoring_Rules!$C$6+IFERROR(INDEX(Scoring_Rules!$C$34:$C$40,MATCH(K197,Scoring_Rules!$B$34:$B$40,0)),0)*Scoring_Rules!$C$7+IFERROR(INDEX(Scoring_Rules!$C$16:$C$19,MATCH(P197,Scoring_Rules!$B$16:$B$19,0)),0)*Scoring_Rules!$C$8+IFERROR(INDEX(Scoring_Rules!$C$22:$C$25,MATCH(O197,Scoring_Rules!$B$22:$B$25,0)),0)*Scoring_Rules!$C$9+IFERROR(INDEX(Scoring_Rules!$C$47:$C$50,MATCH(X197,Scoring_Rules!$B$47:$B$50,0)),0)*Scoring_Rules!$C$10+IFERROR(INDEX(Scoring_Rules!$C$28:$C$31,MATCH(R197,Scoring_Rules!$B$28:$B$31,0)),0)*Scoring_Rules!$C$11,1),"")</x:f>
        <x:v>37</x:v>
      </x:c>
      <x:c r="AF197" s="35"/>
      <x:c r="AG197" s="33" t="s">
        <x:v>931</x:v>
      </x:c>
      <x:c r="AH197" s="36">
        <x:v>46350</x:v>
      </x:c>
      <x:c r="AI197" s="33" t="s">
        <x:v>126</x:v>
      </x:c>
      <x:c r="AJ197" s="34"/>
    </x:row>
    <x:row r="198" ht="23.25" customHeight="1">
      <x:c r="A198" s="31" t="s">
        <x:v>1145</x:v>
      </x:c>
      <x:c r="B198" s="31" t="s">
        <x:v>1146</x:v>
      </x:c>
      <x:c r="C198" s="31" t="s">
        <x:v>919</x:v>
      </x:c>
      <x:c r="D198" s="32" t="s">
        <x:v>934</x:v>
      </x:c>
      <x:c r="E198" s="32" t="str">
        <x:v>Functional Migration Only</x:v>
      </x:c>
      <x:c r="F198" s="33" t="s">
        <x:v>118</x:v>
      </x:c>
      <x:c r="G198" s="34" t="s">
        <x:v>921</x:v>
      </x:c>
      <x:c r="H198" s="33" t="s">
        <x:v>87</x:v>
      </x:c>
      <x:c r="I198" s="33" t="s">
        <x:v>922</x:v>
      </x:c>
      <x:c r="J198" s="33" t="s">
        <x:v>82</x:v>
      </x:c>
      <x:c r="K198" s="33" t="s">
        <x:v>58</x:v>
      </x:c>
      <x:c r="L198" s="33" t="s">
        <x:v>73</x:v>
      </x:c>
      <x:c r="M198" s="35">
        <x:v>21</x:v>
      </x:c>
      <x:c r="N198" s="35">
        <x:v>711736</x:v>
      </x:c>
      <x:c r="O198" s="33" t="s">
        <x:v>73</x:v>
      </x:c>
      <x:c r="P198" s="33" t="s">
        <x:v>98</x:v>
      </x:c>
      <x:c r="Q198" s="33" t="s">
        <x:v>118</x:v>
      </x:c>
      <x:c r="R198" s="33" t="s">
        <x:v>98</x:v>
      </x:c>
      <x:c r="S198" s="31" t="s">
        <x:v>1147</x:v>
      </x:c>
      <x:c r="T198" s="31" t="s">
        <x:v>1148</x:v>
      </x:c>
      <x:c r="U198" s="31" t="s">
        <x:v>276</x:v>
      </x:c>
      <x:c r="V198" s="33" t="s">
        <x:v>277</x:v>
      </x:c>
      <x:c r="W198" s="33"/>
      <x:c r="X198" s="33" t="s">
        <x:v>238</x:v>
      </x:c>
      <x:c r="Y198" s="36">
        <x:v>46680</x:v>
      </x:c>
      <x:c r="Z198" s="36"/>
      <x:c r="AA198" s="33" t="s">
        <x:v>120</x:v>
      </x:c>
      <x:c r="AB198" s="37" t="n">
        <x:f>IFERROR(INDEX(Effort_Model!$J$6:$J$33,MATCH(K198&amp;"|"&amp;L198,Effort_Model!$B$6:$B$33,0)),"")</x:f>
        <x:v>26.4</x:v>
      </x:c>
      <x:c r="AC198" s="38">
        <x:v>265.8</x:v>
      </x:c>
      <x:c r="AD198" s="37">
        <x:f t="shared" si="3"/>
        <x:v>310.8</x:v>
      </x:c>
      <x:c r="AE198" s="37" t="n">
        <x:f>IFERROR(ROUND(IFERROR(INDEX(Scoring_Rules!$C$43:$C$44,MATCH(Q198,Scoring_Rules!$B$43:$B$44,0)),0)*Scoring_Rules!$C$6+IFERROR(INDEX(Scoring_Rules!$C$34:$C$40,MATCH(K198,Scoring_Rules!$B$34:$B$40,0)),0)*Scoring_Rules!$C$7+IFERROR(INDEX(Scoring_Rules!$C$16:$C$19,MATCH(P198,Scoring_Rules!$B$16:$B$19,0)),0)*Scoring_Rules!$C$8+IFERROR(INDEX(Scoring_Rules!$C$22:$C$25,MATCH(O198,Scoring_Rules!$B$22:$B$25,0)),0)*Scoring_Rules!$C$9+IFERROR(INDEX(Scoring_Rules!$C$47:$C$50,MATCH(X198,Scoring_Rules!$B$47:$B$50,0)),0)*Scoring_Rules!$C$10+IFERROR(INDEX(Scoring_Rules!$C$28:$C$31,MATCH(R198,Scoring_Rules!$B$28:$B$31,0)),0)*Scoring_Rules!$C$11,1),"")</x:f>
        <x:v>93.5</x:v>
      </x:c>
      <x:c r="AF198" s="35">
        <x:v>1</x:v>
      </x:c>
      <x:c r="AG198" s="33" t="s">
        <x:v>937</x:v>
      </x:c>
      <x:c r="AH198" s="36">
        <x:v>46370</x:v>
      </x:c>
      <x:c r="AI198" s="33" t="s">
        <x:v>127</x:v>
      </x:c>
      <x:c r="AJ198" s="34"/>
    </x:row>
    <x:row r="199" ht="15" customHeight="1">
      <x:c r="A199" s="31" t="s">
        <x:v>1149</x:v>
      </x:c>
      <x:c r="B199" s="31" t="s">
        <x:v>1150</x:v>
      </x:c>
      <x:c r="C199" s="31" t="s">
        <x:v>919</x:v>
      </x:c>
      <x:c r="D199" s="32" t="s">
        <x:v>927</x:v>
      </x:c>
      <x:c r="E199" s="32" t="str">
        <x:v>Data Migration Only</x:v>
      </x:c>
      <x:c r="F199" s="33" t="s">
        <x:v>118</x:v>
      </x:c>
      <x:c r="G199" s="34" t="s">
        <x:v>945</x:v>
      </x:c>
      <x:c r="H199" s="33" t="s">
        <x:v>87</x:v>
      </x:c>
      <x:c r="I199" s="33" t="s">
        <x:v>922</x:v>
      </x:c>
      <x:c r="J199" s="33" t="s">
        <x:v>80</x:v>
      </x:c>
      <x:c r="K199" s="33" t="s">
        <x:v>58</x:v>
      </x:c>
      <x:c r="L199" s="33" t="s">
        <x:v>71</x:v>
      </x:c>
      <x:c r="M199" s="35">
        <x:v>20</x:v>
      </x:c>
      <x:c r="N199" s="35">
        <x:v>857138</x:v>
      </x:c>
      <x:c r="O199" s="33" t="s">
        <x:v>98</x:v>
      </x:c>
      <x:c r="P199" s="33" t="s">
        <x:v>98</x:v>
      </x:c>
      <x:c r="Q199" s="33" t="s">
        <x:v>118</x:v>
      </x:c>
      <x:c r="R199" s="33" t="s">
        <x:v>73</x:v>
      </x:c>
      <x:c r="S199" s="31" t="s">
        <x:v>1151</x:v>
      </x:c>
      <x:c r="T199" s="31" t="s">
        <x:v>1152</x:v>
      </x:c>
      <x:c r="U199" s="31" t="s">
        <x:v>276</x:v>
      </x:c>
      <x:c r="V199" s="33" t="s">
        <x:v>303</x:v>
      </x:c>
      <x:c r="W199" s="33"/>
      <x:c r="X199" s="33" t="s">
        <x:v>238</x:v>
      </x:c>
      <x:c r="Y199" s="36">
        <x:v>46586</x:v>
      </x:c>
      <x:c r="Z199" s="36"/>
      <x:c r="AA199" s="33" t="s">
        <x:v>120</x:v>
      </x:c>
      <x:c r="AB199" s="37" t="n">
        <x:f>IFERROR(INDEX(Effort_Model!$J$6:$J$33,MATCH(K199&amp;"|"&amp;L199,Effort_Model!$B$6:$B$33,0)),"")</x:f>
        <x:v>18.4</x:v>
      </x:c>
      <x:c r="AC199" s="38">
        <x:v>105.2</x:v>
      </x:c>
      <x:c r="AD199" s="37">
        <x:f t="shared" si="3"/>
        <x:v>131.6</x:v>
      </x:c>
      <x:c r="AE199" s="37" t="n">
        <x:f>IFERROR(ROUND(IFERROR(INDEX(Scoring_Rules!$C$43:$C$44,MATCH(Q199,Scoring_Rules!$B$43:$B$44,0)),0)*Scoring_Rules!$C$6+IFERROR(INDEX(Scoring_Rules!$C$34:$C$40,MATCH(K199,Scoring_Rules!$B$34:$B$40,0)),0)*Scoring_Rules!$C$7+IFERROR(INDEX(Scoring_Rules!$C$16:$C$19,MATCH(P199,Scoring_Rules!$B$16:$B$19,0)),0)*Scoring_Rules!$C$8+IFERROR(INDEX(Scoring_Rules!$C$22:$C$25,MATCH(O199,Scoring_Rules!$B$22:$B$25,0)),0)*Scoring_Rules!$C$9+IFERROR(INDEX(Scoring_Rules!$C$47:$C$50,MATCH(X199,Scoring_Rules!$B$47:$B$50,0)),0)*Scoring_Rules!$C$10+IFERROR(INDEX(Scoring_Rules!$C$28:$C$31,MATCH(R199,Scoring_Rules!$B$28:$B$31,0)),0)*Scoring_Rules!$C$11,1),"")</x:f>
        <x:v>96.5</x:v>
      </x:c>
      <x:c r="AF199" s="35">
        <x:v>1</x:v>
      </x:c>
      <x:c r="AG199" s="33" t="s">
        <x:v>941</x:v>
      </x:c>
      <x:c r="AH199" s="36">
        <x:v>46300</x:v>
      </x:c>
      <x:c r="AI199" s="33" t="s">
        <x:v>127</x:v>
      </x:c>
      <x:c r="AJ199" s="34" t="s">
        <x:v>312</x:v>
      </x:c>
    </x:row>
    <x:row r="200" ht="90.75" customHeight="1">
      <x:c r="A200" s="31" t="s">
        <x:v>1153</x:v>
      </x:c>
      <x:c r="B200" s="31" t="s">
        <x:v>1154</x:v>
      </x:c>
      <x:c r="C200" s="31" t="s">
        <x:v>919</x:v>
      </x:c>
      <x:c r="D200" s="32" t="s">
        <x:v>1155</x:v>
      </x:c>
      <x:c r="E200" s="32" t="str">
        <x:v>Functional Migration Only</x:v>
      </x:c>
      <x:c r="F200" s="33" t="s">
        <x:v>118</x:v>
      </x:c>
      <x:c r="G200" s="34" t="s">
        <x:v>921</x:v>
      </x:c>
      <x:c r="H200" s="33" t="s">
        <x:v>87</x:v>
      </x:c>
      <x:c r="I200" s="33" t="s">
        <x:v>922</x:v>
      </x:c>
      <x:c r="J200" s="33" t="s">
        <x:v>82</x:v>
      </x:c>
      <x:c r="K200" s="33" t="s">
        <x:v>60</x:v>
      </x:c>
      <x:c r="L200" s="33" t="s">
        <x:v>73</x:v>
      </x:c>
      <x:c r="M200" s="35">
        <x:v>38</x:v>
      </x:c>
      <x:c r="N200" s="35">
        <x:v>6360440</x:v>
      </x:c>
      <x:c r="O200" s="33" t="s">
        <x:v>73</x:v>
      </x:c>
      <x:c r="P200" s="33" t="s">
        <x:v>73</x:v>
      </x:c>
      <x:c r="Q200" s="33" t="s">
        <x:v>118</x:v>
      </x:c>
      <x:c r="R200" s="33" t="s">
        <x:v>101</x:v>
      </x:c>
      <x:c r="S200" s="31" t="s">
        <x:v>1156</x:v>
      </x:c>
      <x:c r="T200" s="31" t="s">
        <x:v>1157</x:v>
      </x:c>
      <x:c r="U200" s="31" t="s">
        <x:v>276</x:v>
      </x:c>
      <x:c r="V200" s="33" t="s">
        <x:v>289</x:v>
      </x:c>
      <x:c r="W200" s="33" t="s">
        <x:v>1130</x:v>
      </x:c>
      <x:c r="X200" s="33" t="s">
        <x:v>240</x:v>
      </x:c>
      <x:c r="Y200" s="36"/>
      <x:c r="Z200" s="36"/>
      <x:c r="AA200" s="33" t="s">
        <x:v>120</x:v>
      </x:c>
      <x:c r="AB200" s="37" t="n">
        <x:f>IFERROR(INDEX(Effort_Model!$J$6:$J$33,MATCH(K200&amp;"|"&amp;L200,Effort_Model!$B$6:$B$33,0)),"")</x:f>
        <x:v>42.4</x:v>
      </x:c>
      <x:c r="AC200" s="38">
        <x:v>433.4</x:v>
      </x:c>
      <x:c r="AD200" s="37">
        <x:f t="shared" si="3"/>
        <x:v>510.4</x:v>
      </x:c>
      <x:c r="AE200" s="37" t="n">
        <x:f>IFERROR(ROUND(IFERROR(INDEX(Scoring_Rules!$C$43:$C$44,MATCH(Q200,Scoring_Rules!$B$43:$B$44,0)),0)*Scoring_Rules!$C$6+IFERROR(INDEX(Scoring_Rules!$C$34:$C$40,MATCH(K200,Scoring_Rules!$B$34:$B$40,0)),0)*Scoring_Rules!$C$7+IFERROR(INDEX(Scoring_Rules!$C$16:$C$19,MATCH(P200,Scoring_Rules!$B$16:$B$19,0)),0)*Scoring_Rules!$C$8+IFERROR(INDEX(Scoring_Rules!$C$22:$C$25,MATCH(O200,Scoring_Rules!$B$22:$B$25,0)),0)*Scoring_Rules!$C$9+IFERROR(INDEX(Scoring_Rules!$C$47:$C$50,MATCH(X200,Scoring_Rules!$B$47:$B$50,0)),0)*Scoring_Rules!$C$10+IFERROR(INDEX(Scoring_Rules!$C$28:$C$31,MATCH(R200,Scoring_Rules!$B$28:$B$31,0)),0)*Scoring_Rules!$C$11,1),"")</x:f>
        <x:v>70.8</x:v>
      </x:c>
      <x:c r="AF200" s="35">
        <x:v>1</x:v>
      </x:c>
      <x:c r="AG200" s="33" t="s">
        <x:v>924</x:v>
      </x:c>
      <x:c r="AH200" s="36">
        <x:v>46393</x:v>
      </x:c>
      <x:c r="AI200" s="33" t="s">
        <x:v>127</x:v>
      </x:c>
      <x:c r="AJ200" s="34"/>
    </x:row>
    <x:row r="201" ht="15" customHeight="1">
      <x:c r="A201" s="31" t="s">
        <x:v>1158</x:v>
      </x:c>
      <x:c r="B201" s="31" t="s">
        <x:v>1159</x:v>
      </x:c>
      <x:c r="C201" s="31" t="s">
        <x:v>919</x:v>
      </x:c>
      <x:c r="D201" s="32" t="s">
        <x:v>927</x:v>
      </x:c>
      <x:c r="E201" s="32" t="str">
        <x:v>Data Migration Only</x:v>
      </x:c>
      <x:c r="F201" s="33" t="s">
        <x:v>120</x:v>
      </x:c>
      <x:c r="G201" s="34" t="s">
        <x:v>921</x:v>
      </x:c>
      <x:c r="H201" s="33" t="s">
        <x:v>87</x:v>
      </x:c>
      <x:c r="I201" s="33" t="s">
        <x:v>922</x:v>
      </x:c>
      <x:c r="J201" s="33" t="s">
        <x:v>80</x:v>
      </x:c>
      <x:c r="K201" s="33" t="s">
        <x:v>62</x:v>
      </x:c>
      <x:c r="L201" s="33" t="s">
        <x:v>73</x:v>
      </x:c>
      <x:c r="M201" s="35">
        <x:v>68</x:v>
      </x:c>
      <x:c r="N201" s="35">
        <x:v>107890078</x:v>
      </x:c>
      <x:c r="O201" s="33" t="s">
        <x:v>101</x:v>
      </x:c>
      <x:c r="P201" s="33" t="s">
        <x:v>98</x:v>
      </x:c>
      <x:c r="Q201" s="33" t="s">
        <x:v>120</x:v>
      </x:c>
      <x:c r="R201" s="33" t="s">
        <x:v>98</x:v>
      </x:c>
      <x:c r="S201" s="31" t="s">
        <x:v>1160</x:v>
      </x:c>
      <x:c r="T201" s="31" t="s">
        <x:v>1161</x:v>
      </x:c>
      <x:c r="U201" s="31" t="s">
        <x:v>276</x:v>
      </x:c>
      <x:c r="V201" s="33" t="s">
        <x:v>289</x:v>
      </x:c>
      <x:c r="W201" s="33"/>
      <x:c r="X201" s="33" t="s">
        <x:v>238</x:v>
      </x:c>
      <x:c r="Y201" s="36"/>
      <x:c r="Z201" s="36"/>
      <x:c r="AA201" s="33" t="s">
        <x:v>120</x:v>
      </x:c>
      <x:c r="AB201" s="37" t="n">
        <x:f>IFERROR(INDEX(Effort_Model!$J$6:$J$33,MATCH(K201&amp;"|"&amp;L201,Effort_Model!$B$6:$B$33,0)),"")</x:f>
        <x:v>74.4</x:v>
      </x:c>
      <x:c r="AC201" s="38">
        <x:v>468.9</x:v>
      </x:c>
      <x:c r="AD201" s="37">
        <x:f t="shared" si="3"/>
        <x:v>609.9</x:v>
      </x:c>
      <x:c r="AE201" s="37" t="n">
        <x:f>IFERROR(ROUND(IFERROR(INDEX(Scoring_Rules!$C$43:$C$44,MATCH(Q201,Scoring_Rules!$B$43:$B$44,0)),0)*Scoring_Rules!$C$6+IFERROR(INDEX(Scoring_Rules!$C$34:$C$40,MATCH(K201,Scoring_Rules!$B$34:$B$40,0)),0)*Scoring_Rules!$C$7+IFERROR(INDEX(Scoring_Rules!$C$16:$C$19,MATCH(P201,Scoring_Rules!$B$16:$B$19,0)),0)*Scoring_Rules!$C$8+IFERROR(INDEX(Scoring_Rules!$C$22:$C$25,MATCH(O201,Scoring_Rules!$B$22:$B$25,0)),0)*Scoring_Rules!$C$9+IFERROR(INDEX(Scoring_Rules!$C$47:$C$50,MATCH(X201,Scoring_Rules!$B$47:$B$50,0)),0)*Scoring_Rules!$C$10+IFERROR(INDEX(Scoring_Rules!$C$28:$C$31,MATCH(R201,Scoring_Rules!$B$28:$B$31,0)),0)*Scoring_Rules!$C$11,1),"")</x:f>
        <x:v>56.3</x:v>
      </x:c>
      <x:c r="AF201" s="35">
        <x:v>3</x:v>
      </x:c>
      <x:c r="AG201" s="33" t="s">
        <x:v>931</x:v>
      </x:c>
      <x:c r="AH201" s="36">
        <x:v>46317</x:v>
      </x:c>
      <x:c r="AI201" s="33" t="s">
        <x:v>126</x:v>
      </x:c>
      <x:c r="AJ201" s="34" t="s">
        <x:v>336</x:v>
      </x:c>
    </x:row>
    <x:row r="202" ht="15" customHeight="1">
      <x:c r="A202" s="31" t="s">
        <x:v>1162</x:v>
      </x:c>
      <x:c r="B202" s="31" t="s">
        <x:v>1163</x:v>
      </x:c>
      <x:c r="C202" s="31" t="s">
        <x:v>919</x:v>
      </x:c>
      <x:c r="D202" s="32" t="s">
        <x:v>944</x:v>
      </x:c>
      <x:c r="E202" s="32" t="str">
        <x:v>Functional Migration Only</x:v>
      </x:c>
      <x:c r="F202" s="33" t="s">
        <x:v>118</x:v>
      </x:c>
      <x:c r="G202" s="34" t="s">
        <x:v>928</x:v>
      </x:c>
      <x:c r="H202" s="33" t="s">
        <x:v>87</x:v>
      </x:c>
      <x:c r="I202" s="33" t="s">
        <x:v>922</x:v>
      </x:c>
      <x:c r="J202" s="33" t="s">
        <x:v>82</x:v>
      </x:c>
      <x:c r="K202" s="33" t="s">
        <x:v>58</x:v>
      </x:c>
      <x:c r="L202" s="33" t="s">
        <x:v>73</x:v>
      </x:c>
      <x:c r="M202" s="35">
        <x:v>17</x:v>
      </x:c>
      <x:c r="N202" s="35">
        <x:v>1347981</x:v>
      </x:c>
      <x:c r="O202" s="33" t="s">
        <x:v>98</x:v>
      </x:c>
      <x:c r="P202" s="33" t="s">
        <x:v>73</x:v>
      </x:c>
      <x:c r="Q202" s="33" t="s">
        <x:v>118</x:v>
      </x:c>
      <x:c r="R202" s="33" t="s">
        <x:v>98</x:v>
      </x:c>
      <x:c r="S202" s="31" t="s">
        <x:v>409</x:v>
      </x:c>
      <x:c r="T202" s="31" t="s">
        <x:v>923</x:v>
      </x:c>
      <x:c r="U202" s="31" t="s">
        <x:v>276</x:v>
      </x:c>
      <x:c r="V202" s="33" t="s">
        <x:v>365</x:v>
      </x:c>
      <x:c r="W202" s="33"/>
      <x:c r="X202" s="33" t="s">
        <x:v>238</x:v>
      </x:c>
      <x:c r="Y202" s="36"/>
      <x:c r="Z202" s="36"/>
      <x:c r="AA202" s="33" t="s">
        <x:v>120</x:v>
      </x:c>
      <x:c r="AB202" s="37" t="n">
        <x:f>IFERROR(INDEX(Effort_Model!$J$6:$J$33,MATCH(K202&amp;"|"&amp;L202,Effort_Model!$B$6:$B$33,0)),"")</x:f>
        <x:v>26.4</x:v>
      </x:c>
      <x:c r="AC202" s="38">
        <x:v>229.5</x:v>
      </x:c>
      <x:c r="AD202" s="37">
        <x:f t="shared" si="3"/>
        <x:v>274.5</x:v>
      </x:c>
      <x:c r="AE202" s="37" t="n">
        <x:f>IFERROR(ROUND(IFERROR(INDEX(Scoring_Rules!$C$43:$C$44,MATCH(Q202,Scoring_Rules!$B$43:$B$44,0)),0)*Scoring_Rules!$C$6+IFERROR(INDEX(Scoring_Rules!$C$34:$C$40,MATCH(K202,Scoring_Rules!$B$34:$B$40,0)),0)*Scoring_Rules!$C$7+IFERROR(INDEX(Scoring_Rules!$C$16:$C$19,MATCH(P202,Scoring_Rules!$B$16:$B$19,0)),0)*Scoring_Rules!$C$8+IFERROR(INDEX(Scoring_Rules!$C$22:$C$25,MATCH(O202,Scoring_Rules!$B$22:$B$25,0)),0)*Scoring_Rules!$C$9+IFERROR(INDEX(Scoring_Rules!$C$47:$C$50,MATCH(X202,Scoring_Rules!$B$47:$B$50,0)),0)*Scoring_Rules!$C$10+IFERROR(INDEX(Scoring_Rules!$C$28:$C$31,MATCH(R202,Scoring_Rules!$B$28:$B$31,0)),0)*Scoring_Rules!$C$11,1),"")</x:f>
        <x:v>92</x:v>
      </x:c>
      <x:c r="AF202" s="35">
        <x:v>1</x:v>
      </x:c>
      <x:c r="AG202" s="33" t="s">
        <x:v>937</x:v>
      </x:c>
      <x:c r="AH202" s="36">
        <x:v>46362</x:v>
      </x:c>
      <x:c r="AI202" s="33" t="s">
        <x:v>127</x:v>
      </x:c>
      <x:c r="AJ202" s="34"/>
    </x:row>
    <x:row r="203" ht="15" customHeight="1">
      <x:c r="A203" s="31" t="s">
        <x:v>1164</x:v>
      </x:c>
      <x:c r="B203" s="31" t="s">
        <x:v>1165</x:v>
      </x:c>
      <x:c r="C203" s="31" t="s">
        <x:v>919</x:v>
      </x:c>
      <x:c r="D203" s="32" t="s">
        <x:v>944</x:v>
      </x:c>
      <x:c r="E203" s="32" t="str">
        <x:v>Functional Migration Only</x:v>
      </x:c>
      <x:c r="F203" s="33" t="s">
        <x:v>118</x:v>
      </x:c>
      <x:c r="G203" s="34" t="s">
        <x:v>945</x:v>
      </x:c>
      <x:c r="H203" s="33" t="s">
        <x:v>87</x:v>
      </x:c>
      <x:c r="I203" s="33" t="s">
        <x:v>922</x:v>
      </x:c>
      <x:c r="J203" s="33" t="s">
        <x:v>82</x:v>
      </x:c>
      <x:c r="K203" s="33" t="s">
        <x:v>58</x:v>
      </x:c>
      <x:c r="L203" s="33" t="s">
        <x:v>73</x:v>
      </x:c>
      <x:c r="M203" s="35">
        <x:v>21</x:v>
      </x:c>
      <x:c r="N203" s="35">
        <x:v>888093</x:v>
      </x:c>
      <x:c r="O203" s="33" t="s">
        <x:v>98</x:v>
      </x:c>
      <x:c r="P203" s="33" t="s">
        <x:v>73</x:v>
      </x:c>
      <x:c r="Q203" s="33" t="s">
        <x:v>120</x:v>
      </x:c>
      <x:c r="R203" s="33" t="s">
        <x:v>98</x:v>
      </x:c>
      <x:c r="S203" s="31" t="s">
        <x:v>409</x:v>
      </x:c>
      <x:c r="T203" s="31" t="s">
        <x:v>923</x:v>
      </x:c>
      <x:c r="U203" s="31" t="s">
        <x:v>276</x:v>
      </x:c>
      <x:c r="V203" s="33" t="s">
        <x:v>329</x:v>
      </x:c>
      <x:c r="W203" s="33" t="s">
        <x:v>1166</x:v>
      </x:c>
      <x:c r="X203" s="33" t="s">
        <x:v>239</x:v>
      </x:c>
      <x:c r="Y203" s="36"/>
      <x:c r="Z203" s="36"/>
      <x:c r="AA203" s="33" t="s">
        <x:v>120</x:v>
      </x:c>
      <x:c r="AB203" s="37" t="n">
        <x:f>IFERROR(INDEX(Effort_Model!$J$6:$J$33,MATCH(K203&amp;"|"&amp;L203,Effort_Model!$B$6:$B$33,0)),"")</x:f>
        <x:v>26.4</x:v>
      </x:c>
      <x:c r="AC203" s="38">
        <x:v>260.3</x:v>
      </x:c>
      <x:c r="AD203" s="37">
        <x:f t="shared" si="3"/>
        <x:v>305.3</x:v>
      </x:c>
      <x:c r="AE203" s="37" t="n">
        <x:f>IFERROR(ROUND(IFERROR(INDEX(Scoring_Rules!$C$43:$C$44,MATCH(Q203,Scoring_Rules!$B$43:$B$44,0)),0)*Scoring_Rules!$C$6+IFERROR(INDEX(Scoring_Rules!$C$34:$C$40,MATCH(K203,Scoring_Rules!$B$34:$B$40,0)),0)*Scoring_Rules!$C$7+IFERROR(INDEX(Scoring_Rules!$C$16:$C$19,MATCH(P203,Scoring_Rules!$B$16:$B$19,0)),0)*Scoring_Rules!$C$8+IFERROR(INDEX(Scoring_Rules!$C$22:$C$25,MATCH(O203,Scoring_Rules!$B$22:$B$25,0)),0)*Scoring_Rules!$C$9+IFERROR(INDEX(Scoring_Rules!$C$47:$C$50,MATCH(X203,Scoring_Rules!$B$47:$B$50,0)),0)*Scoring_Rules!$C$10+IFERROR(INDEX(Scoring_Rules!$C$28:$C$31,MATCH(R203,Scoring_Rules!$B$28:$B$31,0)),0)*Scoring_Rules!$C$11,1),"")</x:f>
        <x:v>62.5</x:v>
      </x:c>
      <x:c r="AF203" s="35">
        <x:v>3</x:v>
      </x:c>
      <x:c r="AG203" s="33" t="s">
        <x:v>941</x:v>
      </x:c>
      <x:c r="AH203" s="36">
        <x:v>46332</x:v>
      </x:c>
      <x:c r="AI203" s="33" t="s">
        <x:v>127</x:v>
      </x:c>
      <x:c r="AJ203" s="34" t="s">
        <x:v>383</x:v>
      </x:c>
    </x:row>
    <x:row r="204" ht="15" customHeight="1">
      <x:c r="A204" s="31" t="s">
        <x:v>1167</x:v>
      </x:c>
      <x:c r="B204" s="31" t="s">
        <x:v>1168</x:v>
      </x:c>
      <x:c r="C204" s="31" t="s">
        <x:v>919</x:v>
      </x:c>
      <x:c r="D204" s="32" t="s">
        <x:v>944</x:v>
      </x:c>
      <x:c r="E204" s="32" t="str">
        <x:v>Data Migration Only</x:v>
      </x:c>
      <x:c r="F204" s="33" t="s">
        <x:v>118</x:v>
      </x:c>
      <x:c r="G204" s="34" t="s">
        <x:v>921</x:v>
      </x:c>
      <x:c r="H204" s="33" t="s">
        <x:v>87</x:v>
      </x:c>
      <x:c r="I204" s="33" t="s">
        <x:v>922</x:v>
      </x:c>
      <x:c r="J204" s="33" t="s">
        <x:v>80</x:v>
      </x:c>
      <x:c r="K204" s="33" t="s">
        <x:v>60</x:v>
      </x:c>
      <x:c r="L204" s="33" t="s">
        <x:v>71</x:v>
      </x:c>
      <x:c r="M204" s="35">
        <x:v>45</x:v>
      </x:c>
      <x:c r="N204" s="35">
        <x:v>6170629</x:v>
      </x:c>
      <x:c r="O204" s="33" t="s">
        <x:v>73</x:v>
      </x:c>
      <x:c r="P204" s="33" t="s">
        <x:v>98</x:v>
      </x:c>
      <x:c r="Q204" s="33" t="s">
        <x:v>118</x:v>
      </x:c>
      <x:c r="R204" s="33" t="s">
        <x:v>101</x:v>
      </x:c>
      <x:c r="S204" s="31" t="s">
        <x:v>409</x:v>
      </x:c>
      <x:c r="T204" s="31" t="s">
        <x:v>923</x:v>
      </x:c>
      <x:c r="U204" s="31" t="s">
        <x:v>276</x:v>
      </x:c>
      <x:c r="V204" s="33" t="s">
        <x:v>303</x:v>
      </x:c>
      <x:c r="W204" s="33" t="s">
        <x:v>988</x:v>
      </x:c>
      <x:c r="X204" s="33" t="s">
        <x:v>240</x:v>
      </x:c>
      <x:c r="Y204" s="36"/>
      <x:c r="Z204" s="36">
        <x:v>47058</x:v>
      </x:c>
      <x:c r="AA204" s="33" t="s">
        <x:v>120</x:v>
      </x:c>
      <x:c r="AB204" s="37" t="n">
        <x:f>IFERROR(INDEX(Effort_Model!$J$6:$J$33,MATCH(K204&amp;"|"&amp;L204,Effort_Model!$B$6:$B$33,0)),"")</x:f>
        <x:v>18.4</x:v>
      </x:c>
      <x:c r="AC204" s="38">
        <x:v>189</x:v>
      </x:c>
      <x:c r="AD204" s="37">
        <x:f t="shared" si="3"/>
        <x:v>231.4</x:v>
      </x:c>
      <x:c r="AE204" s="37" t="n">
        <x:f>IFERROR(ROUND(IFERROR(INDEX(Scoring_Rules!$C$43:$C$44,MATCH(Q204,Scoring_Rules!$B$43:$B$44,0)),0)*Scoring_Rules!$C$6+IFERROR(INDEX(Scoring_Rules!$C$34:$C$40,MATCH(K204,Scoring_Rules!$B$34:$B$40,0)),0)*Scoring_Rules!$C$7+IFERROR(INDEX(Scoring_Rules!$C$16:$C$19,MATCH(P204,Scoring_Rules!$B$16:$B$19,0)),0)*Scoring_Rules!$C$8+IFERROR(INDEX(Scoring_Rules!$C$22:$C$25,MATCH(O204,Scoring_Rules!$B$22:$B$25,0)),0)*Scoring_Rules!$C$9+IFERROR(INDEX(Scoring_Rules!$C$47:$C$50,MATCH(X204,Scoring_Rules!$B$47:$B$50,0)),0)*Scoring_Rules!$C$10+IFERROR(INDEX(Scoring_Rules!$C$28:$C$31,MATCH(R204,Scoring_Rules!$B$28:$B$31,0)),0)*Scoring_Rules!$C$11,1),"")</x:f>
        <x:v>76.8</x:v>
      </x:c>
      <x:c r="AF204" s="35">
        <x:v>1</x:v>
      </x:c>
      <x:c r="AG204" s="33" t="s">
        <x:v>924</x:v>
      </x:c>
      <x:c r="AH204" s="36">
        <x:v>46382</x:v>
      </x:c>
      <x:c r="AI204" s="33" t="s">
        <x:v>125</x:v>
      </x:c>
      <x:c r="AJ204" s="34" t="s">
        <x:v>312</x:v>
      </x:c>
    </x:row>
    <x:row r="205" ht="15" customHeight="1">
      <x:c r="A205" s="31" t="s">
        <x:v>1169</x:v>
      </x:c>
      <x:c r="B205" s="31" t="s">
        <x:v>1170</x:v>
      </x:c>
      <x:c r="C205" s="31" t="s">
        <x:v>919</x:v>
      </x:c>
      <x:c r="D205" s="32" t="s">
        <x:v>1171</x:v>
      </x:c>
      <x:c r="E205" s="32" t="str">
        <x:v>Functional Migration Only</x:v>
      </x:c>
      <x:c r="F205" s="33" t="s">
        <x:v>118</x:v>
      </x:c>
      <x:c r="G205" s="34" t="s">
        <x:v>973</x:v>
      </x:c>
      <x:c r="H205" s="33" t="s">
        <x:v>87</x:v>
      </x:c>
      <x:c r="I205" s="33" t="s">
        <x:v>922</x:v>
      </x:c>
      <x:c r="J205" s="33" t="s">
        <x:v>82</x:v>
      </x:c>
      <x:c r="K205" s="33" t="s">
        <x:v>58</x:v>
      </x:c>
      <x:c r="L205" s="33" t="s">
        <x:v>71</x:v>
      </x:c>
      <x:c r="M205" s="35">
        <x:v>14</x:v>
      </x:c>
      <x:c r="N205" s="35">
        <x:v>1129540</x:v>
      </x:c>
      <x:c r="O205" s="33" t="s">
        <x:v>98</x:v>
      </x:c>
      <x:c r="P205" s="33" t="s">
        <x:v>98</x:v>
      </x:c>
      <x:c r="Q205" s="33" t="s">
        <x:v>120</x:v>
      </x:c>
      <x:c r="R205" s="33" t="s">
        <x:v>98</x:v>
      </x:c>
      <x:c r="S205" s="31" t="s">
        <x:v>1172</x:v>
      </x:c>
      <x:c r="T205" s="31" t="s">
        <x:v>1173</x:v>
      </x:c>
      <x:c r="U205" s="31" t="s">
        <x:v>276</x:v>
      </x:c>
      <x:c r="V205" s="33" t="s">
        <x:v>289</x:v>
      </x:c>
      <x:c r="W205" s="33"/>
      <x:c r="X205" s="33" t="s">
        <x:v>238</x:v>
      </x:c>
      <x:c r="Y205" s="36"/>
      <x:c r="Z205" s="36"/>
      <x:c r="AA205" s="33" t="s">
        <x:v>118</x:v>
      </x:c>
      <x:c r="AB205" s="37" t="n">
        <x:f>IFERROR(INDEX(Effort_Model!$J$6:$J$33,MATCH(K205&amp;"|"&amp;L205,Effort_Model!$B$6:$B$33,0)),"")</x:f>
        <x:v>18.4</x:v>
      </x:c>
      <x:c r="AC205" s="38">
        <x:v>166.9</x:v>
      </x:c>
      <x:c r="AD205" s="37">
        <x:f t="shared" si="3"/>
        <x:v>193.3</x:v>
      </x:c>
      <x:c r="AE205" s="37" t="n">
        <x:f>IFERROR(ROUND(IFERROR(INDEX(Scoring_Rules!$C$43:$C$44,MATCH(Q205,Scoring_Rules!$B$43:$B$44,0)),0)*Scoring_Rules!$C$6+IFERROR(INDEX(Scoring_Rules!$C$34:$C$40,MATCH(K205,Scoring_Rules!$B$34:$B$40,0)),0)*Scoring_Rules!$C$7+IFERROR(INDEX(Scoring_Rules!$C$16:$C$19,MATCH(P205,Scoring_Rules!$B$16:$B$19,0)),0)*Scoring_Rules!$C$8+IFERROR(INDEX(Scoring_Rules!$C$22:$C$25,MATCH(O205,Scoring_Rules!$B$22:$B$25,0)),0)*Scoring_Rules!$C$9+IFERROR(INDEX(Scoring_Rules!$C$47:$C$50,MATCH(X205,Scoring_Rules!$B$47:$B$50,0)),0)*Scoring_Rules!$C$10+IFERROR(INDEX(Scoring_Rules!$C$28:$C$31,MATCH(R205,Scoring_Rules!$B$28:$B$31,0)),0)*Scoring_Rules!$C$11,1),"")</x:f>
        <x:v>73</x:v>
      </x:c>
      <x:c r="AF205" s="35"/>
      <x:c r="AG205" s="33" t="s">
        <x:v>931</x:v>
      </x:c>
      <x:c r="AH205" s="36">
        <x:v>46357</x:v>
      </x:c>
      <x:c r="AI205" s="33" t="s">
        <x:v>126</x:v>
      </x:c>
      <x:c r="AJ205" s="34" t="s">
        <x:v>312</x:v>
      </x:c>
    </x:row>
    <x:row r="206" ht="15" customHeight="1">
      <x:c r="A206" s="31" t="s">
        <x:v>1174</x:v>
      </x:c>
      <x:c r="B206" s="31" t="s">
        <x:v>1175</x:v>
      </x:c>
      <x:c r="C206" s="31" t="s">
        <x:v>919</x:v>
      </x:c>
      <x:c r="D206" s="32" t="s">
        <x:v>944</x:v>
      </x:c>
      <x:c r="E206" s="32" t="str">
        <x:v>Functional Migration Only</x:v>
      </x:c>
      <x:c r="F206" s="33" t="s">
        <x:v>118</x:v>
      </x:c>
      <x:c r="G206" s="34" t="s">
        <x:v>973</x:v>
      </x:c>
      <x:c r="H206" s="33" t="s">
        <x:v>87</x:v>
      </x:c>
      <x:c r="I206" s="33" t="s">
        <x:v>922</x:v>
      </x:c>
      <x:c r="J206" s="33" t="s">
        <x:v>82</x:v>
      </x:c>
      <x:c r="K206" s="33" t="s">
        <x:v>62</x:v>
      </x:c>
      <x:c r="L206" s="33" t="s">
        <x:v>71</x:v>
      </x:c>
      <x:c r="M206" s="35">
        <x:v>69</x:v>
      </x:c>
      <x:c r="N206" s="35">
        <x:v>64271213</x:v>
      </x:c>
      <x:c r="O206" s="33" t="s">
        <x:v>73</x:v>
      </x:c>
      <x:c r="P206" s="33" t="s">
        <x:v>98</x:v>
      </x:c>
      <x:c r="Q206" s="33" t="s">
        <x:v>120</x:v>
      </x:c>
      <x:c r="R206" s="33" t="s">
        <x:v>101</x:v>
      </x:c>
      <x:c r="S206" s="31" t="s">
        <x:v>1176</x:v>
      </x:c>
      <x:c r="T206" s="31" t="s">
        <x:v>1177</x:v>
      </x:c>
      <x:c r="U206" s="31" t="s">
        <x:v>276</x:v>
      </x:c>
      <x:c r="V206" s="33" t="s">
        <x:v>323</x:v>
      </x:c>
      <x:c r="W206" s="33"/>
      <x:c r="X206" s="33" t="s">
        <x:v>238</x:v>
      </x:c>
      <x:c r="Y206" s="36">
        <x:v>46489</x:v>
      </x:c>
      <x:c r="Z206" s="36"/>
      <x:c r="AA206" s="33" t="s">
        <x:v>120</x:v>
      </x:c>
      <x:c r="AB206" s="37" t="n">
        <x:f>IFERROR(INDEX(Effort_Model!$J$6:$J$33,MATCH(K206&amp;"|"&amp;L206,Effort_Model!$B$6:$B$33,0)),"")</x:f>
        <x:v>18.4</x:v>
      </x:c>
      <x:c r="AC206" s="38">
        <x:v>492.9</x:v>
      </x:c>
      <x:c r="AD206" s="37">
        <x:f t="shared" si="3"/>
        <x:v>567.29999999999995</x:v>
      </x:c>
      <x:c r="AE206" s="37" t="n">
        <x:f>IFERROR(ROUND(IFERROR(INDEX(Scoring_Rules!$C$43:$C$44,MATCH(Q206,Scoring_Rules!$B$43:$B$44,0)),0)*Scoring_Rules!$C$6+IFERROR(INDEX(Scoring_Rules!$C$34:$C$40,MATCH(K206,Scoring_Rules!$B$34:$B$40,0)),0)*Scoring_Rules!$C$7+IFERROR(INDEX(Scoring_Rules!$C$16:$C$19,MATCH(P206,Scoring_Rules!$B$16:$B$19,0)),0)*Scoring_Rules!$C$8+IFERROR(INDEX(Scoring_Rules!$C$22:$C$25,MATCH(O206,Scoring_Rules!$B$22:$B$25,0)),0)*Scoring_Rules!$C$9+IFERROR(INDEX(Scoring_Rules!$C$47:$C$50,MATCH(X206,Scoring_Rules!$B$47:$B$50,0)),0)*Scoring_Rules!$C$10+IFERROR(INDEX(Scoring_Rules!$C$28:$C$31,MATCH(R206,Scoring_Rules!$B$28:$B$31,0)),0)*Scoring_Rules!$C$11,1),"")</x:f>
        <x:v>58.3</x:v>
      </x:c>
      <x:c r="AF206" s="35">
        <x:v>2</x:v>
      </x:c>
      <x:c r="AG206" s="33" t="s">
        <x:v>937</x:v>
      </x:c>
      <x:c r="AH206" s="36">
        <x:v>46410</x:v>
      </x:c>
      <x:c r="AI206" s="33" t="s">
        <x:v>124</x:v>
      </x:c>
      <x:c r="AJ206" s="34"/>
    </x:row>
    <x:row r="207" ht="15" customHeight="1">
      <x:c r="A207" s="31" t="s">
        <x:v>1178</x:v>
      </x:c>
      <x:c r="B207" s="31" t="s">
        <x:v>1179</x:v>
      </x:c>
      <x:c r="C207" s="31" t="s">
        <x:v>919</x:v>
      </x:c>
      <x:c r="D207" s="32" t="s">
        <x:v>927</x:v>
      </x:c>
      <x:c r="E207" s="32" t="str">
        <x:v>Data Migration Only</x:v>
      </x:c>
      <x:c r="F207" s="33" t="s">
        <x:v>118</x:v>
      </x:c>
      <x:c r="G207" s="34" t="s">
        <x:v>973</x:v>
      </x:c>
      <x:c r="H207" s="33" t="s">
        <x:v>87</x:v>
      </x:c>
      <x:c r="I207" s="33" t="s">
        <x:v>922</x:v>
      </x:c>
      <x:c r="J207" s="33" t="s">
        <x:v>80</x:v>
      </x:c>
      <x:c r="K207" s="33" t="s">
        <x:v>62</x:v>
      </x:c>
      <x:c r="L207" s="33" t="s">
        <x:v>73</x:v>
      </x:c>
      <x:c r="M207" s="35">
        <x:v>55</x:v>
      </x:c>
      <x:c r="N207" s="35">
        <x:v>97586918</x:v>
      </x:c>
      <x:c r="O207" s="33" t="s">
        <x:v>73</x:v>
      </x:c>
      <x:c r="P207" s="33" t="s">
        <x:v>73</x:v>
      </x:c>
      <x:c r="Q207" s="33" t="s">
        <x:v>120</x:v>
      </x:c>
      <x:c r="R207" s="33" t="s">
        <x:v>101</x:v>
      </x:c>
      <x:c r="S207" s="31" t="s">
        <x:v>935</x:v>
      </x:c>
      <x:c r="T207" s="31" t="s">
        <x:v>1106</x:v>
      </x:c>
      <x:c r="U207" s="31" t="s">
        <x:v>276</x:v>
      </x:c>
      <x:c r="V207" s="33" t="s">
        <x:v>379</x:v>
      </x:c>
      <x:c r="W207" s="33" t="s">
        <x:v>917</x:v>
      </x:c>
      <x:c r="X207" s="33" t="s">
        <x:v>239</x:v>
      </x:c>
      <x:c r="Y207" s="36"/>
      <x:c r="Z207" s="36"/>
      <x:c r="AA207" s="33" t="s">
        <x:v>120</x:v>
      </x:c>
      <x:c r="AB207" s="37" t="n">
        <x:f>IFERROR(INDEX(Effort_Model!$J$6:$J$33,MATCH(K207&amp;"|"&amp;L207,Effort_Model!$B$6:$B$33,0)),"")</x:f>
        <x:v>74.4</x:v>
      </x:c>
      <x:c r="AC207" s="38">
        <x:v>444.7</x:v>
      </x:c>
      <x:c r="AD207" s="37">
        <x:f t="shared" si="3"/>
        <x:v>585.70000000000005</x:v>
      </x:c>
      <x:c r="AE207" s="37" t="n">
        <x:f>IFERROR(ROUND(IFERROR(INDEX(Scoring_Rules!$C$43:$C$44,MATCH(Q207,Scoring_Rules!$B$43:$B$44,0)),0)*Scoring_Rules!$C$6+IFERROR(INDEX(Scoring_Rules!$C$34:$C$40,MATCH(K207,Scoring_Rules!$B$34:$B$40,0)),0)*Scoring_Rules!$C$7+IFERROR(INDEX(Scoring_Rules!$C$16:$C$19,MATCH(P207,Scoring_Rules!$B$16:$B$19,0)),0)*Scoring_Rules!$C$8+IFERROR(INDEX(Scoring_Rules!$C$22:$C$25,MATCH(O207,Scoring_Rules!$B$22:$B$25,0)),0)*Scoring_Rules!$C$9+IFERROR(INDEX(Scoring_Rules!$C$47:$C$50,MATCH(X207,Scoring_Rules!$B$47:$B$50,0)),0)*Scoring_Rules!$C$10+IFERROR(INDEX(Scoring_Rules!$C$28:$C$31,MATCH(R207,Scoring_Rules!$B$28:$B$31,0)),0)*Scoring_Rules!$C$11,1),"")</x:f>
        <x:v>47.8</x:v>
      </x:c>
      <x:c r="AF207" s="35">
        <x:v>4</x:v>
      </x:c>
      <x:c r="AG207" s="33" t="s">
        <x:v>941</x:v>
      </x:c>
      <x:c r="AH207" s="36">
        <x:v>46367</x:v>
      </x:c>
      <x:c r="AI207" s="33" t="s">
        <x:v>127</x:v>
      </x:c>
      <x:c r="AJ207" s="34" t="s">
        <x:v>383</x:v>
      </x:c>
    </x:row>
    <x:row r="208" ht="15" customHeight="1">
      <x:c r="A208" s="31" t="s">
        <x:v>1180</x:v>
      </x:c>
      <x:c r="B208" s="31" t="s">
        <x:v>1181</x:v>
      </x:c>
      <x:c r="C208" s="31" t="s">
        <x:v>919</x:v>
      </x:c>
      <x:c r="D208" s="32" t="s">
        <x:v>1182</x:v>
      </x:c>
      <x:c r="E208" s="32" t="str">
        <x:v>Data Migration Only</x:v>
      </x:c>
      <x:c r="F208" s="33" t="s">
        <x:v>118</x:v>
      </x:c>
      <x:c r="G208" s="34" t="s">
        <x:v>928</x:v>
      </x:c>
      <x:c r="H208" s="33" t="s">
        <x:v>87</x:v>
      </x:c>
      <x:c r="I208" s="33" t="s">
        <x:v>922</x:v>
      </x:c>
      <x:c r="J208" s="33" t="s">
        <x:v>80</x:v>
      </x:c>
      <x:c r="K208" s="33" t="s">
        <x:v>60</x:v>
      </x:c>
      <x:c r="L208" s="33" t="s">
        <x:v>71</x:v>
      </x:c>
      <x:c r="M208" s="35">
        <x:v>48</x:v>
      </x:c>
      <x:c r="N208" s="35">
        <x:v>3390867</x:v>
      </x:c>
      <x:c r="O208" s="33" t="s">
        <x:v>98</x:v>
      </x:c>
      <x:c r="P208" s="33" t="s">
        <x:v>73</x:v>
      </x:c>
      <x:c r="Q208" s="33" t="s">
        <x:v>120</x:v>
      </x:c>
      <x:c r="R208" s="33" t="s">
        <x:v>73</x:v>
      </x:c>
      <x:c r="S208" s="31" t="s">
        <x:v>1183</x:v>
      </x:c>
      <x:c r="T208" s="31" t="s">
        <x:v>1184</x:v>
      </x:c>
      <x:c r="U208" s="31" t="s">
        <x:v>276</x:v>
      </x:c>
      <x:c r="V208" s="33" t="s">
        <x:v>444</x:v>
      </x:c>
      <x:c r="W208" s="33" t="s">
        <x:v>1185</x:v>
      </x:c>
      <x:c r="X208" s="33" t="s">
        <x:v>239</x:v>
      </x:c>
      <x:c r="Y208" s="36"/>
      <x:c r="Z208" s="36"/>
      <x:c r="AA208" s="33" t="s">
        <x:v>118</x:v>
      </x:c>
      <x:c r="AB208" s="37" t="n">
        <x:f>IFERROR(INDEX(Effort_Model!$J$6:$J$33,MATCH(K208&amp;"|"&amp;L208,Effort_Model!$B$6:$B$33,0)),"")</x:f>
        <x:v>18.4</x:v>
      </x:c>
      <x:c r="AC208" s="38">
        <x:v>181.6</x:v>
      </x:c>
      <x:c r="AD208" s="37">
        <x:f t="shared" si="3"/>
        <x:v>224</x:v>
      </x:c>
      <x:c r="AE208" s="37" t="n">
        <x:f>IFERROR(ROUND(IFERROR(INDEX(Scoring_Rules!$C$43:$C$44,MATCH(Q208,Scoring_Rules!$B$43:$B$44,0)),0)*Scoring_Rules!$C$6+IFERROR(INDEX(Scoring_Rules!$C$34:$C$40,MATCH(K208,Scoring_Rules!$B$34:$B$40,0)),0)*Scoring_Rules!$C$7+IFERROR(INDEX(Scoring_Rules!$C$16:$C$19,MATCH(P208,Scoring_Rules!$B$16:$B$19,0)),0)*Scoring_Rules!$C$8+IFERROR(INDEX(Scoring_Rules!$C$22:$C$25,MATCH(O208,Scoring_Rules!$B$22:$B$25,0)),0)*Scoring_Rules!$C$9+IFERROR(INDEX(Scoring_Rules!$C$47:$C$50,MATCH(X208,Scoring_Rules!$B$47:$B$50,0)),0)*Scoring_Rules!$C$10+IFERROR(INDEX(Scoring_Rules!$C$28:$C$31,MATCH(R208,Scoring_Rules!$B$28:$B$31,0)),0)*Scoring_Rules!$C$11,1),"")</x:f>
        <x:v>58</x:v>
      </x:c>
      <x:c r="AF208" s="35"/>
      <x:c r="AG208" s="33" t="s">
        <x:v>924</x:v>
      </x:c>
      <x:c r="AH208" s="36">
        <x:v>46319</x:v>
      </x:c>
      <x:c r="AI208" s="33" t="s">
        <x:v>127</x:v>
      </x:c>
      <x:c r="AJ208" s="34" t="s">
        <x:v>395</x:v>
      </x:c>
    </x:row>
    <x:row r="209" ht="15" customHeight="1">
      <x:c r="A209" s="31" t="s">
        <x:v>1186</x:v>
      </x:c>
      <x:c r="B209" s="31" t="s">
        <x:v>1187</x:v>
      </x:c>
      <x:c r="C209" s="31" t="s">
        <x:v>919</x:v>
      </x:c>
      <x:c r="D209" s="32"/>
      <x:c r="E209" s="32" t="str">
        <x:v>Functional Migration Only</x:v>
      </x:c>
      <x:c r="F209" s="33" t="s">
        <x:v>118</x:v>
      </x:c>
      <x:c r="G209" s="34" t="s">
        <x:v>921</x:v>
      </x:c>
      <x:c r="H209" s="33" t="s">
        <x:v>87</x:v>
      </x:c>
      <x:c r="I209" s="33" t="s">
        <x:v>922</x:v>
      </x:c>
      <x:c r="J209" s="33" t="s">
        <x:v>82</x:v>
      </x:c>
      <x:c r="K209" s="33" t="s">
        <x:v>58</x:v>
      </x:c>
      <x:c r="L209" s="33" t="s">
        <x:v>73</x:v>
      </x:c>
      <x:c r="M209" s="35">
        <x:v>28</x:v>
      </x:c>
      <x:c r="N209" s="35">
        <x:v>865644</x:v>
      </x:c>
      <x:c r="O209" s="33" t="s">
        <x:v>101</x:v>
      </x:c>
      <x:c r="P209" s="33" t="s">
        <x:v>73</x:v>
      </x:c>
      <x:c r="Q209" s="33" t="s">
        <x:v>118</x:v>
      </x:c>
      <x:c r="R209" s="33" t="s">
        <x:v>101</x:v>
      </x:c>
      <x:c r="S209" s="31" t="s">
        <x:v>1188</x:v>
      </x:c>
      <x:c r="T209" s="31" t="s">
        <x:v>1189</x:v>
      </x:c>
      <x:c r="U209" s="31" t="s">
        <x:v>276</x:v>
      </x:c>
      <x:c r="V209" s="33" t="s">
        <x:v>444</x:v>
      </x:c>
      <x:c r="W209" s="33"/>
      <x:c r="X209" s="33" t="s">
        <x:v>238</x:v>
      </x:c>
      <x:c r="Y209" s="36"/>
      <x:c r="Z209" s="36"/>
      <x:c r="AA209" s="33" t="s">
        <x:v>120</x:v>
      </x:c>
      <x:c r="AB209" s="37" t="n">
        <x:f>IFERROR(INDEX(Effort_Model!$J$6:$J$33,MATCH(K209&amp;"|"&amp;L209,Effort_Model!$B$6:$B$33,0)),"")</x:f>
        <x:v>26.4</x:v>
      </x:c>
      <x:c r="AC209" s="38">
        <x:v>249.3</x:v>
      </x:c>
      <x:c r="AD209" s="37">
        <x:f t="shared" si="3"/>
        <x:v>294.3</x:v>
      </x:c>
      <x:c r="AE209" s="37" t="n">
        <x:f>IFERROR(ROUND(IFERROR(INDEX(Scoring_Rules!$C$43:$C$44,MATCH(Q209,Scoring_Rules!$B$43:$B$44,0)),0)*Scoring_Rules!$C$6+IFERROR(INDEX(Scoring_Rules!$C$34:$C$40,MATCH(K209,Scoring_Rules!$B$34:$B$40,0)),0)*Scoring_Rules!$C$7+IFERROR(INDEX(Scoring_Rules!$C$16:$C$19,MATCH(P209,Scoring_Rules!$B$16:$B$19,0)),0)*Scoring_Rules!$C$8+IFERROR(INDEX(Scoring_Rules!$C$22:$C$25,MATCH(O209,Scoring_Rules!$B$22:$B$25,0)),0)*Scoring_Rules!$C$9+IFERROR(INDEX(Scoring_Rules!$C$47:$C$50,MATCH(X209,Scoring_Rules!$B$47:$B$50,0)),0)*Scoring_Rules!$C$10+IFERROR(INDEX(Scoring_Rules!$C$28:$C$31,MATCH(R209,Scoring_Rules!$B$28:$B$31,0)),0)*Scoring_Rules!$C$11,1),"")</x:f>
        <x:v>79</x:v>
      </x:c>
      <x:c r="AF209" s="35">
        <x:v>1</x:v>
      </x:c>
      <x:c r="AG209" s="33" t="s">
        <x:v>931</x:v>
      </x:c>
      <x:c r="AH209" s="36">
        <x:v>46409</x:v>
      </x:c>
      <x:c r="AI209" s="33" t="s">
        <x:v>124</x:v>
      </x:c>
      <x:c r="AJ209" s="34"/>
    </x:row>
    <x:row r="210" ht="15" customHeight="1">
      <x:c r="A210" s="31" t="s">
        <x:v>1190</x:v>
      </x:c>
      <x:c r="B210" s="31" t="s">
        <x:v>1191</x:v>
      </x:c>
      <x:c r="C210" s="31" t="s">
        <x:v>1192</x:v>
      </x:c>
      <x:c r="D210" s="32" t="s">
        <x:v>1193</x:v>
      </x:c>
      <x:c r="E210" s="32" t="str">
        <x:v>Functional Migration Only</x:v>
      </x:c>
      <x:c r="F210" s="33" t="s">
        <x:v>118</x:v>
      </x:c>
      <x:c r="G210" s="34" t="s">
        <x:v>1194</x:v>
      </x:c>
      <x:c r="H210" s="33" t="s">
        <x:v>87</x:v>
      </x:c>
      <x:c r="I210" s="33" t="s">
        <x:v>1195</x:v>
      </x:c>
      <x:c r="J210" s="33" t="s">
        <x:v>82</x:v>
      </x:c>
      <x:c r="K210" s="33" t="s">
        <x:v>64</x:v>
      </x:c>
      <x:c r="L210" s="33" t="s">
        <x:v>75</x:v>
      </x:c>
      <x:c r="M210" s="35">
        <x:v>95</x:v>
      </x:c>
      <x:c r="N210" s="35">
        <x:v>600278617</x:v>
      </x:c>
      <x:c r="O210" s="33" t="s">
        <x:v>101</x:v>
      </x:c>
      <x:c r="P210" s="33" t="s">
        <x:v>101</x:v>
      </x:c>
      <x:c r="Q210" s="33" t="s">
        <x:v>120</x:v>
      </x:c>
      <x:c r="R210" s="33" t="s">
        <x:v>115</x:v>
      </x:c>
      <x:c r="S210" s="31" t="s">
        <x:v>1196</x:v>
      </x:c>
      <x:c r="T210" s="31" t="s">
        <x:v>1197</x:v>
      </x:c>
      <x:c r="U210" s="31" t="s">
        <x:v>522</x:v>
      </x:c>
      <x:c r="V210" s="33" t="s">
        <x:v>277</x:v>
      </x:c>
      <x:c r="W210" s="33"/>
      <x:c r="X210" s="33" t="s">
        <x:v>238</x:v>
      </x:c>
      <x:c r="Y210" s="36"/>
      <x:c r="Z210" s="36"/>
      <x:c r="AA210" s="33" t="s">
        <x:v>120</x:v>
      </x:c>
      <x:c r="AB210" s="37" t="n">
        <x:f>IFERROR(INDEX(Effort_Model!$J$6:$J$33,MATCH(K210&amp;"|"&amp;L210,Effort_Model!$B$6:$B$33,0)),"")</x:f>
        <x:v>106.4</x:v>
      </x:c>
      <x:c r="AC210" s="38">
        <x:v>1737.9</x:v>
      </x:c>
      <x:c r="AD210" s="37">
        <x:f t="shared" si="3"/>
        <x:v>2043.2333000000001</x:v>
      </x:c>
      <x:c r="AE210" s="37" t="n">
        <x:f>IFERROR(ROUND(IFERROR(INDEX(Scoring_Rules!$C$43:$C$44,MATCH(Q210,Scoring_Rules!$B$43:$B$44,0)),0)*Scoring_Rules!$C$6+IFERROR(INDEX(Scoring_Rules!$C$34:$C$40,MATCH(K210,Scoring_Rules!$B$34:$B$40,0)),0)*Scoring_Rules!$C$7+IFERROR(INDEX(Scoring_Rules!$C$16:$C$19,MATCH(P210,Scoring_Rules!$B$16:$B$19,0)),0)*Scoring_Rules!$C$8+IFERROR(INDEX(Scoring_Rules!$C$22:$C$25,MATCH(O210,Scoring_Rules!$B$22:$B$25,0)),0)*Scoring_Rules!$C$9+IFERROR(INDEX(Scoring_Rules!$C$47:$C$50,MATCH(X210,Scoring_Rules!$B$47:$B$50,0)),0)*Scoring_Rules!$C$10+IFERROR(INDEX(Scoring_Rules!$C$28:$C$31,MATCH(R210,Scoring_Rules!$B$28:$B$31,0)),0)*Scoring_Rules!$C$11,1),"")</x:f>
        <x:v>34.3</x:v>
      </x:c>
      <x:c r="AF210" s="35">
        <x:v>7</x:v>
      </x:c>
      <x:c r="AG210" s="33" t="s">
        <x:v>1198</x:v>
      </x:c>
      <x:c r="AH210" s="36">
        <x:v>46376</x:v>
      </x:c>
      <x:c r="AI210" s="33" t="s">
        <x:v>127</x:v>
      </x:c>
      <x:c r="AJ210" s="34"/>
    </x:row>
    <x:row r="211" ht="15" customHeight="1">
      <x:c r="A211" s="31" t="s">
        <x:v>1199</x:v>
      </x:c>
      <x:c r="B211" s="31" t="s">
        <x:v>1200</x:v>
      </x:c>
      <x:c r="C211" s="31" t="s">
        <x:v>1192</x:v>
      </x:c>
      <x:c r="D211" s="32" t="s">
        <x:v>1193</x:v>
      </x:c>
      <x:c r="E211" s="32" t="str">
        <x:v>Functional Migration Only</x:v>
      </x:c>
      <x:c r="F211" s="33" t="s">
        <x:v>118</x:v>
      </x:c>
      <x:c r="G211" s="34" t="s">
        <x:v>1201</x:v>
      </x:c>
      <x:c r="H211" s="33" t="s">
        <x:v>87</x:v>
      </x:c>
      <x:c r="I211" s="33" t="s">
        <x:v>1195</x:v>
      </x:c>
      <x:c r="J211" s="33" t="s">
        <x:v>82</x:v>
      </x:c>
      <x:c r="K211" s="33" t="s">
        <x:v>60</x:v>
      </x:c>
      <x:c r="L211" s="33" t="s">
        <x:v>75</x:v>
      </x:c>
      <x:c r="M211" s="35">
        <x:v>49</x:v>
      </x:c>
      <x:c r="N211" s="35">
        <x:v>3151021</x:v>
      </x:c>
      <x:c r="O211" s="33" t="s">
        <x:v>101</x:v>
      </x:c>
      <x:c r="P211" s="33" t="s">
        <x:v>101</x:v>
      </x:c>
      <x:c r="Q211" s="33" t="s">
        <x:v>120</x:v>
      </x:c>
      <x:c r="R211" s="33" t="s">
        <x:v>101</x:v>
      </x:c>
      <x:c r="S211" s="31" t="s">
        <x:v>1196</x:v>
      </x:c>
      <x:c r="T211" s="31" t="s">
        <x:v>1197</x:v>
      </x:c>
      <x:c r="U211" s="31" t="s">
        <x:v>522</x:v>
      </x:c>
      <x:c r="V211" s="33" t="s">
        <x:v>289</x:v>
      </x:c>
      <x:c r="W211" s="33"/>
      <x:c r="X211" s="33" t="s">
        <x:v>238</x:v>
      </x:c>
      <x:c r="Y211" s="36"/>
      <x:c r="Z211" s="36"/>
      <x:c r="AA211" s="33" t="s">
        <x:v>120</x:v>
      </x:c>
      <x:c r="AB211" s="37" t="n">
        <x:f>IFERROR(INDEX(Effort_Model!$J$6:$J$33,MATCH(K211&amp;"|"&amp;L211,Effort_Model!$B$6:$B$33,0)),"")</x:f>
        <x:v>42.4</x:v>
      </x:c>
      <x:c r="AC211" s="38">
        <x:v>508</x:v>
      </x:c>
      <x:c r="AD211" s="37">
        <x:f t="shared" si="3"/>
        <x:v>621.33330000000001</x:v>
      </x:c>
      <x:c r="AE211" s="37" t="n">
        <x:f>IFERROR(ROUND(IFERROR(INDEX(Scoring_Rules!$C$43:$C$44,MATCH(Q211,Scoring_Rules!$B$43:$B$44,0)),0)*Scoring_Rules!$C$6+IFERROR(INDEX(Scoring_Rules!$C$34:$C$40,MATCH(K211,Scoring_Rules!$B$34:$B$40,0)),0)*Scoring_Rules!$C$7+IFERROR(INDEX(Scoring_Rules!$C$16:$C$19,MATCH(P211,Scoring_Rules!$B$16:$B$19,0)),0)*Scoring_Rules!$C$8+IFERROR(INDEX(Scoring_Rules!$C$22:$C$25,MATCH(O211,Scoring_Rules!$B$22:$B$25,0)),0)*Scoring_Rules!$C$9+IFERROR(INDEX(Scoring_Rules!$C$47:$C$50,MATCH(X211,Scoring_Rules!$B$47:$B$50,0)),0)*Scoring_Rules!$C$10+IFERROR(INDEX(Scoring_Rules!$C$28:$C$31,MATCH(R211,Scoring_Rules!$B$28:$B$31,0)),0)*Scoring_Rules!$C$11,1),"")</x:f>
        <x:v>44</x:v>
      </x:c>
      <x:c r="AF211" s="35">
        <x:v>6</x:v>
      </x:c>
      <x:c r="AG211" s="33" t="s">
        <x:v>1202</x:v>
      </x:c>
      <x:c r="AH211" s="36">
        <x:v>46402</x:v>
      </x:c>
      <x:c r="AI211" s="33" t="s">
        <x:v>126</x:v>
      </x:c>
      <x:c r="AJ211" s="34" t="s">
        <x:v>395</x:v>
      </x:c>
    </x:row>
    <x:row r="212" ht="15" customHeight="1">
      <x:c r="A212" s="31" t="s">
        <x:v>1203</x:v>
      </x:c>
      <x:c r="B212" s="31" t="s">
        <x:v>1204</x:v>
      </x:c>
      <x:c r="C212" s="31" t="s">
        <x:v>1205</x:v>
      </x:c>
      <x:c r="D212" s="32" t="s">
        <x:v>1206</x:v>
      </x:c>
      <x:c r="E212" s="32" t="str">
        <x:v>Functional Migration Only</x:v>
      </x:c>
      <x:c r="F212" s="33" t="s">
        <x:v>118</x:v>
      </x:c>
      <x:c r="G212" s="34" t="s">
        <x:v>1207</x:v>
      </x:c>
      <x:c r="H212" s="33" t="s">
        <x:v>87</x:v>
      </x:c>
      <x:c r="I212" s="33" t="s">
        <x:v>1208</x:v>
      </x:c>
      <x:c r="J212" s="33" t="s">
        <x:v>82</x:v>
      </x:c>
      <x:c r="K212" s="33" t="s">
        <x:v>56</x:v>
      </x:c>
      <x:c r="L212" s="33" t="s">
        <x:v>75</x:v>
      </x:c>
      <x:c r="M212" s="35">
        <x:v>9</x:v>
      </x:c>
      <x:c r="N212" s="35">
        <x:v>119844</x:v>
      </x:c>
      <x:c r="O212" s="33" t="s">
        <x:v>103</x:v>
      </x:c>
      <x:c r="P212" s="33" t="s">
        <x:v>101</x:v>
      </x:c>
      <x:c r="Q212" s="33" t="s">
        <x:v>120</x:v>
      </x:c>
      <x:c r="R212" s="33" t="s">
        <x:v>101</x:v>
      </x:c>
      <x:c r="S212" s="31" t="s">
        <x:v>1196</x:v>
      </x:c>
      <x:c r="T212" s="31" t="s">
        <x:v>1209</x:v>
      </x:c>
      <x:c r="U212" s="31" t="s">
        <x:v>522</x:v>
      </x:c>
      <x:c r="V212" s="33" t="s">
        <x:v>277</x:v>
      </x:c>
      <x:c r="W212" s="33"/>
      <x:c r="X212" s="33" t="s">
        <x:v>238</x:v>
      </x:c>
      <x:c r="Y212" s="36"/>
      <x:c r="Z212" s="36"/>
      <x:c r="AA212" s="33" t="s">
        <x:v>120</x:v>
      </x:c>
      <x:c r="AB212" s="37" t="n">
        <x:f>IFERROR(INDEX(Effort_Model!$J$6:$J$33,MATCH(K212&amp;"|"&amp;L212,Effort_Model!$B$6:$B$33,0)),"")</x:f>
        <x:v>18.4</x:v>
      </x:c>
      <x:c r="AC212" s="38">
        <x:v>168.9</x:v>
      </x:c>
      <x:c r="AD212" s="37">
        <x:f t="shared" si="3"/>
        <x:v>210.23330000000001</x:v>
      </x:c>
      <x:c r="AE212" s="37" t="n">
        <x:f>IFERROR(ROUND(IFERROR(INDEX(Scoring_Rules!$C$43:$C$44,MATCH(Q212,Scoring_Rules!$B$43:$B$44,0)),0)*Scoring_Rules!$C$6+IFERROR(INDEX(Scoring_Rules!$C$34:$C$40,MATCH(K212,Scoring_Rules!$B$34:$B$40,0)),0)*Scoring_Rules!$C$7+IFERROR(INDEX(Scoring_Rules!$C$16:$C$19,MATCH(P212,Scoring_Rules!$B$16:$B$19,0)),0)*Scoring_Rules!$C$8+IFERROR(INDEX(Scoring_Rules!$C$22:$C$25,MATCH(O212,Scoring_Rules!$B$22:$B$25,0)),0)*Scoring_Rules!$C$9+IFERROR(INDEX(Scoring_Rules!$C$47:$C$50,MATCH(X212,Scoring_Rules!$B$47:$B$50,0)),0)*Scoring_Rules!$C$10+IFERROR(INDEX(Scoring_Rules!$C$28:$C$31,MATCH(R212,Scoring_Rules!$B$28:$B$31,0)),0)*Scoring_Rules!$C$11,1),"")</x:f>
        <x:v>43.8</x:v>
      </x:c>
      <x:c r="AF212" s="35">
        <x:v>6</x:v>
      </x:c>
      <x:c r="AG212" s="33" t="s">
        <x:v>1210</x:v>
      </x:c>
      <x:c r="AH212" s="36">
        <x:v>46301</x:v>
      </x:c>
      <x:c r="AI212" s="33" t="s">
        <x:v>125</x:v>
      </x:c>
      <x:c r="AJ212" s="34"/>
    </x:row>
    <x:row r="213" ht="15" customHeight="1">
      <x:c r="A213" s="31" t="s">
        <x:v>1211</x:v>
      </x:c>
      <x:c r="B213" s="31" t="s">
        <x:v>1212</x:v>
      </x:c>
      <x:c r="C213" s="31" t="s">
        <x:v>1205</x:v>
      </x:c>
      <x:c r="D213" s="32" t="s">
        <x:v>1206</x:v>
      </x:c>
      <x:c r="E213" s="32" t="str">
        <x:v>Data Migration Only</x:v>
      </x:c>
      <x:c r="F213" s="33" t="s">
        <x:v>118</x:v>
      </x:c>
      <x:c r="G213" s="34" t="s">
        <x:v>1207</x:v>
      </x:c>
      <x:c r="H213" s="33" t="s">
        <x:v>87</x:v>
      </x:c>
      <x:c r="I213" s="33" t="s">
        <x:v>1208</x:v>
      </x:c>
      <x:c r="J213" s="33" t="s">
        <x:v>80</x:v>
      </x:c>
      <x:c r="K213" s="33" t="s">
        <x:v>66</x:v>
      </x:c>
      <x:c r="L213" s="33" t="s">
        <x:v>75</x:v>
      </x:c>
      <x:c r="M213" s="35">
        <x:v>196</x:v>
      </x:c>
      <x:c r="N213" s="35">
        <x:v>13297648024</x:v>
      </x:c>
      <x:c r="O213" s="33" t="s">
        <x:v>101</x:v>
      </x:c>
      <x:c r="P213" s="33" t="s">
        <x:v>73</x:v>
      </x:c>
      <x:c r="Q213" s="33" t="s">
        <x:v>120</x:v>
      </x:c>
      <x:c r="R213" s="33" t="s">
        <x:v>115</x:v>
      </x:c>
      <x:c r="S213" s="31" t="s">
        <x:v>1196</x:v>
      </x:c>
      <x:c r="T213" s="31" t="s">
        <x:v>1213</x:v>
      </x:c>
      <x:c r="U213" s="31" t="s">
        <x:v>522</x:v>
      </x:c>
      <x:c r="V213" s="33" t="s">
        <x:v>277</x:v>
      </x:c>
      <x:c r="W213" s="33"/>
      <x:c r="X213" s="33" t="s">
        <x:v>238</x:v>
      </x:c>
      <x:c r="Y213" s="36"/>
      <x:c r="Z213" s="36"/>
      <x:c r="AA213" s="33" t="s">
        <x:v>120</x:v>
      </x:c>
      <x:c r="AB213" s="37" t="n">
        <x:f>IFERROR(INDEX(Effort_Model!$J$6:$J$33,MATCH(K213&amp;"|"&amp;L213,Effort_Model!$B$6:$B$33,0)),"")</x:f>
        <x:v>138.4</x:v>
      </x:c>
      <x:c r="AC213" s="38">
        <x:v>1336.6</x:v>
      </x:c>
      <x:c r="AD213" s="37">
        <x:f t="shared" si="3"/>
        <x:v>1737.9332999999999</x:v>
      </x:c>
      <x:c r="AE213" s="37" t="n">
        <x:f>IFERROR(ROUND(IFERROR(INDEX(Scoring_Rules!$C$43:$C$44,MATCH(Q213,Scoring_Rules!$B$43:$B$44,0)),0)*Scoring_Rules!$C$6+IFERROR(INDEX(Scoring_Rules!$C$34:$C$40,MATCH(K213,Scoring_Rules!$B$34:$B$40,0)),0)*Scoring_Rules!$C$7+IFERROR(INDEX(Scoring_Rules!$C$16:$C$19,MATCH(P213,Scoring_Rules!$B$16:$B$19,0)),0)*Scoring_Rules!$C$8+IFERROR(INDEX(Scoring_Rules!$C$22:$C$25,MATCH(O213,Scoring_Rules!$B$22:$B$25,0)),0)*Scoring_Rules!$C$9+IFERROR(INDEX(Scoring_Rules!$C$47:$C$50,MATCH(X213,Scoring_Rules!$B$47:$B$50,0)),0)*Scoring_Rules!$C$10+IFERROR(INDEX(Scoring_Rules!$C$28:$C$31,MATCH(R213,Scoring_Rules!$B$28:$B$31,0)),0)*Scoring_Rules!$C$11,1),"")</x:f>
        <x:v>38.3</x:v>
      </x:c>
      <x:c r="AF213" s="35">
        <x:v>7</x:v>
      </x:c>
      <x:c r="AG213" s="33" t="s">
        <x:v>1214</x:v>
      </x:c>
      <x:c r="AH213" s="36">
        <x:v>46337</x:v>
      </x:c>
      <x:c r="AI213" s="33" t="s">
        <x:v>127</x:v>
      </x:c>
      <x:c r="AJ213" s="34" t="s">
        <x:v>336</x:v>
      </x:c>
    </x:row>
    <x:row r="214" ht="45.75" customHeight="1">
      <x:c r="A214" s="31" t="s">
        <x:v>1215</x:v>
      </x:c>
      <x:c r="B214" s="31" t="s">
        <x:v>1216</x:v>
      </x:c>
      <x:c r="C214" s="31" t="s">
        <x:v>270</x:v>
      </x:c>
      <x:c r="D214" s="32" t="s">
        <x:v>1217</x:v>
      </x:c>
      <x:c r="E214" s="32" t="str">
        <x:v>Functional Migration Only</x:v>
      </x:c>
      <x:c r="F214" s="33" t="s">
        <x:v>118</x:v>
      </x:c>
      <x:c r="G214" s="34" t="s">
        <x:v>1218</x:v>
      </x:c>
      <x:c r="H214" s="33" t="s">
        <x:v>87</x:v>
      </x:c>
      <x:c r="I214" s="33" t="s">
        <x:v>1219</x:v>
      </x:c>
      <x:c r="J214" s="33" t="s">
        <x:v>82</x:v>
      </x:c>
      <x:c r="K214" s="33" t="s">
        <x:v>64</x:v>
      </x:c>
      <x:c r="L214" s="33" t="s">
        <x:v>77</x:v>
      </x:c>
      <x:c r="M214" s="35">
        <x:v>143</x:v>
      </x:c>
      <x:c r="N214" s="35">
        <x:v>1313147349</x:v>
      </x:c>
      <x:c r="O214" s="33" t="s">
        <x:v>101</x:v>
      </x:c>
      <x:c r="P214" s="33" t="s">
        <x:v>101</x:v>
      </x:c>
      <x:c r="Q214" s="33" t="s">
        <x:v>120</x:v>
      </x:c>
      <x:c r="R214" s="33" t="s">
        <x:v>115</x:v>
      </x:c>
      <x:c r="S214" s="31" t="s">
        <x:v>1220</x:v>
      </x:c>
      <x:c r="T214" s="31" t="s">
        <x:v>1221</x:v>
      </x:c>
      <x:c r="U214" s="31" t="s">
        <x:v>276</x:v>
      </x:c>
      <x:c r="V214" s="33" t="s">
        <x:v>347</x:v>
      </x:c>
      <x:c r="W214" s="33"/>
      <x:c r="X214" s="33" t="s">
        <x:v>238</x:v>
      </x:c>
      <x:c r="Y214" s="36"/>
      <x:c r="Z214" s="36"/>
      <x:c r="AA214" s="33" t="s">
        <x:v>120</x:v>
      </x:c>
      <x:c r="AB214" s="37" t="n">
        <x:f>IFERROR(INDEX(Effort_Model!$J$6:$J$33,MATCH(K214&amp;"|"&amp;L214,Effort_Model!$B$6:$B$33,0)),"")</x:f>
        <x:v>106.4</x:v>
      </x:c>
      <x:c r="AC214" s="38">
        <x:v>2103.6999999999998</x:v>
      </x:c>
      <x:c r="AD214" s="37">
        <x:f t="shared" si="3"/>
        <x:v>2505.0333000000001</x:v>
      </x:c>
      <x:c r="AE214" s="37" t="n">
        <x:f>IFERROR(ROUND(IFERROR(INDEX(Scoring_Rules!$C$43:$C$44,MATCH(Q214,Scoring_Rules!$B$43:$B$44,0)),0)*Scoring_Rules!$C$6+IFERROR(INDEX(Scoring_Rules!$C$34:$C$40,MATCH(K214,Scoring_Rules!$B$34:$B$40,0)),0)*Scoring_Rules!$C$7+IFERROR(INDEX(Scoring_Rules!$C$16:$C$19,MATCH(P214,Scoring_Rules!$B$16:$B$19,0)),0)*Scoring_Rules!$C$8+IFERROR(INDEX(Scoring_Rules!$C$22:$C$25,MATCH(O214,Scoring_Rules!$B$22:$B$25,0)),0)*Scoring_Rules!$C$9+IFERROR(INDEX(Scoring_Rules!$C$47:$C$50,MATCH(X214,Scoring_Rules!$B$47:$B$50,0)),0)*Scoring_Rules!$C$10+IFERROR(INDEX(Scoring_Rules!$C$28:$C$31,MATCH(R214,Scoring_Rules!$B$28:$B$31,0)),0)*Scoring_Rules!$C$11,1),"")</x:f>
        <x:v>34.3</x:v>
      </x:c>
      <x:c r="AF214" s="35">
        <x:v>8</x:v>
      </x:c>
      <x:c r="AG214" s="33" t="s">
        <x:v>1222</x:v>
      </x:c>
      <x:c r="AH214" s="36">
        <x:v>46314</x:v>
      </x:c>
      <x:c r="AI214" s="33" t="s">
        <x:v>127</x:v>
      </x:c>
      <x:c r="AJ214" s="34" t="s">
        <x:v>312</x:v>
      </x:c>
    </x:row>
    <x:row r="215" ht="23.25" customHeight="1">
      <x:c r="A215" s="31" t="s">
        <x:v>1223</x:v>
      </x:c>
      <x:c r="B215" s="31" t="s">
        <x:v>1224</x:v>
      </x:c>
      <x:c r="C215" s="31" t="s">
        <x:v>270</x:v>
      </x:c>
      <x:c r="D215" s="32" t="s">
        <x:v>373</x:v>
      </x:c>
      <x:c r="E215" s="32" t="str">
        <x:v>Functional Migration Only</x:v>
      </x:c>
      <x:c r="F215" s="33" t="s">
        <x:v>118</x:v>
      </x:c>
      <x:c r="G215" s="34" t="s">
        <x:v>1225</x:v>
      </x:c>
      <x:c r="H215" s="33" t="s">
        <x:v>87</x:v>
      </x:c>
      <x:c r="I215" s="33" t="s">
        <x:v>1219</x:v>
      </x:c>
      <x:c r="J215" s="33" t="s">
        <x:v>82</x:v>
      </x:c>
      <x:c r="K215" s="33" t="s">
        <x:v>62</x:v>
      </x:c>
      <x:c r="L215" s="33" t="s">
        <x:v>77</x:v>
      </x:c>
      <x:c r="M215" s="35">
        <x:v>71</x:v>
      </x:c>
      <x:c r="N215" s="35">
        <x:v>120117610</x:v>
      </x:c>
      <x:c r="O215" s="33" t="s">
        <x:v>101</x:v>
      </x:c>
      <x:c r="P215" s="33" t="s">
        <x:v>101</x:v>
      </x:c>
      <x:c r="Q215" s="33" t="s">
        <x:v>120</x:v>
      </x:c>
      <x:c r="R215" s="33" t="s">
        <x:v>101</x:v>
      </x:c>
      <x:c r="S215" s="31" t="s">
        <x:v>1226</x:v>
      </x:c>
      <x:c r="T215" s="31" t="s">
        <x:v>1227</x:v>
      </x:c>
      <x:c r="U215" s="31" t="s">
        <x:v>276</x:v>
      </x:c>
      <x:c r="V215" s="33" t="s">
        <x:v>303</x:v>
      </x:c>
      <x:c r="W215" s="33" t="s">
        <x:v>1215</x:v>
      </x:c>
      <x:c r="X215" s="33" t="s">
        <x:v>240</x:v>
      </x:c>
      <x:c r="Y215" s="36"/>
      <x:c r="Z215" s="36"/>
      <x:c r="AA215" s="33" t="s">
        <x:v>120</x:v>
      </x:c>
      <x:c r="AB215" s="37" t="n">
        <x:f>IFERROR(INDEX(Effort_Model!$J$6:$J$33,MATCH(K215&amp;"|"&amp;L215,Effort_Model!$B$6:$B$33,0)),"")</x:f>
        <x:v>74.4</x:v>
      </x:c>
      <x:c r="AC215" s="38">
        <x:v>1369.6</x:v>
      </x:c>
      <x:c r="AD215" s="37">
        <x:f t="shared" si="3"/>
        <x:v>1642.9332999999999</x:v>
      </x:c>
      <x:c r="AE215" s="37" t="n">
        <x:f>IFERROR(ROUND(IFERROR(INDEX(Scoring_Rules!$C$43:$C$44,MATCH(Q215,Scoring_Rules!$B$43:$B$44,0)),0)*Scoring_Rules!$C$6+IFERROR(INDEX(Scoring_Rules!$C$34:$C$40,MATCH(K215,Scoring_Rules!$B$34:$B$40,0)),0)*Scoring_Rules!$C$7+IFERROR(INDEX(Scoring_Rules!$C$16:$C$19,MATCH(P215,Scoring_Rules!$B$16:$B$19,0)),0)*Scoring_Rules!$C$8+IFERROR(INDEX(Scoring_Rules!$C$22:$C$25,MATCH(O215,Scoring_Rules!$B$22:$B$25,0)),0)*Scoring_Rules!$C$9+IFERROR(INDEX(Scoring_Rules!$C$47:$C$50,MATCH(X215,Scoring_Rules!$B$47:$B$50,0)),0)*Scoring_Rules!$C$10+IFERROR(INDEX(Scoring_Rules!$C$28:$C$31,MATCH(R215,Scoring_Rules!$B$28:$B$31,0)),0)*Scoring_Rules!$C$11,1),"")</x:f>
        <x:v>29.5</x:v>
      </x:c>
      <x:c r="AF215" s="35">
        <x:v>8</x:v>
      </x:c>
      <x:c r="AG215" s="33" t="s">
        <x:v>1228</x:v>
      </x:c>
      <x:c r="AH215" s="36">
        <x:v>46395</x:v>
      </x:c>
      <x:c r="AI215" s="33" t="s">
        <x:v>126</x:v>
      </x:c>
      <x:c r="AJ215" s="34" t="s">
        <x:v>395</x:v>
      </x:c>
    </x:row>
    <x:row r="216" ht="15" customHeight="1">
      <x:c r="A216" s="31" t="s">
        <x:v>1229</x:v>
      </x:c>
      <x:c r="B216" s="31" t="s">
        <x:v>1230</x:v>
      </x:c>
      <x:c r="C216" s="31" t="s">
        <x:v>270</x:v>
      </x:c>
      <x:c r="D216" s="32" t="s">
        <x:v>681</x:v>
      </x:c>
      <x:c r="E216" s="32" t="str">
        <x:v>Data Migration Only</x:v>
      </x:c>
      <x:c r="F216" s="33" t="s">
        <x:v>118</x:v>
      </x:c>
      <x:c r="G216" s="34" t="s">
        <x:v>1218</x:v>
      </x:c>
      <x:c r="H216" s="33" t="s">
        <x:v>87</x:v>
      </x:c>
      <x:c r="I216" s="33" t="s">
        <x:v>1219</x:v>
      </x:c>
      <x:c r="J216" s="33" t="s">
        <x:v>80</x:v>
      </x:c>
      <x:c r="K216" s="33" t="s">
        <x:v>62</x:v>
      </x:c>
      <x:c r="L216" s="33" t="s">
        <x:v>73</x:v>
      </x:c>
      <x:c r="M216" s="35">
        <x:v>73</x:v>
      </x:c>
      <x:c r="N216" s="35">
        <x:v>74205651</x:v>
      </x:c>
      <x:c r="O216" s="33" t="s">
        <x:v>73</x:v>
      </x:c>
      <x:c r="P216" s="33" t="s">
        <x:v>101</x:v>
      </x:c>
      <x:c r="Q216" s="33" t="s">
        <x:v>120</x:v>
      </x:c>
      <x:c r="R216" s="33" t="s">
        <x:v>115</x:v>
      </x:c>
      <x:c r="S216" s="31" t="s">
        <x:v>1231</x:v>
      </x:c>
      <x:c r="T216" s="31" t="s">
        <x:v>1232</x:v>
      </x:c>
      <x:c r="U216" s="31" t="s">
        <x:v>276</x:v>
      </x:c>
      <x:c r="V216" s="33" t="s">
        <x:v>347</x:v>
      </x:c>
      <x:c r="W216" s="33" t="s">
        <x:v>1223</x:v>
      </x:c>
      <x:c r="X216" s="33" t="s">
        <x:v>240</x:v>
      </x:c>
      <x:c r="Y216" s="36"/>
      <x:c r="Z216" s="36">
        <x:v>47061</x:v>
      </x:c>
      <x:c r="AA216" s="33" t="s">
        <x:v>120</x:v>
      </x:c>
      <x:c r="AB216" s="37" t="n">
        <x:f>IFERROR(INDEX(Effort_Model!$J$6:$J$33,MATCH(K216&amp;"|"&amp;L216,Effort_Model!$B$6:$B$33,0)),"")</x:f>
        <x:v>74.4</x:v>
      </x:c>
      <x:c r="AC216" s="38">
        <x:v>444.8</x:v>
      </x:c>
      <x:c r="AD216" s="37">
        <x:f t="shared" si="3"/>
        <x:v>585.79999999999995</x:v>
      </x:c>
      <x:c r="AE216" s="37" t="n">
        <x:f>IFERROR(ROUND(IFERROR(INDEX(Scoring_Rules!$C$43:$C$44,MATCH(Q216,Scoring_Rules!$B$43:$B$44,0)),0)*Scoring_Rules!$C$6+IFERROR(INDEX(Scoring_Rules!$C$34:$C$40,MATCH(K216,Scoring_Rules!$B$34:$B$40,0)),0)*Scoring_Rules!$C$7+IFERROR(INDEX(Scoring_Rules!$C$16:$C$19,MATCH(P216,Scoring_Rules!$B$16:$B$19,0)),0)*Scoring_Rules!$C$8+IFERROR(INDEX(Scoring_Rules!$C$22:$C$25,MATCH(O216,Scoring_Rules!$B$22:$B$25,0)),0)*Scoring_Rules!$C$9+IFERROR(INDEX(Scoring_Rules!$C$47:$C$50,MATCH(X216,Scoring_Rules!$B$47:$B$50,0)),0)*Scoring_Rules!$C$10+IFERROR(INDEX(Scoring_Rules!$C$28:$C$31,MATCH(R216,Scoring_Rules!$B$28:$B$31,0)),0)*Scoring_Rules!$C$11,1),"")</x:f>
        <x:v>33</x:v>
      </x:c>
      <x:c r="AF216" s="35">
        <x:v>5</x:v>
      </x:c>
      <x:c r="AG216" s="33" t="s">
        <x:v>1233</x:v>
      </x:c>
      <x:c r="AH216" s="36">
        <x:v>46373</x:v>
      </x:c>
      <x:c r="AI216" s="33" t="s">
        <x:v>124</x:v>
      </x:c>
      <x:c r="AJ216" s="34" t="s">
        <x:v>395</x:v>
      </x:c>
    </x:row>
    <x:row r="217" ht="23.25" customHeight="1">
      <x:c r="A217" s="31" t="s">
        <x:v>1234</x:v>
      </x:c>
      <x:c r="B217" s="31" t="s">
        <x:v>1235</x:v>
      </x:c>
      <x:c r="C217" s="31" t="s">
        <x:v>270</x:v>
      </x:c>
      <x:c r="D217" s="32" t="s">
        <x:v>382</x:v>
      </x:c>
      <x:c r="E217" s="32" t="str">
        <x:v>Functional Migration Only</x:v>
      </x:c>
      <x:c r="F217" s="33" t="s">
        <x:v>118</x:v>
      </x:c>
      <x:c r="G217" s="34" t="s">
        <x:v>1236</x:v>
      </x:c>
      <x:c r="H217" s="33" t="s">
        <x:v>87</x:v>
      </x:c>
      <x:c r="I217" s="33" t="s">
        <x:v>1219</x:v>
      </x:c>
      <x:c r="J217" s="33" t="s">
        <x:v>82</x:v>
      </x:c>
      <x:c r="K217" s="33" t="s">
        <x:v>60</x:v>
      </x:c>
      <x:c r="L217" s="33" t="s">
        <x:v>75</x:v>
      </x:c>
      <x:c r="M217" s="35">
        <x:v>46</x:v>
      </x:c>
      <x:c r="N217" s="35">
        <x:v>4121066</x:v>
      </x:c>
      <x:c r="O217" s="33" t="s">
        <x:v>73</x:v>
      </x:c>
      <x:c r="P217" s="33" t="s">
        <x:v>101</x:v>
      </x:c>
      <x:c r="Q217" s="33" t="s">
        <x:v>120</x:v>
      </x:c>
      <x:c r="R217" s="33" t="s">
        <x:v>98</x:v>
      </x:c>
      <x:c r="S217" s="31" t="s">
        <x:v>1237</x:v>
      </x:c>
      <x:c r="T217" s="31" t="s">
        <x:v>1238</x:v>
      </x:c>
      <x:c r="U217" s="31" t="s">
        <x:v>276</x:v>
      </x:c>
      <x:c r="V217" s="33" t="s">
        <x:v>289</x:v>
      </x:c>
      <x:c r="W217" s="33"/>
      <x:c r="X217" s="33" t="s">
        <x:v>238</x:v>
      </x:c>
      <x:c r="Y217" s="36"/>
      <x:c r="Z217" s="36"/>
      <x:c r="AA217" s="33" t="s">
        <x:v>120</x:v>
      </x:c>
      <x:c r="AB217" s="37" t="n">
        <x:f>IFERROR(INDEX(Effort_Model!$J$6:$J$33,MATCH(K217&amp;"|"&amp;L217,Effort_Model!$B$6:$B$33,0)),"")</x:f>
        <x:v>42.4</x:v>
      </x:c>
      <x:c r="AC217" s="38">
        <x:v>609.79999999999995</x:v>
      </x:c>
      <x:c r="AD217" s="37">
        <x:f t="shared" si="3"/>
        <x:v>723.13329999999996</x:v>
      </x:c>
      <x:c r="AE217" s="37" t="n">
        <x:f>IFERROR(ROUND(IFERROR(INDEX(Scoring_Rules!$C$43:$C$44,MATCH(Q217,Scoring_Rules!$B$43:$B$44,0)),0)*Scoring_Rules!$C$6+IFERROR(INDEX(Scoring_Rules!$C$34:$C$40,MATCH(K217,Scoring_Rules!$B$34:$B$40,0)),0)*Scoring_Rules!$C$7+IFERROR(INDEX(Scoring_Rules!$C$16:$C$19,MATCH(P217,Scoring_Rules!$B$16:$B$19,0)),0)*Scoring_Rules!$C$8+IFERROR(INDEX(Scoring_Rules!$C$22:$C$25,MATCH(O217,Scoring_Rules!$B$22:$B$25,0)),0)*Scoring_Rules!$C$9+IFERROR(INDEX(Scoring_Rules!$C$47:$C$50,MATCH(X217,Scoring_Rules!$B$47:$B$50,0)),0)*Scoring_Rules!$C$10+IFERROR(INDEX(Scoring_Rules!$C$28:$C$31,MATCH(R217,Scoring_Rules!$B$28:$B$31,0)),0)*Scoring_Rules!$C$11,1),"")</x:f>
        <x:v>52.5</x:v>
      </x:c>
      <x:c r="AF217" s="35">
        <x:v>6</x:v>
      </x:c>
      <x:c r="AG217" s="33" t="s">
        <x:v>1239</x:v>
      </x:c>
      <x:c r="AH217" s="36">
        <x:v>46358</x:v>
      </x:c>
      <x:c r="AI217" s="33" t="s">
        <x:v>127</x:v>
      </x:c>
      <x:c r="AJ217" s="34"/>
    </x:row>
    <x:row r="218" ht="23.25" customHeight="1">
      <x:c r="A218" s="31" t="s">
        <x:v>1240</x:v>
      </x:c>
      <x:c r="B218" s="31" t="s">
        <x:v>1241</x:v>
      </x:c>
      <x:c r="C218" s="31" t="s">
        <x:v>270</x:v>
      </x:c>
      <x:c r="D218" s="32" t="s">
        <x:v>1242</x:v>
      </x:c>
      <x:c r="E218" s="32" t="str">
        <x:v>Functional Migration Only</x:v>
      </x:c>
      <x:c r="F218" s="33" t="s">
        <x:v>118</x:v>
      </x:c>
      <x:c r="G218" s="34" t="s">
        <x:v>1236</x:v>
      </x:c>
      <x:c r="H218" s="33" t="s">
        <x:v>87</x:v>
      </x:c>
      <x:c r="I218" s="33" t="s">
        <x:v>1219</x:v>
      </x:c>
      <x:c r="J218" s="33" t="s">
        <x:v>82</x:v>
      </x:c>
      <x:c r="K218" s="33" t="s">
        <x:v>56</x:v>
      </x:c>
      <x:c r="L218" s="33" t="s">
        <x:v>73</x:v>
      </x:c>
      <x:c r="M218" s="35">
        <x:v>9</x:v>
      </x:c>
      <x:c r="N218" s="35">
        <x:v>60074</x:v>
      </x:c>
      <x:c r="O218" s="33" t="s">
        <x:v>98</x:v>
      </x:c>
      <x:c r="P218" s="33" t="s">
        <x:v>98</x:v>
      </x:c>
      <x:c r="Q218" s="33" t="s">
        <x:v>120</x:v>
      </x:c>
      <x:c r="R218" s="33" t="s">
        <x:v>73</x:v>
      </x:c>
      <x:c r="S218" s="31" t="s">
        <x:v>1243</x:v>
      </x:c>
      <x:c r="T218" s="31" t="s">
        <x:v>1244</x:v>
      </x:c>
      <x:c r="U218" s="31" t="s">
        <x:v>276</x:v>
      </x:c>
      <x:c r="V218" s="33" t="s">
        <x:v>444</x:v>
      </x:c>
      <x:c r="W218" s="33" t="s">
        <x:v>1234</x:v>
      </x:c>
      <x:c r="X218" s="33" t="s">
        <x:v>240</x:v>
      </x:c>
      <x:c r="Y218" s="36"/>
      <x:c r="Z218" s="36"/>
      <x:c r="AA218" s="33" t="s">
        <x:v>120</x:v>
      </x:c>
      <x:c r="AB218" s="37" t="n">
        <x:f>IFERROR(INDEX(Effort_Model!$J$6:$J$33,MATCH(K218&amp;"|"&amp;L218,Effort_Model!$B$6:$B$33,0)),"")</x:f>
        <x:v>18.4</x:v>
      </x:c>
      <x:c r="AC218" s="38">
        <x:v>119.6</x:v>
      </x:c>
      <x:c r="AD218" s="37">
        <x:f t="shared" si="3"/>
        <x:v>148.6</x:v>
      </x:c>
      <x:c r="AE218" s="37" t="n">
        <x:f>IFERROR(ROUND(IFERROR(INDEX(Scoring_Rules!$C$43:$C$44,MATCH(Q218,Scoring_Rules!$B$43:$B$44,0)),0)*Scoring_Rules!$C$6+IFERROR(INDEX(Scoring_Rules!$C$34:$C$40,MATCH(K218,Scoring_Rules!$B$34:$B$40,0)),0)*Scoring_Rules!$C$7+IFERROR(INDEX(Scoring_Rules!$C$16:$C$19,MATCH(P218,Scoring_Rules!$B$16:$B$19,0)),0)*Scoring_Rules!$C$8+IFERROR(INDEX(Scoring_Rules!$C$22:$C$25,MATCH(O218,Scoring_Rules!$B$22:$B$25,0)),0)*Scoring_Rules!$C$9+IFERROR(INDEX(Scoring_Rules!$C$47:$C$50,MATCH(X218,Scoring_Rules!$B$47:$B$50,0)),0)*Scoring_Rules!$C$10+IFERROR(INDEX(Scoring_Rules!$C$28:$C$31,MATCH(R218,Scoring_Rules!$B$28:$B$31,0)),0)*Scoring_Rules!$C$11,1),"")</x:f>
        <x:v>63</x:v>
      </x:c>
      <x:c r="AF218" s="35">
        <x:v>2</x:v>
      </x:c>
      <x:c r="AG218" s="33" t="s">
        <x:v>1222</x:v>
      </x:c>
      <x:c r="AH218" s="36">
        <x:v>46373</x:v>
      </x:c>
      <x:c r="AI218" s="33" t="s">
        <x:v>126</x:v>
      </x:c>
      <x:c r="AJ218" s="34"/>
    </x:row>
    <x:row r="219" ht="15" customHeight="1">
      <x:c r="A219" s="31" t="s">
        <x:v>1245</x:v>
      </x:c>
      <x:c r="B219" s="31" t="s">
        <x:v>1246</x:v>
      </x:c>
      <x:c r="C219" s="31" t="s">
        <x:v>270</x:v>
      </x:c>
      <x:c r="D219" s="32" t="s">
        <x:v>1247</x:v>
      </x:c>
      <x:c r="E219" s="32" t="str">
        <x:v>Data Migration Only</x:v>
      </x:c>
      <x:c r="F219" s="33" t="s">
        <x:v>118</x:v>
      </x:c>
      <x:c r="G219" s="34" t="s">
        <x:v>1236</x:v>
      </x:c>
      <x:c r="H219" s="33" t="s">
        <x:v>87</x:v>
      </x:c>
      <x:c r="I219" s="33" t="s">
        <x:v>1219</x:v>
      </x:c>
      <x:c r="J219" s="33" t="s">
        <x:v>80</x:v>
      </x:c>
      <x:c r="K219" s="33" t="s">
        <x:v>64</x:v>
      </x:c>
      <x:c r="L219" s="33" t="s">
        <x:v>77</x:v>
      </x:c>
      <x:c r="M219" s="35">
        <x:v>146</x:v>
      </x:c>
      <x:c r="N219" s="35">
        <x:v>932218751</x:v>
      </x:c>
      <x:c r="O219" s="33" t="s">
        <x:v>103</x:v>
      </x:c>
      <x:c r="P219" s="33" t="s">
        <x:v>73</x:v>
      </x:c>
      <x:c r="Q219" s="33" t="s">
        <x:v>120</x:v>
      </x:c>
      <x:c r="R219" s="33" t="s">
        <x:v>115</x:v>
      </x:c>
      <x:c r="S219" s="31" t="s">
        <x:v>1248</x:v>
      </x:c>
      <x:c r="T219" s="31" t="s">
        <x:v>1249</x:v>
      </x:c>
      <x:c r="U219" s="31" t="s">
        <x:v>276</x:v>
      </x:c>
      <x:c r="V219" s="33" t="s">
        <x:v>277</x:v>
      </x:c>
      <x:c r="W219" s="33"/>
      <x:c r="X219" s="33" t="s">
        <x:v>238</x:v>
      </x:c>
      <x:c r="Y219" s="36"/>
      <x:c r="Z219" s="36"/>
      <x:c r="AA219" s="33" t="s">
        <x:v>120</x:v>
      </x:c>
      <x:c r="AB219" s="37" t="n">
        <x:f>IFERROR(INDEX(Effort_Model!$J$6:$J$33,MATCH(K219&amp;"|"&amp;L219,Effort_Model!$B$6:$B$33,0)),"")</x:f>
        <x:v>106.4</x:v>
      </x:c>
      <x:c r="AC219" s="38">
        <x:v>1356.2</x:v>
      </x:c>
      <x:c r="AD219" s="37">
        <x:f t="shared" si="3"/>
        <x:v>1757.5333000000001</x:v>
      </x:c>
      <x:c r="AE219" s="37" t="n">
        <x:f>IFERROR(ROUND(IFERROR(INDEX(Scoring_Rules!$C$43:$C$44,MATCH(Q219,Scoring_Rules!$B$43:$B$44,0)),0)*Scoring_Rules!$C$6+IFERROR(INDEX(Scoring_Rules!$C$34:$C$40,MATCH(K219,Scoring_Rules!$B$34:$B$40,0)),0)*Scoring_Rules!$C$7+IFERROR(INDEX(Scoring_Rules!$C$16:$C$19,MATCH(P219,Scoring_Rules!$B$16:$B$19,0)),0)*Scoring_Rules!$C$8+IFERROR(INDEX(Scoring_Rules!$C$22:$C$25,MATCH(O219,Scoring_Rules!$B$22:$B$25,0)),0)*Scoring_Rules!$C$9+IFERROR(INDEX(Scoring_Rules!$C$47:$C$50,MATCH(X219,Scoring_Rules!$B$47:$B$50,0)),0)*Scoring_Rules!$C$10+IFERROR(INDEX(Scoring_Rules!$C$28:$C$31,MATCH(R219,Scoring_Rules!$B$28:$B$31,0)),0)*Scoring_Rules!$C$11,1),"")</x:f>
        <x:v>36</x:v>
      </x:c>
      <x:c r="AF219" s="35">
        <x:v>8</x:v>
      </x:c>
      <x:c r="AG219" s="33" t="s">
        <x:v>1228</x:v>
      </x:c>
      <x:c r="AH219" s="36">
        <x:v>46338</x:v>
      </x:c>
      <x:c r="AI219" s="33" t="s">
        <x:v>127</x:v>
      </x:c>
      <x:c r="AJ219" s="34"/>
    </x:row>
    <x:row r="220" ht="23.25" customHeight="1">
      <x:c r="A220" s="31" t="s">
        <x:v>1250</x:v>
      </x:c>
      <x:c r="B220" s="31" t="s">
        <x:v>1251</x:v>
      </x:c>
      <x:c r="C220" s="31" t="s">
        <x:v>270</x:v>
      </x:c>
      <x:c r="D220" s="32" t="s">
        <x:v>1252</x:v>
      </x:c>
      <x:c r="E220" s="32" t="str">
        <x:v>Functional Migration Only</x:v>
      </x:c>
      <x:c r="F220" s="33" t="s">
        <x:v>118</x:v>
      </x:c>
      <x:c r="G220" s="34" t="s">
        <x:v>1225</x:v>
      </x:c>
      <x:c r="H220" s="33" t="s">
        <x:v>87</x:v>
      </x:c>
      <x:c r="I220" s="33" t="s">
        <x:v>1219</x:v>
      </x:c>
      <x:c r="J220" s="33" t="s">
        <x:v>82</x:v>
      </x:c>
      <x:c r="K220" s="33" t="s">
        <x:v>62</x:v>
      </x:c>
      <x:c r="L220" s="33" t="s">
        <x:v>75</x:v>
      </x:c>
      <x:c r="M220" s="35">
        <x:v>51</x:v>
      </x:c>
      <x:c r="N220" s="35">
        <x:v>71546732</x:v>
      </x:c>
      <x:c r="O220" s="33" t="s">
        <x:v>73</x:v>
      </x:c>
      <x:c r="P220" s="33" t="s">
        <x:v>101</x:v>
      </x:c>
      <x:c r="Q220" s="33" t="s">
        <x:v>120</x:v>
      </x:c>
      <x:c r="R220" s="33" t="s">
        <x:v>73</x:v>
      </x:c>
      <x:c r="S220" s="31" t="s">
        <x:v>1248</x:v>
      </x:c>
      <x:c r="T220" s="31" t="s">
        <x:v>1249</x:v>
      </x:c>
      <x:c r="U220" s="31" t="s">
        <x:v>276</x:v>
      </x:c>
      <x:c r="V220" s="33" t="s">
        <x:v>444</x:v>
      </x:c>
      <x:c r="W220" s="33"/>
      <x:c r="X220" s="33" t="s">
        <x:v>238</x:v>
      </x:c>
      <x:c r="Y220" s="36"/>
      <x:c r="Z220" s="36"/>
      <x:c r="AA220" s="33" t="s">
        <x:v>120</x:v>
      </x:c>
      <x:c r="AB220" s="37" t="n">
        <x:f>IFERROR(INDEX(Effort_Model!$J$6:$J$33,MATCH(K220&amp;"|"&amp;L220,Effort_Model!$B$6:$B$33,0)),"")</x:f>
        <x:v>74.4</x:v>
      </x:c>
      <x:c r="AC220" s="38">
        <x:v>944.2</x:v>
      </x:c>
      <x:c r="AD220" s="37">
        <x:f t="shared" si="3"/>
        <x:v>1153.5333000000001</x:v>
      </x:c>
      <x:c r="AE220" s="37" t="n">
        <x:f>IFERROR(ROUND(IFERROR(INDEX(Scoring_Rules!$C$43:$C$44,MATCH(Q220,Scoring_Rules!$B$43:$B$44,0)),0)*Scoring_Rules!$C$6+IFERROR(INDEX(Scoring_Rules!$C$34:$C$40,MATCH(K220,Scoring_Rules!$B$34:$B$40,0)),0)*Scoring_Rules!$C$7+IFERROR(INDEX(Scoring_Rules!$C$16:$C$19,MATCH(P220,Scoring_Rules!$B$16:$B$19,0)),0)*Scoring_Rules!$C$8+IFERROR(INDEX(Scoring_Rules!$C$22:$C$25,MATCH(O220,Scoring_Rules!$B$22:$B$25,0)),0)*Scoring_Rules!$C$9+IFERROR(INDEX(Scoring_Rules!$C$47:$C$50,MATCH(X220,Scoring_Rules!$B$47:$B$50,0)),0)*Scoring_Rules!$C$10+IFERROR(INDEX(Scoring_Rules!$C$28:$C$31,MATCH(R220,Scoring_Rules!$B$28:$B$31,0)),0)*Scoring_Rules!$C$11,1),"")</x:f>
        <x:v>47</x:v>
      </x:c>
      <x:c r="AF220" s="35">
        <x:v>6</x:v>
      </x:c>
      <x:c r="AG220" s="33" t="s">
        <x:v>1233</x:v>
      </x:c>
      <x:c r="AH220" s="36">
        <x:v>46377</x:v>
      </x:c>
      <x:c r="AI220" s="33" t="s">
        <x:v>127</x:v>
      </x:c>
      <x:c r="AJ220" s="34" t="s">
        <x:v>445</x:v>
      </x:c>
    </x:row>
    <x:row r="221" ht="23.25" customHeight="1">
      <x:c r="A221" s="31" t="s">
        <x:v>1253</x:v>
      </x:c>
      <x:c r="B221" s="31" t="s">
        <x:v>1254</x:v>
      </x:c>
      <x:c r="C221" s="31" t="s">
        <x:v>270</x:v>
      </x:c>
      <x:c r="D221" s="32" t="s">
        <x:v>1242</x:v>
      </x:c>
      <x:c r="E221" s="32" t="str">
        <x:v>Functional Migration Only</x:v>
      </x:c>
      <x:c r="F221" s="33" t="s">
        <x:v>118</x:v>
      </x:c>
      <x:c r="G221" s="34" t="s">
        <x:v>1255</x:v>
      </x:c>
      <x:c r="H221" s="33" t="s">
        <x:v>87</x:v>
      </x:c>
      <x:c r="I221" s="33" t="s">
        <x:v>1219</x:v>
      </x:c>
      <x:c r="J221" s="33" t="s">
        <x:v>82</x:v>
      </x:c>
      <x:c r="K221" s="33" t="s">
        <x:v>68</x:v>
      </x:c>
      <x:c r="L221" s="33" t="s">
        <x:v>73</x:v>
      </x:c>
      <x:c r="M221" s="35">
        <x:v>383</x:v>
      </x:c>
      <x:c r="N221" s="35">
        <x:v>150978926022</x:v>
      </x:c>
      <x:c r="O221" s="33" t="s">
        <x:v>101</x:v>
      </x:c>
      <x:c r="P221" s="33" t="s">
        <x:v>73</x:v>
      </x:c>
      <x:c r="Q221" s="33" t="s">
        <x:v>120</x:v>
      </x:c>
      <x:c r="R221" s="33" t="s">
        <x:v>115</x:v>
      </x:c>
      <x:c r="S221" s="31" t="s">
        <x:v>1256</x:v>
      </x:c>
      <x:c r="T221" s="31" t="s">
        <x:v>1257</x:v>
      </x:c>
      <x:c r="U221" s="31" t="s">
        <x:v>276</x:v>
      </x:c>
      <x:c r="V221" s="33" t="s">
        <x:v>329</x:v>
      </x:c>
      <x:c r="W221" s="33" t="s">
        <x:v>1250</x:v>
      </x:c>
      <x:c r="X221" s="33" t="s">
        <x:v>239</x:v>
      </x:c>
      <x:c r="Y221" s="36"/>
      <x:c r="Z221" s="36"/>
      <x:c r="AA221" s="33" t="s">
        <x:v>120</x:v>
      </x:c>
      <x:c r="AB221" s="37" t="n">
        <x:f>IFERROR(INDEX(Effort_Model!$J$6:$J$33,MATCH(K221&amp;"|"&amp;L221,Effort_Model!$B$6:$B$33,0)),"")</x:f>
        <x:v>170.4</x:v>
      </x:c>
      <x:c r="AC221" s="38">
        <x:v>2845.2</x:v>
      </x:c>
      <x:c r="AD221" s="37">
        <x:f t="shared" si="3"/>
        <x:v>3178.2</x:v>
      </x:c>
      <x:c r="AE221" s="37" t="n">
        <x:f>IFERROR(ROUND(IFERROR(INDEX(Scoring_Rules!$C$43:$C$44,MATCH(Q221,Scoring_Rules!$B$43:$B$44,0)),0)*Scoring_Rules!$C$6+IFERROR(INDEX(Scoring_Rules!$C$34:$C$40,MATCH(K221,Scoring_Rules!$B$34:$B$40,0)),0)*Scoring_Rules!$C$7+IFERROR(INDEX(Scoring_Rules!$C$16:$C$19,MATCH(P221,Scoring_Rules!$B$16:$B$19,0)),0)*Scoring_Rules!$C$8+IFERROR(INDEX(Scoring_Rules!$C$22:$C$25,MATCH(O221,Scoring_Rules!$B$22:$B$25,0)),0)*Scoring_Rules!$C$9+IFERROR(INDEX(Scoring_Rules!$C$47:$C$50,MATCH(X221,Scoring_Rules!$B$47:$B$50,0)),0)*Scoring_Rules!$C$10+IFERROR(INDEX(Scoring_Rules!$C$28:$C$31,MATCH(R221,Scoring_Rules!$B$28:$B$31,0)),0)*Scoring_Rules!$C$11,1),"")</x:f>
        <x:v>29.8</x:v>
      </x:c>
      <x:c r="AF221" s="35">
        <x:v>7</x:v>
      </x:c>
      <x:c r="AG221" s="33" t="s">
        <x:v>1239</x:v>
      </x:c>
      <x:c r="AH221" s="36">
        <x:v>46343</x:v>
      </x:c>
      <x:c r="AI221" s="33" t="s">
        <x:v>127</x:v>
      </x:c>
      <x:c r="AJ221" s="34" t="s">
        <x:v>383</x:v>
      </x:c>
    </x:row>
    <x:row r="222" ht="23.25" customHeight="1">
      <x:c r="A222" s="31" t="s">
        <x:v>1258</x:v>
      </x:c>
      <x:c r="B222" s="31" t="s">
        <x:v>1259</x:v>
      </x:c>
      <x:c r="C222" s="31" t="s">
        <x:v>270</x:v>
      </x:c>
      <x:c r="D222" s="32" t="s">
        <x:v>590</x:v>
      </x:c>
      <x:c r="E222" s="32" t="str">
        <x:v>Functional Migration Only</x:v>
      </x:c>
      <x:c r="F222" s="33" t="s">
        <x:v>118</x:v>
      </x:c>
      <x:c r="G222" s="34" t="s">
        <x:v>1225</x:v>
      </x:c>
      <x:c r="H222" s="33" t="s">
        <x:v>87</x:v>
      </x:c>
      <x:c r="I222" s="33" t="s">
        <x:v>1219</x:v>
      </x:c>
      <x:c r="J222" s="33" t="s">
        <x:v>82</x:v>
      </x:c>
      <x:c r="K222" s="33" t="s">
        <x:v>62</x:v>
      </x:c>
      <x:c r="L222" s="33" t="s">
        <x:v>75</x:v>
      </x:c>
      <x:c r="M222" s="35">
        <x:v>69</x:v>
      </x:c>
      <x:c r="N222" s="35">
        <x:v>114464429</x:v>
      </x:c>
      <x:c r="O222" s="33" t="s">
        <x:v>101</x:v>
      </x:c>
      <x:c r="P222" s="33" t="s">
        <x:v>101</x:v>
      </x:c>
      <x:c r="Q222" s="33" t="s">
        <x:v>120</x:v>
      </x:c>
      <x:c r="R222" s="33" t="s">
        <x:v>115</x:v>
      </x:c>
      <x:c r="S222" s="31" t="s">
        <x:v>1260</x:v>
      </x:c>
      <x:c r="T222" s="31" t="s">
        <x:v>1261</x:v>
      </x:c>
      <x:c r="U222" s="31" t="s">
        <x:v>276</x:v>
      </x:c>
      <x:c r="V222" s="33" t="s">
        <x:v>365</x:v>
      </x:c>
      <x:c r="W222" s="33"/>
      <x:c r="X222" s="33" t="s">
        <x:v>238</x:v>
      </x:c>
      <x:c r="Y222" s="36">
        <x:v>46668</x:v>
      </x:c>
      <x:c r="Z222" s="36"/>
      <x:c r="AA222" s="33" t="s">
        <x:v>120</x:v>
      </x:c>
      <x:c r="AB222" s="37" t="n">
        <x:f>IFERROR(INDEX(Effort_Model!$J$6:$J$33,MATCH(K222&amp;"|"&amp;L222,Effort_Model!$B$6:$B$33,0)),"")</x:f>
        <x:v>74.4</x:v>
      </x:c>
      <x:c r="AC222" s="38">
        <x:v>920.8</x:v>
      </x:c>
      <x:c r="AD222" s="37">
        <x:f t="shared" si="3"/>
        <x:v>1130.1333</x:v>
      </x:c>
      <x:c r="AE222" s="37" t="n">
        <x:f>IFERROR(ROUND(IFERROR(INDEX(Scoring_Rules!$C$43:$C$44,MATCH(Q222,Scoring_Rules!$B$43:$B$44,0)),0)*Scoring_Rules!$C$6+IFERROR(INDEX(Scoring_Rules!$C$34:$C$40,MATCH(K222,Scoring_Rules!$B$34:$B$40,0)),0)*Scoring_Rules!$C$7+IFERROR(INDEX(Scoring_Rules!$C$16:$C$19,MATCH(P222,Scoring_Rules!$B$16:$B$19,0)),0)*Scoring_Rules!$C$8+IFERROR(INDEX(Scoring_Rules!$C$22:$C$25,MATCH(O222,Scoring_Rules!$B$22:$B$25,0)),0)*Scoring_Rules!$C$9+IFERROR(INDEX(Scoring_Rules!$C$47:$C$50,MATCH(X222,Scoring_Rules!$B$47:$B$50,0)),0)*Scoring_Rules!$C$10+IFERROR(INDEX(Scoring_Rules!$C$28:$C$31,MATCH(R222,Scoring_Rules!$B$28:$B$31,0)),0)*Scoring_Rules!$C$11,1),"")</x:f>
        <x:v>38.3</x:v>
      </x:c>
      <x:c r="AF222" s="35">
        <x:v>7</x:v>
      </x:c>
      <x:c r="AG222" s="33" t="s">
        <x:v>1222</x:v>
      </x:c>
      <x:c r="AH222" s="36">
        <x:v>46395</x:v>
      </x:c>
      <x:c r="AI222" s="33" t="s">
        <x:v>127</x:v>
      </x:c>
      <x:c r="AJ222" s="34"/>
    </x:row>
    <x:row r="223" ht="34.5" customHeight="1">
      <x:c r="A223" s="31" t="s">
        <x:v>1262</x:v>
      </x:c>
      <x:c r="B223" s="31" t="s">
        <x:v>1263</x:v>
      </x:c>
      <x:c r="C223" s="31" t="s">
        <x:v>270</x:v>
      </x:c>
      <x:c r="D223" s="32" t="s">
        <x:v>1264</x:v>
      </x:c>
      <x:c r="E223" s="32" t="str">
        <x:v>Data Migration Only</x:v>
      </x:c>
      <x:c r="F223" s="33" t="s">
        <x:v>118</x:v>
      </x:c>
      <x:c r="G223" s="34" t="s">
        <x:v>1225</x:v>
      </x:c>
      <x:c r="H223" s="33" t="s">
        <x:v>87</x:v>
      </x:c>
      <x:c r="I223" s="33" t="s">
        <x:v>1219</x:v>
      </x:c>
      <x:c r="J223" s="33" t="s">
        <x:v>80</x:v>
      </x:c>
      <x:c r="K223" s="33" t="s">
        <x:v>62</x:v>
      </x:c>
      <x:c r="L223" s="33" t="s">
        <x:v>71</x:v>
      </x:c>
      <x:c r="M223" s="35">
        <x:v>65</x:v>
      </x:c>
      <x:c r="N223" s="35">
        <x:v>104843374</x:v>
      </x:c>
      <x:c r="O223" s="33" t="s">
        <x:v>73</x:v>
      </x:c>
      <x:c r="P223" s="33" t="s">
        <x:v>98</x:v>
      </x:c>
      <x:c r="Q223" s="33" t="s">
        <x:v>120</x:v>
      </x:c>
      <x:c r="R223" s="33" t="s">
        <x:v>101</x:v>
      </x:c>
      <x:c r="S223" s="31" t="s">
        <x:v>1265</x:v>
      </x:c>
      <x:c r="T223" s="31" t="s">
        <x:v>1266</x:v>
      </x:c>
      <x:c r="U223" s="31" t="s">
        <x:v>276</x:v>
      </x:c>
      <x:c r="V223" s="33" t="s">
        <x:v>277</x:v>
      </x:c>
      <x:c r="W223" s="33"/>
      <x:c r="X223" s="33" t="s">
        <x:v>238</x:v>
      </x:c>
      <x:c r="Y223" s="36"/>
      <x:c r="Z223" s="36"/>
      <x:c r="AA223" s="33" t="s">
        <x:v>120</x:v>
      </x:c>
      <x:c r="AB223" s="37" t="n">
        <x:f>IFERROR(INDEX(Effort_Model!$J$6:$J$33,MATCH(K223&amp;"|"&amp;L223,Effort_Model!$B$6:$B$33,0)),"")</x:f>
        <x:v>18.4</x:v>
      </x:c>
      <x:c r="AC223" s="38">
        <x:v>322.39999999999998</x:v>
      </x:c>
      <x:c r="AD223" s="37">
        <x:f t="shared" si="3"/>
        <x:v>396.79999999999995</x:v>
      </x:c>
      <x:c r="AE223" s="37" t="n">
        <x:f>IFERROR(ROUND(IFERROR(INDEX(Scoring_Rules!$C$43:$C$44,MATCH(Q223,Scoring_Rules!$B$43:$B$44,0)),0)*Scoring_Rules!$C$6+IFERROR(INDEX(Scoring_Rules!$C$34:$C$40,MATCH(K223,Scoring_Rules!$B$34:$B$40,0)),0)*Scoring_Rules!$C$7+IFERROR(INDEX(Scoring_Rules!$C$16:$C$19,MATCH(P223,Scoring_Rules!$B$16:$B$19,0)),0)*Scoring_Rules!$C$8+IFERROR(INDEX(Scoring_Rules!$C$22:$C$25,MATCH(O223,Scoring_Rules!$B$22:$B$25,0)),0)*Scoring_Rules!$C$9+IFERROR(INDEX(Scoring_Rules!$C$47:$C$50,MATCH(X223,Scoring_Rules!$B$47:$B$50,0)),0)*Scoring_Rules!$C$10+IFERROR(INDEX(Scoring_Rules!$C$28:$C$31,MATCH(R223,Scoring_Rules!$B$28:$B$31,0)),0)*Scoring_Rules!$C$11,1),"")</x:f>
        <x:v>58.3</x:v>
      </x:c>
      <x:c r="AF223" s="35">
        <x:v>2</x:v>
      </x:c>
      <x:c r="AG223" s="33" t="s">
        <x:v>1228</x:v>
      </x:c>
      <x:c r="AH223" s="36">
        <x:v>46316</x:v>
      </x:c>
      <x:c r="AI223" s="33" t="s">
        <x:v>126</x:v>
      </x:c>
      <x:c r="AJ223" s="34"/>
    </x:row>
    <x:row r="224" ht="23.25" customHeight="1">
      <x:c r="A224" s="31" t="s">
        <x:v>1267</x:v>
      </x:c>
      <x:c r="B224" s="31" t="s">
        <x:v>1268</x:v>
      </x:c>
      <x:c r="C224" s="31" t="s">
        <x:v>270</x:v>
      </x:c>
      <x:c r="D224" s="32" t="s">
        <x:v>1242</x:v>
      </x:c>
      <x:c r="E224" s="32" t="str">
        <x:v>Functional Migration Only</x:v>
      </x:c>
      <x:c r="F224" s="33" t="s">
        <x:v>118</x:v>
      </x:c>
      <x:c r="G224" s="34" t="s">
        <x:v>1255</x:v>
      </x:c>
      <x:c r="H224" s="33" t="s">
        <x:v>87</x:v>
      </x:c>
      <x:c r="I224" s="33" t="s">
        <x:v>1219</x:v>
      </x:c>
      <x:c r="J224" s="33" t="s">
        <x:v>82</x:v>
      </x:c>
      <x:c r="K224" s="33" t="s">
        <x:v>56</x:v>
      </x:c>
      <x:c r="L224" s="33" t="s">
        <x:v>75</x:v>
      </x:c>
      <x:c r="M224" s="35">
        <x:v>7</x:v>
      </x:c>
      <x:c r="N224" s="35">
        <x:v>136424</x:v>
      </x:c>
      <x:c r="O224" s="33" t="s">
        <x:v>98</x:v>
      </x:c>
      <x:c r="P224" s="33" t="s">
        <x:v>101</x:v>
      </x:c>
      <x:c r="Q224" s="33" t="s">
        <x:v>120</x:v>
      </x:c>
      <x:c r="R224" s="33" t="s">
        <x:v>115</x:v>
      </x:c>
      <x:c r="S224" s="31" t="s">
        <x:v>1265</x:v>
      </x:c>
      <x:c r="T224" s="31" t="s">
        <x:v>1266</x:v>
      </x:c>
      <x:c r="U224" s="31" t="s">
        <x:v>276</x:v>
      </x:c>
      <x:c r="V224" s="33" t="s">
        <x:v>365</x:v>
      </x:c>
      <x:c r="W224" s="33"/>
      <x:c r="X224" s="33" t="s">
        <x:v>238</x:v>
      </x:c>
      <x:c r="Y224" s="36"/>
      <x:c r="Z224" s="36"/>
      <x:c r="AA224" s="33" t="s">
        <x:v>120</x:v>
      </x:c>
      <x:c r="AB224" s="37" t="n">
        <x:f>IFERROR(INDEX(Effort_Model!$J$6:$J$33,MATCH(K224&amp;"|"&amp;L224,Effort_Model!$B$6:$B$33,0)),"")</x:f>
        <x:v>18.4</x:v>
      </x:c>
      <x:c r="AC224" s="38">
        <x:v>188.4</x:v>
      </x:c>
      <x:c r="AD224" s="37">
        <x:f t="shared" si="3"/>
        <x:v>229.73330000000001</x:v>
      </x:c>
      <x:c r="AE224" s="37" t="n">
        <x:f>IFERROR(ROUND(IFERROR(INDEX(Scoring_Rules!$C$43:$C$44,MATCH(Q224,Scoring_Rules!$B$43:$B$44,0)),0)*Scoring_Rules!$C$6+IFERROR(INDEX(Scoring_Rules!$C$34:$C$40,MATCH(K224,Scoring_Rules!$B$34:$B$40,0)),0)*Scoring_Rules!$C$7+IFERROR(INDEX(Scoring_Rules!$C$16:$C$19,MATCH(P224,Scoring_Rules!$B$16:$B$19,0)),0)*Scoring_Rules!$C$8+IFERROR(INDEX(Scoring_Rules!$C$22:$C$25,MATCH(O224,Scoring_Rules!$B$22:$B$25,0)),0)*Scoring_Rules!$C$9+IFERROR(INDEX(Scoring_Rules!$C$47:$C$50,MATCH(X224,Scoring_Rules!$B$47:$B$50,0)),0)*Scoring_Rules!$C$10+IFERROR(INDEX(Scoring_Rules!$C$28:$C$31,MATCH(R224,Scoring_Rules!$B$28:$B$31,0)),0)*Scoring_Rules!$C$11,1),"")</x:f>
        <x:v>57</x:v>
      </x:c>
      <x:c r="AF224" s="35">
        <x:v>4</x:v>
      </x:c>
      <x:c r="AG224" s="33" t="s">
        <x:v>1233</x:v>
      </x:c>
      <x:c r="AH224" s="36">
        <x:v>46381</x:v>
      </x:c>
      <x:c r="AI224" s="33" t="s">
        <x:v>126</x:v>
      </x:c>
      <x:c r="AJ224" s="34" t="s">
        <x:v>395</x:v>
      </x:c>
    </x:row>
    <x:row r="225" ht="23.25" customHeight="1">
      <x:c r="A225" s="31" t="s">
        <x:v>1269</x:v>
      </x:c>
      <x:c r="B225" s="31" t="s">
        <x:v>1270</x:v>
      </x:c>
      <x:c r="C225" s="31" t="s">
        <x:v>270</x:v>
      </x:c>
      <x:c r="D225" s="32" t="s">
        <x:v>1242</x:v>
      </x:c>
      <x:c r="E225" s="32" t="str">
        <x:v>Functional Migration Only</x:v>
      </x:c>
      <x:c r="F225" s="33" t="s">
        <x:v>118</x:v>
      </x:c>
      <x:c r="G225" s="34" t="s">
        <x:v>1255</x:v>
      </x:c>
      <x:c r="H225" s="33" t="s">
        <x:v>87</x:v>
      </x:c>
      <x:c r="I225" s="33" t="s">
        <x:v>1219</x:v>
      </x:c>
      <x:c r="J225" s="33" t="s">
        <x:v>82</x:v>
      </x:c>
      <x:c r="K225" s="33" t="s">
        <x:v>66</x:v>
      </x:c>
      <x:c r="L225" s="33" t="s">
        <x:v>75</x:v>
      </x:c>
      <x:c r="M225" s="35">
        <x:v>164</x:v>
      </x:c>
      <x:c r="N225" s="35">
        <x:v>13047077662</x:v>
      </x:c>
      <x:c r="O225" s="33" t="s">
        <x:v>98</x:v>
      </x:c>
      <x:c r="P225" s="33" t="s">
        <x:v>73</x:v>
      </x:c>
      <x:c r="Q225" s="33" t="s">
        <x:v>120</x:v>
      </x:c>
      <x:c r="R225" s="33" t="s">
        <x:v>73</x:v>
      </x:c>
      <x:c r="S225" s="31" t="s">
        <x:v>1265</x:v>
      </x:c>
      <x:c r="T225" s="31" t="s">
        <x:v>1266</x:v>
      </x:c>
      <x:c r="U225" s="31" t="s">
        <x:v>276</x:v>
      </x:c>
      <x:c r="V225" s="33" t="s">
        <x:v>451</x:v>
      </x:c>
      <x:c r="W225" s="33"/>
      <x:c r="X225" s="33" t="s">
        <x:v>238</x:v>
      </x:c>
      <x:c r="Y225" s="36"/>
      <x:c r="Z225" s="36">
        <x:v>47071</x:v>
      </x:c>
      <x:c r="AA225" s="33" t="s">
        <x:v>120</x:v>
      </x:c>
      <x:c r="AB225" s="37" t="n">
        <x:f>IFERROR(INDEX(Effort_Model!$J$6:$J$33,MATCH(K225&amp;"|"&amp;L225,Effort_Model!$B$6:$B$33,0)),"")</x:f>
        <x:v>138.4</x:v>
      </x:c>
      <x:c r="AC225" s="38">
        <x:v>2614.9</x:v>
      </x:c>
      <x:c r="AD225" s="37">
        <x:f t="shared" si="3"/>
        <x:v>3016.2332999999999</x:v>
      </x:c>
      <x:c r="AE225" s="37" t="n">
        <x:f>IFERROR(ROUND(IFERROR(INDEX(Scoring_Rules!$C$43:$C$44,MATCH(Q225,Scoring_Rules!$B$43:$B$44,0)),0)*Scoring_Rules!$C$6+IFERROR(INDEX(Scoring_Rules!$C$34:$C$40,MATCH(K225,Scoring_Rules!$B$34:$B$40,0)),0)*Scoring_Rules!$C$7+IFERROR(INDEX(Scoring_Rules!$C$16:$C$19,MATCH(P225,Scoring_Rules!$B$16:$B$19,0)),0)*Scoring_Rules!$C$8+IFERROR(INDEX(Scoring_Rules!$C$22:$C$25,MATCH(O225,Scoring_Rules!$B$22:$B$25,0)),0)*Scoring_Rules!$C$9+IFERROR(INDEX(Scoring_Rules!$C$47:$C$50,MATCH(X225,Scoring_Rules!$B$47:$B$50,0)),0)*Scoring_Rules!$C$10+IFERROR(INDEX(Scoring_Rules!$C$28:$C$31,MATCH(R225,Scoring_Rules!$B$28:$B$31,0)),0)*Scoring_Rules!$C$11,1),"")</x:f>
        <x:v>51.5</x:v>
      </x:c>
      <x:c r="AF225" s="35">
        <x:v>6</x:v>
      </x:c>
      <x:c r="AG225" s="33" t="s">
        <x:v>1239</x:v>
      </x:c>
      <x:c r="AH225" s="36">
        <x:v>46301</x:v>
      </x:c>
      <x:c r="AI225" s="33" t="s">
        <x:v>125</x:v>
      </x:c>
      <x:c r="AJ225" s="34" t="s">
        <x:v>336</x:v>
      </x:c>
    </x:row>
    <x:row r="226" ht="34.5" customHeight="1">
      <x:c r="A226" s="31" t="s">
        <x:v>1271</x:v>
      </x:c>
      <x:c r="B226" s="31" t="s">
        <x:v>1272</x:v>
      </x:c>
      <x:c r="C226" s="31" t="s">
        <x:v>270</x:v>
      </x:c>
      <x:c r="D226" s="32" t="s">
        <x:v>1273</x:v>
      </x:c>
      <x:c r="E226" s="32" t="str">
        <x:v>Functional Migration Only</x:v>
      </x:c>
      <x:c r="F226" s="33" t="s">
        <x:v>120</x:v>
      </x:c>
      <x:c r="G226" s="34" t="s">
        <x:v>1255</x:v>
      </x:c>
      <x:c r="H226" s="33" t="s">
        <x:v>87</x:v>
      </x:c>
      <x:c r="I226" s="33" t="s">
        <x:v>1219</x:v>
      </x:c>
      <x:c r="J226" s="33" t="s">
        <x:v>82</x:v>
      </x:c>
      <x:c r="K226" s="33" t="s">
        <x:v>62</x:v>
      </x:c>
      <x:c r="L226" s="33" t="s">
        <x:v>77</x:v>
      </x:c>
      <x:c r="M226" s="35">
        <x:v>67</x:v>
      </x:c>
      <x:c r="N226" s="35">
        <x:v>87364387</x:v>
      </x:c>
      <x:c r="O226" s="33" t="s">
        <x:v>101</x:v>
      </x:c>
      <x:c r="P226" s="33" t="s">
        <x:v>73</x:v>
      </x:c>
      <x:c r="Q226" s="33" t="s">
        <x:v>120</x:v>
      </x:c>
      <x:c r="R226" s="33" t="s">
        <x:v>101</x:v>
      </x:c>
      <x:c r="S226" s="31" t="s">
        <x:v>1256</x:v>
      </x:c>
      <x:c r="T226" s="31" t="s">
        <x:v>1257</x:v>
      </x:c>
      <x:c r="U226" s="31" t="s">
        <x:v>276</x:v>
      </x:c>
      <x:c r="V226" s="33" t="s">
        <x:v>444</x:v>
      </x:c>
      <x:c r="W226" s="33"/>
      <x:c r="X226" s="33" t="s">
        <x:v>238</x:v>
      </x:c>
      <x:c r="Y226" s="36"/>
      <x:c r="Z226" s="36"/>
      <x:c r="AA226" s="33" t="s">
        <x:v>120</x:v>
      </x:c>
      <x:c r="AB226" s="37" t="n">
        <x:f>IFERROR(INDEX(Effort_Model!$J$6:$J$33,MATCH(K226&amp;"|"&amp;L226,Effort_Model!$B$6:$B$33,0)),"")</x:f>
        <x:v>74.4</x:v>
      </x:c>
      <x:c r="AC226" s="38">
        <x:v>1330.6</x:v>
      </x:c>
      <x:c r="AD226" s="37">
        <x:f t="shared" si="3"/>
        <x:v>1603.9332999999999</x:v>
      </x:c>
      <x:c r="AE226" s="37" t="n">
        <x:f>IFERROR(ROUND(IFERROR(INDEX(Scoring_Rules!$C$43:$C$44,MATCH(Q226,Scoring_Rules!$B$43:$B$44,0)),0)*Scoring_Rules!$C$6+IFERROR(INDEX(Scoring_Rules!$C$34:$C$40,MATCH(K226,Scoring_Rules!$B$34:$B$40,0)),0)*Scoring_Rules!$C$7+IFERROR(INDEX(Scoring_Rules!$C$16:$C$19,MATCH(P226,Scoring_Rules!$B$16:$B$19,0)),0)*Scoring_Rules!$C$8+IFERROR(INDEX(Scoring_Rules!$C$22:$C$25,MATCH(O226,Scoring_Rules!$B$22:$B$25,0)),0)*Scoring_Rules!$C$9+IFERROR(INDEX(Scoring_Rules!$C$47:$C$50,MATCH(X226,Scoring_Rules!$B$47:$B$50,0)),0)*Scoring_Rules!$C$10+IFERROR(INDEX(Scoring_Rules!$C$28:$C$31,MATCH(R226,Scoring_Rules!$B$28:$B$31,0)),0)*Scoring_Rules!$C$11,1),"")</x:f>
        <x:v>47</x:v>
      </x:c>
      <x:c r="AF226" s="35">
        <x:v>7</x:v>
      </x:c>
      <x:c r="AG226" s="33" t="s">
        <x:v>1222</x:v>
      </x:c>
      <x:c r="AH226" s="36">
        <x:v>46403</x:v>
      </x:c>
      <x:c r="AI226" s="33" t="s">
        <x:v>126</x:v>
      </x:c>
      <x:c r="AJ226" s="34" t="s">
        <x:v>383</x:v>
      </x:c>
    </x:row>
    <x:row r="227" ht="34.5" customHeight="1">
      <x:c r="A227" s="31" t="s">
        <x:v>1274</x:v>
      </x:c>
      <x:c r="B227" s="31" t="s">
        <x:v>1275</x:v>
      </x:c>
      <x:c r="C227" s="31" t="s">
        <x:v>270</x:v>
      </x:c>
      <x:c r="D227" s="32" t="s">
        <x:v>1276</x:v>
      </x:c>
      <x:c r="E227" s="32" t="str">
        <x:v>Data Migration Only</x:v>
      </x:c>
      <x:c r="F227" s="33" t="s">
        <x:v>120</x:v>
      </x:c>
      <x:c r="G227" s="34" t="s">
        <x:v>1218</x:v>
      </x:c>
      <x:c r="H227" s="33" t="s">
        <x:v>87</x:v>
      </x:c>
      <x:c r="I227" s="33" t="s">
        <x:v>1219</x:v>
      </x:c>
      <x:c r="J227" s="33" t="s">
        <x:v>80</x:v>
      </x:c>
      <x:c r="K227" s="33" t="s">
        <x:v>60</x:v>
      </x:c>
      <x:c r="L227" s="33" t="s">
        <x:v>75</x:v>
      </x:c>
      <x:c r="M227" s="35">
        <x:v>38</x:v>
      </x:c>
      <x:c r="N227" s="35">
        <x:v>4651615</x:v>
      </x:c>
      <x:c r="O227" s="33" t="s">
        <x:v>73</x:v>
      </x:c>
      <x:c r="P227" s="33" t="s">
        <x:v>101</x:v>
      </x:c>
      <x:c r="Q227" s="33" t="s">
        <x:v>120</x:v>
      </x:c>
      <x:c r="R227" s="33" t="s">
        <x:v>73</x:v>
      </x:c>
      <x:c r="S227" s="31" t="s">
        <x:v>1277</x:v>
      </x:c>
      <x:c r="T227" s="31" t="s">
        <x:v>1278</x:v>
      </x:c>
      <x:c r="U227" s="31" t="s">
        <x:v>276</x:v>
      </x:c>
      <x:c r="V227" s="33" t="s">
        <x:v>303</x:v>
      </x:c>
      <x:c r="W227" s="33"/>
      <x:c r="X227" s="33" t="s">
        <x:v>238</x:v>
      </x:c>
      <x:c r="Y227" s="36">
        <x:v>46321</x:v>
      </x:c>
      <x:c r="Z227" s="36"/>
      <x:c r="AA227" s="33" t="s">
        <x:v>120</x:v>
      </x:c>
      <x:c r="AB227" s="37" t="n">
        <x:f>IFERROR(INDEX(Effort_Model!$J$6:$J$33,MATCH(K227&amp;"|"&amp;L227,Effort_Model!$B$6:$B$33,0)),"")</x:f>
        <x:v>42.4</x:v>
      </x:c>
      <x:c r="AC227" s="38">
        <x:v>302.8</x:v>
      </x:c>
      <x:c r="AD227" s="37">
        <x:f t="shared" si="3"/>
        <x:v>416.13330000000002</x:v>
      </x:c>
      <x:c r="AE227" s="37" t="n">
        <x:f>IFERROR(ROUND(IFERROR(INDEX(Scoring_Rules!$C$43:$C$44,MATCH(Q227,Scoring_Rules!$B$43:$B$44,0)),0)*Scoring_Rules!$C$6+IFERROR(INDEX(Scoring_Rules!$C$34:$C$40,MATCH(K227,Scoring_Rules!$B$34:$B$40,0)),0)*Scoring_Rules!$C$7+IFERROR(INDEX(Scoring_Rules!$C$16:$C$19,MATCH(P227,Scoring_Rules!$B$16:$B$19,0)),0)*Scoring_Rules!$C$8+IFERROR(INDEX(Scoring_Rules!$C$22:$C$25,MATCH(O227,Scoring_Rules!$B$22:$B$25,0)),0)*Scoring_Rules!$C$9+IFERROR(INDEX(Scoring_Rules!$C$47:$C$50,MATCH(X227,Scoring_Rules!$B$47:$B$50,0)),0)*Scoring_Rules!$C$10+IFERROR(INDEX(Scoring_Rules!$C$28:$C$31,MATCH(R227,Scoring_Rules!$B$28:$B$31,0)),0)*Scoring_Rules!$C$11,1),"")</x:f>
        <x:v>51</x:v>
      </x:c>
      <x:c r="AF227" s="35">
        <x:v>6</x:v>
      </x:c>
      <x:c r="AG227" s="33" t="s">
        <x:v>1228</x:v>
      </x:c>
      <x:c r="AH227" s="36">
        <x:v>46336</x:v>
      </x:c>
      <x:c r="AI227" s="33" t="s">
        <x:v>127</x:v>
      </x:c>
      <x:c r="AJ227" s="34" t="s">
        <x:v>383</x:v>
      </x:c>
    </x:row>
    <x:row r="228" ht="15" customHeight="1">
      <x:c r="A228" s="31" t="s">
        <x:v>1279</x:v>
      </x:c>
      <x:c r="B228" s="31" t="s">
        <x:v>1280</x:v>
      </x:c>
      <x:c r="C228" s="31" t="s">
        <x:v>270</x:v>
      </x:c>
      <x:c r="D228" s="32" t="s">
        <x:v>408</x:v>
      </x:c>
      <x:c r="E228" s="32" t="str">
        <x:v>Data Migration Only</x:v>
      </x:c>
      <x:c r="F228" s="33" t="s">
        <x:v>120</x:v>
      </x:c>
      <x:c r="G228" s="34" t="s">
        <x:v>1236</x:v>
      </x:c>
      <x:c r="H228" s="33" t="s">
        <x:v>87</x:v>
      </x:c>
      <x:c r="I228" s="33" t="s">
        <x:v>1219</x:v>
      </x:c>
      <x:c r="J228" s="33" t="s">
        <x:v>80</x:v>
      </x:c>
      <x:c r="K228" s="33" t="s">
        <x:v>64</x:v>
      </x:c>
      <x:c r="L228" s="33" t="s">
        <x:v>73</x:v>
      </x:c>
      <x:c r="M228" s="35">
        <x:v>94</x:v>
      </x:c>
      <x:c r="N228" s="35">
        <x:v>514724846</x:v>
      </x:c>
      <x:c r="O228" s="33" t="s">
        <x:v>101</x:v>
      </x:c>
      <x:c r="P228" s="33" t="s">
        <x:v>73</x:v>
      </x:c>
      <x:c r="Q228" s="33" t="s">
        <x:v>120</x:v>
      </x:c>
      <x:c r="R228" s="33" t="s">
        <x:v>101</x:v>
      </x:c>
      <x:c r="S228" s="31" t="s">
        <x:v>1281</x:v>
      </x:c>
      <x:c r="T228" s="31" t="s">
        <x:v>1282</x:v>
      </x:c>
      <x:c r="U228" s="31" t="s">
        <x:v>276</x:v>
      </x:c>
      <x:c r="V228" s="33" t="s">
        <x:v>323</x:v>
      </x:c>
      <x:c r="W228" s="33" t="s">
        <x:v>1271</x:v>
      </x:c>
      <x:c r="X228" s="33" t="s">
        <x:v>240</x:v>
      </x:c>
      <x:c r="Y228" s="36"/>
      <x:c r="Z228" s="36">
        <x:v>47049</x:v>
      </x:c>
      <x:c r="AA228" s="33" t="s">
        <x:v>120</x:v>
      </x:c>
      <x:c r="AB228" s="37" t="n">
        <x:f>IFERROR(INDEX(Effort_Model!$J$6:$J$33,MATCH(K228&amp;"|"&amp;L228,Effort_Model!$B$6:$B$33,0)),"")</x:f>
        <x:v>106.4</x:v>
      </x:c>
      <x:c r="AC228" s="38">
        <x:v>698.2</x:v>
      </x:c>
      <x:c r="AD228" s="37">
        <x:f t="shared" si="3"/>
        <x:v>903.2</x:v>
      </x:c>
      <x:c r="AE228" s="37" t="n">
        <x:f>IFERROR(ROUND(IFERROR(INDEX(Scoring_Rules!$C$43:$C$44,MATCH(Q228,Scoring_Rules!$B$43:$B$44,0)),0)*Scoring_Rules!$C$6+IFERROR(INDEX(Scoring_Rules!$C$34:$C$40,MATCH(K228,Scoring_Rules!$B$34:$B$40,0)),0)*Scoring_Rules!$C$7+IFERROR(INDEX(Scoring_Rules!$C$16:$C$19,MATCH(P228,Scoring_Rules!$B$16:$B$19,0)),0)*Scoring_Rules!$C$8+IFERROR(INDEX(Scoring_Rules!$C$22:$C$25,MATCH(O228,Scoring_Rules!$B$22:$B$25,0)),0)*Scoring_Rules!$C$9+IFERROR(INDEX(Scoring_Rules!$C$47:$C$50,MATCH(X228,Scoring_Rules!$B$47:$B$50,0)),0)*Scoring_Rules!$C$10+IFERROR(INDEX(Scoring_Rules!$C$28:$C$31,MATCH(R228,Scoring_Rules!$B$28:$B$31,0)),0)*Scoring_Rules!$C$11,1),"")</x:f>
        <x:v>32.5</x:v>
      </x:c>
      <x:c r="AF228" s="35">
        <x:v>6</x:v>
      </x:c>
      <x:c r="AG228" s="33" t="s">
        <x:v>1233</x:v>
      </x:c>
      <x:c r="AH228" s="36">
        <x:v>46332</x:v>
      </x:c>
      <x:c r="AI228" s="33" t="s">
        <x:v>125</x:v>
      </x:c>
      <x:c r="AJ228" s="34" t="s">
        <x:v>312</x:v>
      </x:c>
    </x:row>
    <x:row r="229" ht="23.25" customHeight="1">
      <x:c r="A229" s="31" t="s">
        <x:v>1283</x:v>
      </x:c>
      <x:c r="B229" s="31" t="s">
        <x:v>1284</x:v>
      </x:c>
      <x:c r="C229" s="31" t="s">
        <x:v>270</x:v>
      </x:c>
      <x:c r="D229" s="32" t="s">
        <x:v>382</x:v>
      </x:c>
      <x:c r="E229" s="32" t="str">
        <x:v>Data Migration Only</x:v>
      </x:c>
      <x:c r="F229" s="33" t="s">
        <x:v>118</x:v>
      </x:c>
      <x:c r="G229" s="34" t="s">
        <x:v>768</x:v>
      </x:c>
      <x:c r="H229" s="33" t="s">
        <x:v>89</x:v>
      </x:c>
      <x:c r="I229" s="33" t="s">
        <x:v>1219</x:v>
      </x:c>
      <x:c r="J229" s="33" t="s">
        <x:v>80</x:v>
      </x:c>
      <x:c r="K229" s="33" t="s">
        <x:v>58</x:v>
      </x:c>
      <x:c r="L229" s="33" t="s">
        <x:v>75</x:v>
      </x:c>
      <x:c r="M229" s="35">
        <x:v>17</x:v>
      </x:c>
      <x:c r="N229" s="35">
        <x:v>884797</x:v>
      </x:c>
      <x:c r="O229" s="33" t="s">
        <x:v>98</x:v>
      </x:c>
      <x:c r="P229" s="33" t="s">
        <x:v>109</x:v>
      </x:c>
      <x:c r="Q229" s="33" t="s">
        <x:v>120</x:v>
      </x:c>
      <x:c r="R229" s="33" t="s">
        <x:v>73</x:v>
      </x:c>
      <x:c r="S229" s="31" t="s">
        <x:v>363</x:v>
      </x:c>
      <x:c r="T229" s="31" t="s">
        <x:v>364</x:v>
      </x:c>
      <x:c r="U229" s="31" t="s">
        <x:v>276</x:v>
      </x:c>
      <x:c r="V229" s="33" t="s">
        <x:v>347</x:v>
      </x:c>
      <x:c r="W229" s="33" t="s">
        <x:v>1285</x:v>
      </x:c>
      <x:c r="X229" s="33" t="s">
        <x:v>239</x:v>
      </x:c>
      <x:c r="Y229" s="36"/>
      <x:c r="Z229" s="36"/>
      <x:c r="AA229" s="33" t="s">
        <x:v>120</x:v>
      </x:c>
      <x:c r="AB229" s="37" t="n">
        <x:f>IFERROR(INDEX(Effort_Model!$J$6:$J$33,MATCH(K229&amp;"|"&amp;L229,Effort_Model!$B$6:$B$33,0)),"")</x:f>
        <x:v>26.4</x:v>
      </x:c>
      <x:c r="AC229" s="38">
        <x:v>208.8</x:v>
      </x:c>
      <x:c r="AD229" s="37">
        <x:f t="shared" si="3"/>
        <x:v>274.13330000000002</x:v>
      </x:c>
      <x:c r="AE229" s="37" t="n">
        <x:f>IFERROR(ROUND(IFERROR(INDEX(Scoring_Rules!$C$43:$C$44,MATCH(Q229,Scoring_Rules!$B$43:$B$44,0)),0)*Scoring_Rules!$C$6+IFERROR(INDEX(Scoring_Rules!$C$34:$C$40,MATCH(K229,Scoring_Rules!$B$34:$B$40,0)),0)*Scoring_Rules!$C$7+IFERROR(INDEX(Scoring_Rules!$C$16:$C$19,MATCH(P229,Scoring_Rules!$B$16:$B$19,0)),0)*Scoring_Rules!$C$8+IFERROR(INDEX(Scoring_Rules!$C$22:$C$25,MATCH(O229,Scoring_Rules!$B$22:$B$25,0)),0)*Scoring_Rules!$C$9+IFERROR(INDEX(Scoring_Rules!$C$47:$C$50,MATCH(X229,Scoring_Rules!$B$47:$B$50,0)),0)*Scoring_Rules!$C$10+IFERROR(INDEX(Scoring_Rules!$C$28:$C$31,MATCH(R229,Scoring_Rules!$B$28:$B$31,0)),0)*Scoring_Rules!$C$11,1),"")</x:f>
        <x:v>47</x:v>
      </x:c>
      <x:c r="AF229" s="35"/>
      <x:c r="AG229" s="33" t="s">
        <x:v>1239</x:v>
      </x:c>
      <x:c r="AH229" s="36">
        <x:v>46370</x:v>
      </x:c>
      <x:c r="AI229" s="33" t="s">
        <x:v>126</x:v>
      </x:c>
      <x:c r="AJ229" s="34"/>
    </x:row>
    <x:row r="230" ht="23.25" customHeight="1">
      <x:c r="A230" s="31" t="s">
        <x:v>1286</x:v>
      </x:c>
      <x:c r="B230" s="31" t="s">
        <x:v>1287</x:v>
      </x:c>
      <x:c r="C230" s="31" t="s">
        <x:v>270</x:v>
      </x:c>
      <x:c r="D230" s="32" t="s">
        <x:v>382</x:v>
      </x:c>
      <x:c r="E230" s="32" t="str">
        <x:v>Data Migration Only</x:v>
      </x:c>
      <x:c r="F230" s="33" t="s">
        <x:v>118</x:v>
      </x:c>
      <x:c r="G230" s="34" t="s">
        <x:v>1218</x:v>
      </x:c>
      <x:c r="H230" s="33" t="s">
        <x:v>87</x:v>
      </x:c>
      <x:c r="I230" s="33" t="s">
        <x:v>1219</x:v>
      </x:c>
      <x:c r="J230" s="33" t="s">
        <x:v>80</x:v>
      </x:c>
      <x:c r="K230" s="33" t="s">
        <x:v>62</x:v>
      </x:c>
      <x:c r="L230" s="33" t="s">
        <x:v>73</x:v>
      </x:c>
      <x:c r="M230" s="35">
        <x:v>61</x:v>
      </x:c>
      <x:c r="N230" s="35">
        <x:v>138751957</x:v>
      </x:c>
      <x:c r="O230" s="33" t="s">
        <x:v>73</x:v>
      </x:c>
      <x:c r="P230" s="33" t="s">
        <x:v>73</x:v>
      </x:c>
      <x:c r="Q230" s="33" t="s">
        <x:v>120</x:v>
      </x:c>
      <x:c r="R230" s="33" t="s">
        <x:v>73</x:v>
      </x:c>
      <x:c r="S230" s="31" t="s">
        <x:v>1288</x:v>
      </x:c>
      <x:c r="T230" s="31" t="s">
        <x:v>1289</x:v>
      </x:c>
      <x:c r="U230" s="31" t="s">
        <x:v>276</x:v>
      </x:c>
      <x:c r="V230" s="33" t="s">
        <x:v>277</x:v>
      </x:c>
      <x:c r="W230" s="33" t="s">
        <x:v>1253</x:v>
      </x:c>
      <x:c r="X230" s="33" t="s">
        <x:v>240</x:v>
      </x:c>
      <x:c r="Y230" s="36"/>
      <x:c r="Z230" s="36"/>
      <x:c r="AA230" s="33" t="s">
        <x:v>120</x:v>
      </x:c>
      <x:c r="AB230" s="37" t="n">
        <x:f>IFERROR(INDEX(Effort_Model!$J$6:$J$33,MATCH(K230&amp;"|"&amp;L230,Effort_Model!$B$6:$B$33,0)),"")</x:f>
        <x:v>74.4</x:v>
      </x:c>
      <x:c r="AC230" s="38">
        <x:v>469.6</x:v>
      </x:c>
      <x:c r="AD230" s="37">
        <x:f t="shared" si="3"/>
        <x:v>610.6</x:v>
      </x:c>
      <x:c r="AE230" s="37" t="n">
        <x:f>IFERROR(ROUND(IFERROR(INDEX(Scoring_Rules!$C$43:$C$44,MATCH(Q230,Scoring_Rules!$B$43:$B$44,0)),0)*Scoring_Rules!$C$6+IFERROR(INDEX(Scoring_Rules!$C$34:$C$40,MATCH(K230,Scoring_Rules!$B$34:$B$40,0)),0)*Scoring_Rules!$C$7+IFERROR(INDEX(Scoring_Rules!$C$16:$C$19,MATCH(P230,Scoring_Rules!$B$16:$B$19,0)),0)*Scoring_Rules!$C$8+IFERROR(INDEX(Scoring_Rules!$C$22:$C$25,MATCH(O230,Scoring_Rules!$B$22:$B$25,0)),0)*Scoring_Rules!$C$9+IFERROR(INDEX(Scoring_Rules!$C$47:$C$50,MATCH(X230,Scoring_Rules!$B$47:$B$50,0)),0)*Scoring_Rules!$C$10+IFERROR(INDEX(Scoring_Rules!$C$28:$C$31,MATCH(R230,Scoring_Rules!$B$28:$B$31,0)),0)*Scoring_Rules!$C$11,1),"")</x:f>
        <x:v>43.5</x:v>
      </x:c>
      <x:c r="AF230" s="35">
        <x:v>3</x:v>
      </x:c>
      <x:c r="AG230" s="33" t="s">
        <x:v>1222</x:v>
      </x:c>
      <x:c r="AH230" s="36">
        <x:v>46311</x:v>
      </x:c>
      <x:c r="AI230" s="33" t="s">
        <x:v>127</x:v>
      </x:c>
      <x:c r="AJ230" s="34"/>
    </x:row>
    <x:row r="231" ht="23.25" customHeight="1">
      <x:c r="A231" s="31" t="s">
        <x:v>1290</x:v>
      </x:c>
      <x:c r="B231" s="31" t="s">
        <x:v>1291</x:v>
      </x:c>
      <x:c r="C231" s="31" t="s">
        <x:v>270</x:v>
      </x:c>
      <x:c r="D231" s="32" t="s">
        <x:v>1242</x:v>
      </x:c>
      <x:c r="E231" s="32" t="str">
        <x:v>Data Migration Only</x:v>
      </x:c>
      <x:c r="F231" s="33" t="s">
        <x:v>118</x:v>
      </x:c>
      <x:c r="G231" s="34" t="s">
        <x:v>1225</x:v>
      </x:c>
      <x:c r="H231" s="33" t="s">
        <x:v>87</x:v>
      </x:c>
      <x:c r="I231" s="33" t="s">
        <x:v>1219</x:v>
      </x:c>
      <x:c r="J231" s="33" t="s">
        <x:v>80</x:v>
      </x:c>
      <x:c r="K231" s="33" t="s">
        <x:v>58</x:v>
      </x:c>
      <x:c r="L231" s="33" t="s">
        <x:v>75</x:v>
      </x:c>
      <x:c r="M231" s="35">
        <x:v>30</x:v>
      </x:c>
      <x:c r="N231" s="35">
        <x:v>560052</x:v>
      </x:c>
      <x:c r="O231" s="33" t="s">
        <x:v>73</x:v>
      </x:c>
      <x:c r="P231" s="33" t="s">
        <x:v>73</x:v>
      </x:c>
      <x:c r="Q231" s="33" t="s">
        <x:v>120</x:v>
      </x:c>
      <x:c r="R231" s="33" t="s">
        <x:v>101</x:v>
      </x:c>
      <x:c r="S231" s="31" t="s">
        <x:v>1220</x:v>
      </x:c>
      <x:c r="T231" s="31" t="s">
        <x:v>1221</x:v>
      </x:c>
      <x:c r="U231" s="31" t="s">
        <x:v>276</x:v>
      </x:c>
      <x:c r="V231" s="33" t="s">
        <x:v>303</x:v>
      </x:c>
      <x:c r="W231" s="33"/>
      <x:c r="X231" s="33" t="s">
        <x:v>238</x:v>
      </x:c>
      <x:c r="Y231" s="36"/>
      <x:c r="Z231" s="36"/>
      <x:c r="AA231" s="33" t="s">
        <x:v>120</x:v>
      </x:c>
      <x:c r="AB231" s="37" t="n">
        <x:f>IFERROR(INDEX(Effort_Model!$J$6:$J$33,MATCH(K231&amp;"|"&amp;L231,Effort_Model!$B$6:$B$33,0)),"")</x:f>
        <x:v>26.4</x:v>
      </x:c>
      <x:c r="AC231" s="38">
        <x:v>209.1</x:v>
      </x:c>
      <x:c r="AD231" s="37">
        <x:f t="shared" si="3"/>
        <x:v>274.43330000000003</x:v>
      </x:c>
      <x:c r="AE231" s="37" t="n">
        <x:f>IFERROR(ROUND(IFERROR(INDEX(Scoring_Rules!$C$43:$C$44,MATCH(Q231,Scoring_Rules!$B$43:$B$44,0)),0)*Scoring_Rules!$C$6+IFERROR(INDEX(Scoring_Rules!$C$34:$C$40,MATCH(K231,Scoring_Rules!$B$34:$B$40,0)),0)*Scoring_Rules!$C$7+IFERROR(INDEX(Scoring_Rules!$C$16:$C$19,MATCH(P231,Scoring_Rules!$B$16:$B$19,0)),0)*Scoring_Rules!$C$8+IFERROR(INDEX(Scoring_Rules!$C$22:$C$25,MATCH(O231,Scoring_Rules!$B$22:$B$25,0)),0)*Scoring_Rules!$C$9+IFERROR(INDEX(Scoring_Rules!$C$47:$C$50,MATCH(X231,Scoring_Rules!$B$47:$B$50,0)),0)*Scoring_Rules!$C$10+IFERROR(INDEX(Scoring_Rules!$C$28:$C$31,MATCH(R231,Scoring_Rules!$B$28:$B$31,0)),0)*Scoring_Rules!$C$11,1),"")</x:f>
        <x:v>59.3</x:v>
      </x:c>
      <x:c r="AF231" s="35">
        <x:v>4</x:v>
      </x:c>
      <x:c r="AG231" s="33" t="s">
        <x:v>1228</x:v>
      </x:c>
      <x:c r="AH231" s="36">
        <x:v>46348</x:v>
      </x:c>
      <x:c r="AI231" s="33" t="s">
        <x:v>127</x:v>
      </x:c>
      <x:c r="AJ231" s="34"/>
    </x:row>
    <x:row r="232" ht="23.25" customHeight="1">
      <x:c r="A232" s="31" t="s">
        <x:v>1292</x:v>
      </x:c>
      <x:c r="B232" s="31" t="s">
        <x:v>1293</x:v>
      </x:c>
      <x:c r="C232" s="31" t="s">
        <x:v>270</x:v>
      </x:c>
      <x:c r="D232" s="32" t="s">
        <x:v>1294</x:v>
      </x:c>
      <x:c r="E232" s="32" t="str">
        <x:v>Data Migration Only</x:v>
      </x:c>
      <x:c r="F232" s="33" t="s">
        <x:v>118</x:v>
      </x:c>
      <x:c r="G232" s="34" t="s">
        <x:v>1218</x:v>
      </x:c>
      <x:c r="H232" s="33" t="s">
        <x:v>87</x:v>
      </x:c>
      <x:c r="I232" s="33" t="s">
        <x:v>1219</x:v>
      </x:c>
      <x:c r="J232" s="33" t="s">
        <x:v>80</x:v>
      </x:c>
      <x:c r="K232" s="33" t="s">
        <x:v>60</x:v>
      </x:c>
      <x:c r="L232" s="33" t="s">
        <x:v>71</x:v>
      </x:c>
      <x:c r="M232" s="35">
        <x:v>47</x:v>
      </x:c>
      <x:c r="N232" s="35">
        <x:v>4178858</x:v>
      </x:c>
      <x:c r="O232" s="33" t="s">
        <x:v>73</x:v>
      </x:c>
      <x:c r="P232" s="33" t="s">
        <x:v>98</x:v>
      </x:c>
      <x:c r="Q232" s="33" t="s">
        <x:v>118</x:v>
      </x:c>
      <x:c r="R232" s="33" t="s">
        <x:v>73</x:v>
      </x:c>
      <x:c r="S232" s="31" t="s">
        <x:v>1295</x:v>
      </x:c>
      <x:c r="T232" s="31" t="s">
        <x:v>1296</x:v>
      </x:c>
      <x:c r="U232" s="31" t="s">
        <x:v>276</x:v>
      </x:c>
      <x:c r="V232" s="33" t="s">
        <x:v>451</x:v>
      </x:c>
      <x:c r="W232" s="33"/>
      <x:c r="X232" s="33" t="s">
        <x:v>238</x:v>
      </x:c>
      <x:c r="Y232" s="36">
        <x:v>46375</x:v>
      </x:c>
      <x:c r="Z232" s="36"/>
      <x:c r="AA232" s="33" t="s">
        <x:v>120</x:v>
      </x:c>
      <x:c r="AB232" s="37" t="n">
        <x:f>IFERROR(INDEX(Effort_Model!$J$6:$J$33,MATCH(K232&amp;"|"&amp;L232,Effort_Model!$B$6:$B$33,0)),"")</x:f>
        <x:v>18.4</x:v>
      </x:c>
      <x:c r="AC232" s="38">
        <x:v>204.6</x:v>
      </x:c>
      <x:c r="AD232" s="37">
        <x:f t="shared" si="3"/>
        <x:v>247</x:v>
      </x:c>
      <x:c r="AE232" s="37" t="n">
        <x:f>IFERROR(ROUND(IFERROR(INDEX(Scoring_Rules!$C$43:$C$44,MATCH(Q232,Scoring_Rules!$B$43:$B$44,0)),0)*Scoring_Rules!$C$6+IFERROR(INDEX(Scoring_Rules!$C$34:$C$40,MATCH(K232,Scoring_Rules!$B$34:$B$40,0)),0)*Scoring_Rules!$C$7+IFERROR(INDEX(Scoring_Rules!$C$16:$C$19,MATCH(P232,Scoring_Rules!$B$16:$B$19,0)),0)*Scoring_Rules!$C$8+IFERROR(INDEX(Scoring_Rules!$C$22:$C$25,MATCH(O232,Scoring_Rules!$B$22:$B$25,0)),0)*Scoring_Rules!$C$9+IFERROR(INDEX(Scoring_Rules!$C$47:$C$50,MATCH(X232,Scoring_Rules!$B$47:$B$50,0)),0)*Scoring_Rules!$C$10+IFERROR(INDEX(Scoring_Rules!$C$28:$C$31,MATCH(R232,Scoring_Rules!$B$28:$B$31,0)),0)*Scoring_Rules!$C$11,1),"")</x:f>
        <x:v>89</x:v>
      </x:c>
      <x:c r="AF232" s="35">
        <x:v>1</x:v>
      </x:c>
      <x:c r="AG232" s="33" t="s">
        <x:v>1233</x:v>
      </x:c>
      <x:c r="AH232" s="36">
        <x:v>46358</x:v>
      </x:c>
      <x:c r="AI232" s="33" t="s">
        <x:v>127</x:v>
      </x:c>
      <x:c r="AJ232" s="34"/>
    </x:row>
    <x:row r="233" ht="34.5" customHeight="1">
      <x:c r="A233" s="31" t="s">
        <x:v>1297</x:v>
      </x:c>
      <x:c r="B233" s="31" t="s">
        <x:v>1298</x:v>
      </x:c>
      <x:c r="C233" s="31" t="s">
        <x:v>270</x:v>
      </x:c>
      <x:c r="D233" s="32" t="s">
        <x:v>1273</x:v>
      </x:c>
      <x:c r="E233" s="32" t="str">
        <x:v>Functional Migration Only</x:v>
      </x:c>
      <x:c r="F233" s="33" t="s">
        <x:v>118</x:v>
      </x:c>
      <x:c r="G233" s="34" t="s">
        <x:v>1236</x:v>
      </x:c>
      <x:c r="H233" s="33" t="s">
        <x:v>87</x:v>
      </x:c>
      <x:c r="I233" s="33" t="s">
        <x:v>1219</x:v>
      </x:c>
      <x:c r="J233" s="33" t="s">
        <x:v>82</x:v>
      </x:c>
      <x:c r="K233" s="33" t="s">
        <x:v>64</x:v>
      </x:c>
      <x:c r="L233" s="33" t="s">
        <x:v>77</x:v>
      </x:c>
      <x:c r="M233" s="35">
        <x:v>121</x:v>
      </x:c>
      <x:c r="N233" s="35">
        <x:v>1276016567</x:v>
      </x:c>
      <x:c r="O233" s="33" t="s">
        <x:v>101</x:v>
      </x:c>
      <x:c r="P233" s="33" t="s">
        <x:v>101</x:v>
      </x:c>
      <x:c r="Q233" s="33" t="s">
        <x:v>120</x:v>
      </x:c>
      <x:c r="R233" s="33" t="s">
        <x:v>101</x:v>
      </x:c>
      <x:c r="S233" s="31" t="s">
        <x:v>1299</x:v>
      </x:c>
      <x:c r="T233" s="31" t="s">
        <x:v>1300</x:v>
      </x:c>
      <x:c r="U233" s="31" t="s">
        <x:v>276</x:v>
      </x:c>
      <x:c r="V233" s="33" t="s">
        <x:v>289</x:v>
      </x:c>
      <x:c r="W233" s="33"/>
      <x:c r="X233" s="33" t="s">
        <x:v>238</x:v>
      </x:c>
      <x:c r="Y233" s="36"/>
      <x:c r="Z233" s="36"/>
      <x:c r="AA233" s="33" t="s">
        <x:v>120</x:v>
      </x:c>
      <x:c r="AB233" s="37" t="n">
        <x:f>IFERROR(INDEX(Effort_Model!$J$6:$J$33,MATCH(K233&amp;"|"&amp;L233,Effort_Model!$B$6:$B$33,0)),"")</x:f>
        <x:v>106.4</x:v>
      </x:c>
      <x:c r="AC233" s="38">
        <x:v>2130.5</x:v>
      </x:c>
      <x:c r="AD233" s="37">
        <x:f t="shared" si="3"/>
        <x:v>2531.8333000000002</x:v>
      </x:c>
      <x:c r="AE233" s="37" t="n">
        <x:f>IFERROR(ROUND(IFERROR(INDEX(Scoring_Rules!$C$43:$C$44,MATCH(Q233,Scoring_Rules!$B$43:$B$44,0)),0)*Scoring_Rules!$C$6+IFERROR(INDEX(Scoring_Rules!$C$34:$C$40,MATCH(K233,Scoring_Rules!$B$34:$B$40,0)),0)*Scoring_Rules!$C$7+IFERROR(INDEX(Scoring_Rules!$C$16:$C$19,MATCH(P233,Scoring_Rules!$B$16:$B$19,0)),0)*Scoring_Rules!$C$8+IFERROR(INDEX(Scoring_Rules!$C$22:$C$25,MATCH(O233,Scoring_Rules!$B$22:$B$25,0)),0)*Scoring_Rules!$C$9+IFERROR(INDEX(Scoring_Rules!$C$47:$C$50,MATCH(X233,Scoring_Rules!$B$47:$B$50,0)),0)*Scoring_Rules!$C$10+IFERROR(INDEX(Scoring_Rules!$C$28:$C$31,MATCH(R233,Scoring_Rules!$B$28:$B$31,0)),0)*Scoring_Rules!$C$11,1),"")</x:f>
        <x:v>36</x:v>
      </x:c>
      <x:c r="AF233" s="35">
        <x:v>8</x:v>
      </x:c>
      <x:c r="AG233" s="33" t="s">
        <x:v>1239</x:v>
      </x:c>
      <x:c r="AH233" s="36">
        <x:v>46366</x:v>
      </x:c>
      <x:c r="AI233" s="33" t="s">
        <x:v>126</x:v>
      </x:c>
      <x:c r="AJ233" s="34"/>
    </x:row>
    <x:row r="234" ht="34.5" customHeight="1">
      <x:c r="A234" s="31" t="s">
        <x:v>1301</x:v>
      </x:c>
      <x:c r="B234" s="31" t="s">
        <x:v>1302</x:v>
      </x:c>
      <x:c r="C234" s="31" t="s">
        <x:v>270</x:v>
      </x:c>
      <x:c r="D234" s="32" t="s">
        <x:v>1273</x:v>
      </x:c>
      <x:c r="E234" s="32" t="str">
        <x:v>Data Migration Only</x:v>
      </x:c>
      <x:c r="F234" s="33" t="s">
        <x:v>120</x:v>
      </x:c>
      <x:c r="G234" s="34" t="s">
        <x:v>1236</x:v>
      </x:c>
      <x:c r="H234" s="33" t="s">
        <x:v>87</x:v>
      </x:c>
      <x:c r="I234" s="33" t="s">
        <x:v>1219</x:v>
      </x:c>
      <x:c r="J234" s="33" t="s">
        <x:v>80</x:v>
      </x:c>
      <x:c r="K234" s="33" t="s">
        <x:v>64</x:v>
      </x:c>
      <x:c r="L234" s="33" t="s">
        <x:v>73</x:v>
      </x:c>
      <x:c r="M234" s="35">
        <x:v>79</x:v>
      </x:c>
      <x:c r="N234" s="35">
        <x:v>702079028</x:v>
      </x:c>
      <x:c r="O234" s="33" t="s">
        <x:v>101</x:v>
      </x:c>
      <x:c r="P234" s="33" t="s">
        <x:v>101</x:v>
      </x:c>
      <x:c r="Q234" s="33" t="s">
        <x:v>120</x:v>
      </x:c>
      <x:c r="R234" s="33" t="s">
        <x:v>101</x:v>
      </x:c>
      <x:c r="S234" s="31" t="s">
        <x:v>1277</x:v>
      </x:c>
      <x:c r="T234" s="31" t="s">
        <x:v>1278</x:v>
      </x:c>
      <x:c r="U234" s="31" t="s">
        <x:v>276</x:v>
      </x:c>
      <x:c r="V234" s="33" t="s">
        <x:v>289</x:v>
      </x:c>
      <x:c r="W234" s="33"/>
      <x:c r="X234" s="33" t="s">
        <x:v>238</x:v>
      </x:c>
      <x:c r="Y234" s="36"/>
      <x:c r="Z234" s="36"/>
      <x:c r="AA234" s="33" t="s">
        <x:v>120</x:v>
      </x:c>
      <x:c r="AB234" s="37" t="n">
        <x:f>IFERROR(INDEX(Effort_Model!$J$6:$J$33,MATCH(K234&amp;"|"&amp;L234,Effort_Model!$B$6:$B$33,0)),"")</x:f>
        <x:v>106.4</x:v>
      </x:c>
      <x:c r="AC234" s="38">
        <x:v>678.1</x:v>
      </x:c>
      <x:c r="AD234" s="37">
        <x:f t="shared" si="3"/>
        <x:v>883.1</x:v>
      </x:c>
      <x:c r="AE234" s="37" t="n">
        <x:f>IFERROR(ROUND(IFERROR(INDEX(Scoring_Rules!$C$43:$C$44,MATCH(Q234,Scoring_Rules!$B$43:$B$44,0)),0)*Scoring_Rules!$C$6+IFERROR(INDEX(Scoring_Rules!$C$34:$C$40,MATCH(K234,Scoring_Rules!$B$34:$B$40,0)),0)*Scoring_Rules!$C$7+IFERROR(INDEX(Scoring_Rules!$C$16:$C$19,MATCH(P234,Scoring_Rules!$B$16:$B$19,0)),0)*Scoring_Rules!$C$8+IFERROR(INDEX(Scoring_Rules!$C$22:$C$25,MATCH(O234,Scoring_Rules!$B$22:$B$25,0)),0)*Scoring_Rules!$C$9+IFERROR(INDEX(Scoring_Rules!$C$47:$C$50,MATCH(X234,Scoring_Rules!$B$47:$B$50,0)),0)*Scoring_Rules!$C$10+IFERROR(INDEX(Scoring_Rules!$C$28:$C$31,MATCH(R234,Scoring_Rules!$B$28:$B$31,0)),0)*Scoring_Rules!$C$11,1),"")</x:f>
        <x:v>36</x:v>
      </x:c>
      <x:c r="AF234" s="35">
        <x:v>6</x:v>
      </x:c>
      <x:c r="AG234" s="33" t="s">
        <x:v>1222</x:v>
      </x:c>
      <x:c r="AH234" s="36">
        <x:v>46326</x:v>
      </x:c>
      <x:c r="AI234" s="33" t="s">
        <x:v>126</x:v>
      </x:c>
      <x:c r="AJ234" s="34"/>
    </x:row>
    <x:row r="235" ht="23.25" customHeight="1">
      <x:c r="A235" s="31" t="s">
        <x:v>1303</x:v>
      </x:c>
      <x:c r="B235" s="31" t="s">
        <x:v>1304</x:v>
      </x:c>
      <x:c r="C235" s="31" t="s">
        <x:v>270</x:v>
      </x:c>
      <x:c r="D235" s="32" t="s">
        <x:v>382</x:v>
      </x:c>
      <x:c r="E235" s="32" t="str">
        <x:v>Data Migration Only</x:v>
      </x:c>
      <x:c r="F235" s="33" t="s">
        <x:v>118</x:v>
      </x:c>
      <x:c r="G235" s="34" t="s">
        <x:v>1305</x:v>
      </x:c>
      <x:c r="H235" s="33" t="s">
        <x:v>89</x:v>
      </x:c>
      <x:c r="I235" s="33" t="s">
        <x:v>1219</x:v>
      </x:c>
      <x:c r="J235" s="33" t="s">
        <x:v>80</x:v>
      </x:c>
      <x:c r="K235" s="33" t="s">
        <x:v>62</x:v>
      </x:c>
      <x:c r="L235" s="33" t="s">
        <x:v>75</x:v>
      </x:c>
      <x:c r="M235" s="35">
        <x:v>61</x:v>
      </x:c>
      <x:c r="N235" s="35">
        <x:v>105801988</x:v>
      </x:c>
      <x:c r="O235" s="33" t="s">
        <x:v>101</x:v>
      </x:c>
      <x:c r="P235" s="33" t="s">
        <x:v>73</x:v>
      </x:c>
      <x:c r="Q235" s="33" t="s">
        <x:v>120</x:v>
      </x:c>
      <x:c r="R235" s="33" t="s">
        <x:v>101</x:v>
      </x:c>
      <x:c r="S235" s="31" t="s">
        <x:v>1306</x:v>
      </x:c>
      <x:c r="T235" s="31" t="s">
        <x:v>1307</x:v>
      </x:c>
      <x:c r="U235" s="31" t="s">
        <x:v>276</x:v>
      </x:c>
      <x:c r="V235" s="33" t="s">
        <x:v>451</x:v>
      </x:c>
      <x:c r="W235" s="33" t="s">
        <x:v>1229</x:v>
      </x:c>
      <x:c r="X235" s="33" t="s">
        <x:v>240</x:v>
      </x:c>
      <x:c r="Y235" s="36"/>
      <x:c r="Z235" s="36"/>
      <x:c r="AA235" s="33" t="s">
        <x:v>120</x:v>
      </x:c>
      <x:c r="AB235" s="37" t="n">
        <x:f>IFERROR(INDEX(Effort_Model!$J$6:$J$33,MATCH(K235&amp;"|"&amp;L235,Effort_Model!$B$6:$B$33,0)),"")</x:f>
        <x:v>74.4</x:v>
      </x:c>
      <x:c r="AC235" s="38">
        <x:v>553.4</x:v>
      </x:c>
      <x:c r="AD235" s="37">
        <x:f t="shared" si="3"/>
        <x:v>762.73329999999999</x:v>
      </x:c>
      <x:c r="AE235" s="37" t="n">
        <x:f>IFERROR(ROUND(IFERROR(INDEX(Scoring_Rules!$C$43:$C$44,MATCH(Q235,Scoring_Rules!$B$43:$B$44,0)),0)*Scoring_Rules!$C$6+IFERROR(INDEX(Scoring_Rules!$C$34:$C$40,MATCH(K235,Scoring_Rules!$B$34:$B$40,0)),0)*Scoring_Rules!$C$7+IFERROR(INDEX(Scoring_Rules!$C$16:$C$19,MATCH(P235,Scoring_Rules!$B$16:$B$19,0)),0)*Scoring_Rules!$C$8+IFERROR(INDEX(Scoring_Rules!$C$22:$C$25,MATCH(O235,Scoring_Rules!$B$22:$B$25,0)),0)*Scoring_Rules!$C$9+IFERROR(INDEX(Scoring_Rules!$C$47:$C$50,MATCH(X235,Scoring_Rules!$B$47:$B$50,0)),0)*Scoring_Rules!$C$10+IFERROR(INDEX(Scoring_Rules!$C$28:$C$31,MATCH(R235,Scoring_Rules!$B$28:$B$31,0)),0)*Scoring_Rules!$C$11,1),"")</x:f>
        <x:v>36.5</x:v>
      </x:c>
      <x:c r="AF235" s="35"/>
      <x:c r="AG235" s="33" t="s">
        <x:v>1228</x:v>
      </x:c>
      <x:c r="AH235" s="36">
        <x:v>46349</x:v>
      </x:c>
      <x:c r="AI235" s="33" t="s">
        <x:v>127</x:v>
      </x:c>
      <x:c r="AJ235" s="34" t="s">
        <x:v>312</x:v>
      </x:c>
    </x:row>
    <x:row r="236" ht="45.75" customHeight="1">
      <x:c r="A236" s="31" t="s">
        <x:v>1308</x:v>
      </x:c>
      <x:c r="B236" s="31" t="s">
        <x:v>1309</x:v>
      </x:c>
      <x:c r="C236" s="31" t="s">
        <x:v>270</x:v>
      </x:c>
      <x:c r="D236" s="32" t="s">
        <x:v>1310</x:v>
      </x:c>
      <x:c r="E236" s="32" t="str">
        <x:v>Data Migration Only</x:v>
      </x:c>
      <x:c r="F236" s="33" t="s">
        <x:v>118</x:v>
      </x:c>
      <x:c r="G236" s="34" t="s">
        <x:v>1255</x:v>
      </x:c>
      <x:c r="H236" s="33" t="s">
        <x:v>87</x:v>
      </x:c>
      <x:c r="I236" s="33" t="s">
        <x:v>1219</x:v>
      </x:c>
      <x:c r="J236" s="33" t="s">
        <x:v>80</x:v>
      </x:c>
      <x:c r="K236" s="33" t="s">
        <x:v>62</x:v>
      </x:c>
      <x:c r="L236" s="33" t="s">
        <x:v>77</x:v>
      </x:c>
      <x:c r="M236" s="35">
        <x:v>67</x:v>
      </x:c>
      <x:c r="N236" s="35">
        <x:v>124919435</x:v>
      </x:c>
      <x:c r="O236" s="33" t="s">
        <x:v>73</x:v>
      </x:c>
      <x:c r="P236" s="33" t="s">
        <x:v>101</x:v>
      </x:c>
      <x:c r="Q236" s="33" t="s">
        <x:v>120</x:v>
      </x:c>
      <x:c r="R236" s="33" t="s">
        <x:v>101</x:v>
      </x:c>
      <x:c r="S236" s="31" t="s">
        <x:v>662</x:v>
      </x:c>
      <x:c r="T236" s="31" t="s">
        <x:v>1311</x:v>
      </x:c>
      <x:c r="U236" s="31" t="s">
        <x:v>276</x:v>
      </x:c>
      <x:c r="V236" s="33" t="s">
        <x:v>329</x:v>
      </x:c>
      <x:c r="W236" s="33"/>
      <x:c r="X236" s="33" t="s">
        <x:v>238</x:v>
      </x:c>
      <x:c r="Y236" s="36"/>
      <x:c r="Z236" s="36"/>
      <x:c r="AA236" s="33" t="s">
        <x:v>120</x:v>
      </x:c>
      <x:c r="AB236" s="37" t="n">
        <x:f>IFERROR(INDEX(Effort_Model!$J$6:$J$33,MATCH(K236&amp;"|"&amp;L236,Effort_Model!$B$6:$B$33,0)),"")</x:f>
        <x:v>74.4</x:v>
      </x:c>
      <x:c r="AC236" s="38">
        <x:v>751.5</x:v>
      </x:c>
      <x:c r="AD236" s="37">
        <x:f t="shared" si="3"/>
        <x:v>1024.8333</x:v>
      </x:c>
      <x:c r="AE236" s="37" t="n">
        <x:f>IFERROR(ROUND(IFERROR(INDEX(Scoring_Rules!$C$43:$C$44,MATCH(Q236,Scoring_Rules!$B$43:$B$44,0)),0)*Scoring_Rules!$C$6+IFERROR(INDEX(Scoring_Rules!$C$34:$C$40,MATCH(K236,Scoring_Rules!$B$34:$B$40,0)),0)*Scoring_Rules!$C$7+IFERROR(INDEX(Scoring_Rules!$C$16:$C$19,MATCH(P236,Scoring_Rules!$B$16:$B$19,0)),0)*Scoring_Rules!$C$8+IFERROR(INDEX(Scoring_Rules!$C$22:$C$25,MATCH(O236,Scoring_Rules!$B$22:$B$25,0)),0)*Scoring_Rules!$C$9+IFERROR(INDEX(Scoring_Rules!$C$47:$C$50,MATCH(X236,Scoring_Rules!$B$47:$B$50,0)),0)*Scoring_Rules!$C$10+IFERROR(INDEX(Scoring_Rules!$C$28:$C$31,MATCH(R236,Scoring_Rules!$B$28:$B$31,0)),0)*Scoring_Rules!$C$11,1),"")</x:f>
        <x:v>45.3</x:v>
      </x:c>
      <x:c r="AF236" s="35">
        <x:v>7</x:v>
      </x:c>
      <x:c r="AG236" s="33" t="s">
        <x:v>1233</x:v>
      </x:c>
      <x:c r="AH236" s="36">
        <x:v>46376</x:v>
      </x:c>
      <x:c r="AI236" s="33" t="s">
        <x:v>127</x:v>
      </x:c>
      <x:c r="AJ236" s="34"/>
    </x:row>
    <x:row r="237" ht="45.75" customHeight="1">
      <x:c r="A237" s="31" t="s">
        <x:v>1312</x:v>
      </x:c>
      <x:c r="B237" s="31" t="s">
        <x:v>1313</x:v>
      </x:c>
      <x:c r="C237" s="31" t="s">
        <x:v>270</x:v>
      </x:c>
      <x:c r="D237" s="32" t="s">
        <x:v>1310</x:v>
      </x:c>
      <x:c r="E237" s="32" t="str">
        <x:v>Functional Migration Only</x:v>
      </x:c>
      <x:c r="F237" s="33" t="s">
        <x:v>120</x:v>
      </x:c>
      <x:c r="G237" s="34" t="s">
        <x:v>1255</x:v>
      </x:c>
      <x:c r="H237" s="33" t="s">
        <x:v>87</x:v>
      </x:c>
      <x:c r="I237" s="33" t="s">
        <x:v>1219</x:v>
      </x:c>
      <x:c r="J237" s="33" t="s">
        <x:v>82</x:v>
      </x:c>
      <x:c r="K237" s="33" t="s">
        <x:v>66</x:v>
      </x:c>
      <x:c r="L237" s="33" t="s">
        <x:v>75</x:v>
      </x:c>
      <x:c r="M237" s="35">
        <x:v>170</x:v>
      </x:c>
      <x:c r="N237" s="35">
        <x:v>13448540149</x:v>
      </x:c>
      <x:c r="O237" s="33" t="s">
        <x:v>101</x:v>
      </x:c>
      <x:c r="P237" s="33" t="s">
        <x:v>101</x:v>
      </x:c>
      <x:c r="Q237" s="33" t="s">
        <x:v>120</x:v>
      </x:c>
      <x:c r="R237" s="33" t="s">
        <x:v>115</x:v>
      </x:c>
      <x:c r="S237" s="31" t="s">
        <x:v>662</x:v>
      </x:c>
      <x:c r="T237" s="31" t="s">
        <x:v>1311</x:v>
      </x:c>
      <x:c r="U237" s="31" t="s">
        <x:v>276</x:v>
      </x:c>
      <x:c r="V237" s="33" t="s">
        <x:v>289</x:v>
      </x:c>
      <x:c r="W237" s="33"/>
      <x:c r="X237" s="33" t="s">
        <x:v>238</x:v>
      </x:c>
      <x:c r="Y237" s="36"/>
      <x:c r="Z237" s="36"/>
      <x:c r="AA237" s="33" t="s">
        <x:v>120</x:v>
      </x:c>
      <x:c r="AB237" s="37" t="n">
        <x:f>IFERROR(INDEX(Effort_Model!$J$6:$J$33,MATCH(K237&amp;"|"&amp;L237,Effort_Model!$B$6:$B$33,0)),"")</x:f>
        <x:v>138.4</x:v>
      </x:c>
      <x:c r="AC237" s="38">
        <x:v>2334.6</x:v>
      </x:c>
      <x:c r="AD237" s="37">
        <x:f t="shared" si="3"/>
        <x:v>2735.9332999999997</x:v>
      </x:c>
      <x:c r="AE237" s="37" t="n">
        <x:f>IFERROR(ROUND(IFERROR(INDEX(Scoring_Rules!$C$43:$C$44,MATCH(Q237,Scoring_Rules!$B$43:$B$44,0)),0)*Scoring_Rules!$C$6+IFERROR(INDEX(Scoring_Rules!$C$34:$C$40,MATCH(K237,Scoring_Rules!$B$34:$B$40,0)),0)*Scoring_Rules!$C$7+IFERROR(INDEX(Scoring_Rules!$C$16:$C$19,MATCH(P237,Scoring_Rules!$B$16:$B$19,0)),0)*Scoring_Rules!$C$8+IFERROR(INDEX(Scoring_Rules!$C$22:$C$25,MATCH(O237,Scoring_Rules!$B$22:$B$25,0)),0)*Scoring_Rules!$C$9+IFERROR(INDEX(Scoring_Rules!$C$47:$C$50,MATCH(X237,Scoring_Rules!$B$47:$B$50,0)),0)*Scoring_Rules!$C$10+IFERROR(INDEX(Scoring_Rules!$C$28:$C$31,MATCH(R237,Scoring_Rules!$B$28:$B$31,0)),0)*Scoring_Rules!$C$11,1),"")</x:f>
        <x:v>31.3</x:v>
      </x:c>
      <x:c r="AF237" s="35">
        <x:v>7</x:v>
      </x:c>
      <x:c r="AG237" s="33" t="s">
        <x:v>1239</x:v>
      </x:c>
      <x:c r="AH237" s="36">
        <x:v>46300</x:v>
      </x:c>
      <x:c r="AI237" s="33" t="s">
        <x:v>125</x:v>
      </x:c>
      <x:c r="AJ237" s="34" t="s">
        <x:v>336</x:v>
      </x:c>
    </x:row>
    <x:row r="238" ht="23.25" customHeight="1">
      <x:c r="A238" s="31" t="s">
        <x:v>1314</x:v>
      </x:c>
      <x:c r="B238" s="31" t="s">
        <x:v>1315</x:v>
      </x:c>
      <x:c r="C238" s="31" t="s">
        <x:v>270</x:v>
      </x:c>
      <x:c r="D238" s="32" t="s">
        <x:v>1294</x:v>
      </x:c>
      <x:c r="E238" s="32" t="str">
        <x:v>Data Migration Only</x:v>
      </x:c>
      <x:c r="F238" s="33" t="s">
        <x:v>118</x:v>
      </x:c>
      <x:c r="G238" s="34" t="s">
        <x:v>629</x:v>
      </x:c>
      <x:c r="H238" s="33" t="s">
        <x:v>89</x:v>
      </x:c>
      <x:c r="I238" s="33" t="s">
        <x:v>1219</x:v>
      </x:c>
      <x:c r="J238" s="33" t="s">
        <x:v>80</x:v>
      </x:c>
      <x:c r="K238" s="33" t="s">
        <x:v>62</x:v>
      </x:c>
      <x:c r="L238" s="33" t="s">
        <x:v>75</x:v>
      </x:c>
      <x:c r="M238" s="35">
        <x:v>59</x:v>
      </x:c>
      <x:c r="N238" s="35">
        <x:v>50656882</x:v>
      </x:c>
      <x:c r="O238" s="33" t="s">
        <x:v>101</x:v>
      </x:c>
      <x:c r="P238" s="33" t="s">
        <x:v>73</x:v>
      </x:c>
      <x:c r="Q238" s="33" t="s">
        <x:v>120</x:v>
      </x:c>
      <x:c r="R238" s="33" t="s">
        <x:v>73</x:v>
      </x:c>
      <x:c r="S238" s="31" t="s">
        <x:v>1295</x:v>
      </x:c>
      <x:c r="T238" s="31" t="s">
        <x:v>1316</x:v>
      </x:c>
      <x:c r="U238" s="31" t="s">
        <x:v>276</x:v>
      </x:c>
      <x:c r="V238" s="33" t="s">
        <x:v>365</x:v>
      </x:c>
      <x:c r="W238" s="33"/>
      <x:c r="X238" s="33" t="s">
        <x:v>238</x:v>
      </x:c>
      <x:c r="Y238" s="36"/>
      <x:c r="Z238" s="36"/>
      <x:c r="AA238" s="33" t="s">
        <x:v>120</x:v>
      </x:c>
      <x:c r="AB238" s="37" t="n">
        <x:f>IFERROR(INDEX(Effort_Model!$J$6:$J$33,MATCH(K238&amp;"|"&amp;L238,Effort_Model!$B$6:$B$33,0)),"")</x:f>
        <x:v>74.4</x:v>
      </x:c>
      <x:c r="AC238" s="38">
        <x:v>622.5</x:v>
      </x:c>
      <x:c r="AD238" s="37">
        <x:f t="shared" si="3"/>
        <x:v>831.83330000000001</x:v>
      </x:c>
      <x:c r="AE238" s="37" t="n">
        <x:f>IFERROR(ROUND(IFERROR(INDEX(Scoring_Rules!$C$43:$C$44,MATCH(Q238,Scoring_Rules!$B$43:$B$44,0)),0)*Scoring_Rules!$C$6+IFERROR(INDEX(Scoring_Rules!$C$34:$C$40,MATCH(K238,Scoring_Rules!$B$34:$B$40,0)),0)*Scoring_Rules!$C$7+IFERROR(INDEX(Scoring_Rules!$C$16:$C$19,MATCH(P238,Scoring_Rules!$B$16:$B$19,0)),0)*Scoring_Rules!$C$8+IFERROR(INDEX(Scoring_Rules!$C$22:$C$25,MATCH(O238,Scoring_Rules!$B$22:$B$25,0)),0)*Scoring_Rules!$C$9+IFERROR(INDEX(Scoring_Rules!$C$47:$C$50,MATCH(X238,Scoring_Rules!$B$47:$B$50,0)),0)*Scoring_Rules!$C$10+IFERROR(INDEX(Scoring_Rules!$C$28:$C$31,MATCH(R238,Scoring_Rules!$B$28:$B$31,0)),0)*Scoring_Rules!$C$11,1),"")</x:f>
        <x:v>48.8</x:v>
      </x:c>
      <x:c r="AF238" s="35"/>
      <x:c r="AG238" s="33" t="s">
        <x:v>1222</x:v>
      </x:c>
      <x:c r="AH238" s="36">
        <x:v>46358</x:v>
      </x:c>
      <x:c r="AI238" s="33" t="s">
        <x:v>127</x:v>
      </x:c>
      <x:c r="AJ238" s="34" t="s">
        <x:v>312</x:v>
      </x:c>
    </x:row>
    <x:row r="239" ht="15" customHeight="1">
      <x:c r="A239" s="31" t="s">
        <x:v>1317</x:v>
      </x:c>
      <x:c r="B239" s="31" t="s">
        <x:v>1318</x:v>
      </x:c>
      <x:c r="C239" s="31" t="s">
        <x:v>270</x:v>
      </x:c>
      <x:c r="D239" s="32" t="s">
        <x:v>681</x:v>
      </x:c>
      <x:c r="E239" s="32" t="str">
        <x:v>Data Migration Only</x:v>
      </x:c>
      <x:c r="F239" s="33" t="s">
        <x:v>120</x:v>
      </x:c>
      <x:c r="G239" s="34" t="s">
        <x:v>1236</x:v>
      </x:c>
      <x:c r="H239" s="33" t="s">
        <x:v>87</x:v>
      </x:c>
      <x:c r="I239" s="33" t="s">
        <x:v>1219</x:v>
      </x:c>
      <x:c r="J239" s="33" t="s">
        <x:v>80</x:v>
      </x:c>
      <x:c r="K239" s="33" t="s">
        <x:v>60</x:v>
      </x:c>
      <x:c r="L239" s="33" t="s">
        <x:v>77</x:v>
      </x:c>
      <x:c r="M239" s="35">
        <x:v>37</x:v>
      </x:c>
      <x:c r="N239" s="35">
        <x:v>3931976</x:v>
      </x:c>
      <x:c r="O239" s="33" t="s">
        <x:v>101</x:v>
      </x:c>
      <x:c r="P239" s="33" t="s">
        <x:v>109</x:v>
      </x:c>
      <x:c r="Q239" s="33" t="s">
        <x:v>120</x:v>
      </x:c>
      <x:c r="R239" s="33" t="s">
        <x:v>101</x:v>
      </x:c>
      <x:c r="S239" s="31" t="s">
        <x:v>1094</x:v>
      </x:c>
      <x:c r="T239" s="31" t="s">
        <x:v>1319</x:v>
      </x:c>
      <x:c r="U239" s="31" t="s">
        <x:v>477</x:v>
      </x:c>
      <x:c r="V239" s="33" t="s">
        <x:v>323</x:v>
      </x:c>
      <x:c r="W239" s="33"/>
      <x:c r="X239" s="33" t="s">
        <x:v>238</x:v>
      </x:c>
      <x:c r="Y239" s="36"/>
      <x:c r="Z239" s="36"/>
      <x:c r="AA239" s="33" t="s">
        <x:v>120</x:v>
      </x:c>
      <x:c r="AB239" s="37" t="n">
        <x:f>IFERROR(INDEX(Effort_Model!$J$6:$J$33,MATCH(K239&amp;"|"&amp;L239,Effort_Model!$B$6:$B$33,0)),"")</x:f>
        <x:v>42.4</x:v>
      </x:c>
      <x:c r="AC239" s="38">
        <x:v>445</x:v>
      </x:c>
      <x:c r="AD239" s="37">
        <x:f t="shared" si="3"/>
        <x:v>590.33330000000001</x:v>
      </x:c>
      <x:c r="AE239" s="37" t="n">
        <x:f>IFERROR(ROUND(IFERROR(INDEX(Scoring_Rules!$C$43:$C$44,MATCH(Q239,Scoring_Rules!$B$43:$B$44,0)),0)*Scoring_Rules!$C$6+IFERROR(INDEX(Scoring_Rules!$C$34:$C$40,MATCH(K239,Scoring_Rules!$B$34:$B$40,0)),0)*Scoring_Rules!$C$7+IFERROR(INDEX(Scoring_Rules!$C$16:$C$19,MATCH(P239,Scoring_Rules!$B$16:$B$19,0)),0)*Scoring_Rules!$C$8+IFERROR(INDEX(Scoring_Rules!$C$22:$C$25,MATCH(O239,Scoring_Rules!$B$22:$B$25,0)),0)*Scoring_Rules!$C$9+IFERROR(INDEX(Scoring_Rules!$C$47:$C$50,MATCH(X239,Scoring_Rules!$B$47:$B$50,0)),0)*Scoring_Rules!$C$10+IFERROR(INDEX(Scoring_Rules!$C$28:$C$31,MATCH(R239,Scoring_Rules!$B$28:$B$31,0)),0)*Scoring_Rules!$C$11,1),"")</x:f>
        <x:v>37</x:v>
      </x:c>
      <x:c r="AF239" s="35">
        <x:v>8</x:v>
      </x:c>
      <x:c r="AG239" s="33" t="s">
        <x:v>1228</x:v>
      </x:c>
      <x:c r="AH239" s="36">
        <x:v>46376</x:v>
      </x:c>
      <x:c r="AI239" s="33" t="s">
        <x:v>126</x:v>
      </x:c>
      <x:c r="AJ239" s="34" t="s">
        <x:v>395</x:v>
      </x:c>
    </x:row>
    <x:row r="240" ht="23.25" customHeight="1">
      <x:c r="A240" s="31" t="s">
        <x:v>1320</x:v>
      </x:c>
      <x:c r="B240" s="31" t="s">
        <x:v>1321</x:v>
      </x:c>
      <x:c r="C240" s="31" t="s">
        <x:v>270</x:v>
      </x:c>
      <x:c r="D240" s="32" t="s">
        <x:v>1322</x:v>
      </x:c>
      <x:c r="E240" s="32" t="str">
        <x:v>Data Migration Only</x:v>
      </x:c>
      <x:c r="F240" s="33" t="s">
        <x:v>118</x:v>
      </x:c>
      <x:c r="G240" s="34" t="s">
        <x:v>1236</x:v>
      </x:c>
      <x:c r="H240" s="33" t="s">
        <x:v>87</x:v>
      </x:c>
      <x:c r="I240" s="33" t="s">
        <x:v>1219</x:v>
      </x:c>
      <x:c r="J240" s="33" t="s">
        <x:v>80</x:v>
      </x:c>
      <x:c r="K240" s="33" t="s">
        <x:v>64</x:v>
      </x:c>
      <x:c r="L240" s="33" t="s">
        <x:v>75</x:v>
      </x:c>
      <x:c r="M240" s="35">
        <x:v>85</x:v>
      </x:c>
      <x:c r="N240" s="35">
        <x:v>1280121908</x:v>
      </x:c>
      <x:c r="O240" s="33" t="s">
        <x:v>103</x:v>
      </x:c>
      <x:c r="P240" s="33" t="s">
        <x:v>101</x:v>
      </x:c>
      <x:c r="Q240" s="33" t="s">
        <x:v>120</x:v>
      </x:c>
      <x:c r="R240" s="33" t="s">
        <x:v>115</x:v>
      </x:c>
      <x:c r="S240" s="31" t="s">
        <x:v>1094</x:v>
      </x:c>
      <x:c r="T240" s="31" t="s">
        <x:v>1319</x:v>
      </x:c>
      <x:c r="U240" s="31" t="s">
        <x:v>276</x:v>
      </x:c>
      <x:c r="V240" s="33" t="s">
        <x:v>277</x:v>
      </x:c>
      <x:c r="W240" s="33"/>
      <x:c r="X240" s="33" t="s">
        <x:v>238</x:v>
      </x:c>
      <x:c r="Y240" s="36"/>
      <x:c r="Z240" s="36"/>
      <x:c r="AA240" s="33" t="s">
        <x:v>120</x:v>
      </x:c>
      <x:c r="AB240" s="37" t="n">
        <x:f>IFERROR(INDEX(Effort_Model!$J$6:$J$33,MATCH(K240&amp;"|"&amp;L240,Effort_Model!$B$6:$B$33,0)),"")</x:f>
        <x:v>106.4</x:v>
      </x:c>
      <x:c r="AC240" s="38">
        <x:v>1040.4000000000001</x:v>
      </x:c>
      <x:c r="AD240" s="37">
        <x:f t="shared" si="3"/>
        <x:v>1345.7333000000001</x:v>
      </x:c>
      <x:c r="AE240" s="37" t="n">
        <x:f>IFERROR(ROUND(IFERROR(INDEX(Scoring_Rules!$C$43:$C$44,MATCH(Q240,Scoring_Rules!$B$43:$B$44,0)),0)*Scoring_Rules!$C$6+IFERROR(INDEX(Scoring_Rules!$C$34:$C$40,MATCH(K240,Scoring_Rules!$B$34:$B$40,0)),0)*Scoring_Rules!$C$7+IFERROR(INDEX(Scoring_Rules!$C$16:$C$19,MATCH(P240,Scoring_Rules!$B$16:$B$19,0)),0)*Scoring_Rules!$C$8+IFERROR(INDEX(Scoring_Rules!$C$22:$C$25,MATCH(O240,Scoring_Rules!$B$22:$B$25,0)),0)*Scoring_Rules!$C$9+IFERROR(INDEX(Scoring_Rules!$C$47:$C$50,MATCH(X240,Scoring_Rules!$B$47:$B$50,0)),0)*Scoring_Rules!$C$10+IFERROR(INDEX(Scoring_Rules!$C$28:$C$31,MATCH(R240,Scoring_Rules!$B$28:$B$31,0)),0)*Scoring_Rules!$C$11,1),"")</x:f>
        <x:v>29</x:v>
      </x:c>
      <x:c r="AF240" s="35">
        <x:v>7</x:v>
      </x:c>
      <x:c r="AG240" s="33" t="s">
        <x:v>1233</x:v>
      </x:c>
      <x:c r="AH240" s="36">
        <x:v>46306</x:v>
      </x:c>
      <x:c r="AI240" s="33" t="s">
        <x:v>127</x:v>
      </x:c>
      <x:c r="AJ240" s="34"/>
    </x:row>
    <x:row r="241" ht="68.25" customHeight="1">
      <x:c r="A241" s="31" t="s">
        <x:v>1323</x:v>
      </x:c>
      <x:c r="B241" s="31" t="s">
        <x:v>1324</x:v>
      </x:c>
      <x:c r="C241" s="31" t="s">
        <x:v>270</x:v>
      </x:c>
      <x:c r="D241" s="32" t="s">
        <x:v>1325</x:v>
      </x:c>
      <x:c r="E241" s="32" t="str">
        <x:v>Data Migration Only</x:v>
      </x:c>
      <x:c r="F241" s="33" t="s">
        <x:v>118</x:v>
      </x:c>
      <x:c r="G241" s="34" t="s">
        <x:v>1218</x:v>
      </x:c>
      <x:c r="H241" s="33" t="s">
        <x:v>87</x:v>
      </x:c>
      <x:c r="I241" s="33" t="s">
        <x:v>1219</x:v>
      </x:c>
      <x:c r="J241" s="33" t="s">
        <x:v>80</x:v>
      </x:c>
      <x:c r="K241" s="33" t="s">
        <x:v>60</x:v>
      </x:c>
      <x:c r="L241" s="33" t="s">
        <x:v>75</x:v>
      </x:c>
      <x:c r="M241" s="35">
        <x:v>40</x:v>
      </x:c>
      <x:c r="N241" s="35">
        <x:v>5009606</x:v>
      </x:c>
      <x:c r="O241" s="33" t="s">
        <x:v>73</x:v>
      </x:c>
      <x:c r="P241" s="33" t="s">
        <x:v>73</x:v>
      </x:c>
      <x:c r="Q241" s="33" t="s">
        <x:v>120</x:v>
      </x:c>
      <x:c r="R241" s="33" t="s">
        <x:v>101</x:v>
      </x:c>
      <x:c r="S241" s="31" t="s">
        <x:v>1326</x:v>
      </x:c>
      <x:c r="T241" s="31" t="s">
        <x:v>1327</x:v>
      </x:c>
      <x:c r="U241" s="31" t="s">
        <x:v>276</x:v>
      </x:c>
      <x:c r="V241" s="33" t="s">
        <x:v>289</x:v>
      </x:c>
      <x:c r="W241" s="33"/>
      <x:c r="X241" s="33" t="s">
        <x:v>238</x:v>
      </x:c>
      <x:c r="Y241" s="36"/>
      <x:c r="Z241" s="36"/>
      <x:c r="AA241" s="33" t="s">
        <x:v>120</x:v>
      </x:c>
      <x:c r="AB241" s="37" t="n">
        <x:f>IFERROR(INDEX(Effort_Model!$J$6:$J$33,MATCH(K241&amp;"|"&amp;L241,Effort_Model!$B$6:$B$33,0)),"")</x:f>
        <x:v>42.4</x:v>
      </x:c>
      <x:c r="AC241" s="38">
        <x:v>311.8</x:v>
      </x:c>
      <x:c r="AD241" s="37">
        <x:f t="shared" si="3"/>
        <x:v>425.13330000000002</x:v>
      </x:c>
      <x:c r="AE241" s="37" t="n">
        <x:f>IFERROR(ROUND(IFERROR(INDEX(Scoring_Rules!$C$43:$C$44,MATCH(Q241,Scoring_Rules!$B$43:$B$44,0)),0)*Scoring_Rules!$C$6+IFERROR(INDEX(Scoring_Rules!$C$34:$C$40,MATCH(K241,Scoring_Rules!$B$34:$B$40,0)),0)*Scoring_Rules!$C$7+IFERROR(INDEX(Scoring_Rules!$C$16:$C$19,MATCH(P241,Scoring_Rules!$B$16:$B$19,0)),0)*Scoring_Rules!$C$8+IFERROR(INDEX(Scoring_Rules!$C$22:$C$25,MATCH(O241,Scoring_Rules!$B$22:$B$25,0)),0)*Scoring_Rules!$C$9+IFERROR(INDEX(Scoring_Rules!$C$47:$C$50,MATCH(X241,Scoring_Rules!$B$47:$B$50,0)),0)*Scoring_Rules!$C$10+IFERROR(INDEX(Scoring_Rules!$C$28:$C$31,MATCH(R241,Scoring_Rules!$B$28:$B$31,0)),0)*Scoring_Rules!$C$11,1),"")</x:f>
        <x:v>56.3</x:v>
      </x:c>
      <x:c r="AF241" s="35">
        <x:v>5</x:v>
      </x:c>
      <x:c r="AG241" s="33" t="s">
        <x:v>1239</x:v>
      </x:c>
      <x:c r="AH241" s="36">
        <x:v>46373</x:v>
      </x:c>
      <x:c r="AI241" s="33" t="s">
        <x:v>125</x:v>
      </x:c>
      <x:c r="AJ241" s="34" t="s">
        <x:v>383</x:v>
      </x:c>
    </x:row>
    <x:row r="242" ht="23.25" customHeight="1">
      <x:c r="A242" s="31" t="s">
        <x:v>1328</x:v>
      </x:c>
      <x:c r="B242" s="31" t="s">
        <x:v>1329</x:v>
      </x:c>
      <x:c r="C242" s="31" t="s">
        <x:v>270</x:v>
      </x:c>
      <x:c r="D242" s="32" t="s">
        <x:v>1322</x:v>
      </x:c>
      <x:c r="E242" s="32" t="str">
        <x:v>Data Migration Only</x:v>
      </x:c>
      <x:c r="F242" s="33" t="s">
        <x:v>118</x:v>
      </x:c>
      <x:c r="G242" s="34" t="s">
        <x:v>1218</x:v>
      </x:c>
      <x:c r="H242" s="33" t="s">
        <x:v>87</x:v>
      </x:c>
      <x:c r="I242" s="33" t="s">
        <x:v>1219</x:v>
      </x:c>
      <x:c r="J242" s="33" t="s">
        <x:v>80</x:v>
      </x:c>
      <x:c r="K242" s="33" t="s">
        <x:v>60</x:v>
      </x:c>
      <x:c r="L242" s="33" t="s">
        <x:v>73</x:v>
      </x:c>
      <x:c r="M242" s="35">
        <x:v>43</x:v>
      </x:c>
      <x:c r="N242" s="35">
        <x:v>6095300</x:v>
      </x:c>
      <x:c r="O242" s="33" t="s">
        <x:v>101</x:v>
      </x:c>
      <x:c r="P242" s="33" t="s">
        <x:v>73</x:v>
      </x:c>
      <x:c r="Q242" s="33" t="s">
        <x:v>118</x:v>
      </x:c>
      <x:c r="R242" s="33" t="s">
        <x:v>101</x:v>
      </x:c>
      <x:c r="S242" s="31" t="s">
        <x:v>1326</x:v>
      </x:c>
      <x:c r="T242" s="31" t="s">
        <x:v>1330</x:v>
      </x:c>
      <x:c r="U242" s="31" t="s">
        <x:v>276</x:v>
      </x:c>
      <x:c r="V242" s="33" t="s">
        <x:v>329</x:v>
      </x:c>
      <x:c r="W242" s="33"/>
      <x:c r="X242" s="33" t="s">
        <x:v>238</x:v>
      </x:c>
      <x:c r="Y242" s="36">
        <x:v>46693</x:v>
      </x:c>
      <x:c r="Z242" s="36"/>
      <x:c r="AA242" s="33" t="s">
        <x:v>120</x:v>
      </x:c>
      <x:c r="AB242" s="37" t="n">
        <x:f>IFERROR(INDEX(Effort_Model!$J$6:$J$33,MATCH(K242&amp;"|"&amp;L242,Effort_Model!$B$6:$B$33,0)),"")</x:f>
        <x:v>42.4</x:v>
      </x:c>
      <x:c r="AC242" s="38">
        <x:v>267.89999999999998</x:v>
      </x:c>
      <x:c r="AD242" s="37">
        <x:f t="shared" si="3"/>
        <x:v>344.9</x:v>
      </x:c>
      <x:c r="AE242" s="37" t="n">
        <x:f>IFERROR(ROUND(IFERROR(INDEX(Scoring_Rules!$C$43:$C$44,MATCH(Q242,Scoring_Rules!$B$43:$B$44,0)),0)*Scoring_Rules!$C$6+IFERROR(INDEX(Scoring_Rules!$C$34:$C$40,MATCH(K242,Scoring_Rules!$B$34:$B$40,0)),0)*Scoring_Rules!$C$7+IFERROR(INDEX(Scoring_Rules!$C$16:$C$19,MATCH(P242,Scoring_Rules!$B$16:$B$19,0)),0)*Scoring_Rules!$C$8+IFERROR(INDEX(Scoring_Rules!$C$22:$C$25,MATCH(O242,Scoring_Rules!$B$22:$B$25,0)),0)*Scoring_Rules!$C$9+IFERROR(INDEX(Scoring_Rules!$C$47:$C$50,MATCH(X242,Scoring_Rules!$B$47:$B$50,0)),0)*Scoring_Rules!$C$10+IFERROR(INDEX(Scoring_Rules!$C$28:$C$31,MATCH(R242,Scoring_Rules!$B$28:$B$31,0)),0)*Scoring_Rules!$C$11,1),"")</x:f>
        <x:v>76</x:v>
      </x:c>
      <x:c r="AF242" s="35">
        <x:v>2</x:v>
      </x:c>
      <x:c r="AG242" s="33" t="s">
        <x:v>1222</x:v>
      </x:c>
      <x:c r="AH242" s="36">
        <x:v>46314</x:v>
      </x:c>
      <x:c r="AI242" s="33" t="s">
        <x:v>126</x:v>
      </x:c>
      <x:c r="AJ242" s="34"/>
    </x:row>
    <x:row r="243" ht="23.25" customHeight="1">
      <x:c r="A243" s="31" t="s">
        <x:v>1331</x:v>
      </x:c>
      <x:c r="B243" s="31" t="s">
        <x:v>1332</x:v>
      </x:c>
      <x:c r="C243" s="31" t="s">
        <x:v>270</x:v>
      </x:c>
      <x:c r="D243" s="32" t="s">
        <x:v>590</x:v>
      </x:c>
      <x:c r="E243" s="32" t="str">
        <x:v>Data Migration Only</x:v>
      </x:c>
      <x:c r="F243" s="33" t="s">
        <x:v>118</x:v>
      </x:c>
      <x:c r="G243" s="34" t="s">
        <x:v>1255</x:v>
      </x:c>
      <x:c r="H243" s="33" t="s">
        <x:v>87</x:v>
      </x:c>
      <x:c r="I243" s="33" t="s">
        <x:v>1219</x:v>
      </x:c>
      <x:c r="J243" s="33" t="s">
        <x:v>80</x:v>
      </x:c>
      <x:c r="K243" s="33" t="s">
        <x:v>62</x:v>
      </x:c>
      <x:c r="L243" s="33" t="s">
        <x:v>73</x:v>
      </x:c>
      <x:c r="M243" s="35">
        <x:v>61</x:v>
      </x:c>
      <x:c r="N243" s="35">
        <x:v>109387714</x:v>
      </x:c>
      <x:c r="O243" s="33" t="s">
        <x:v>103</x:v>
      </x:c>
      <x:c r="P243" s="33" t="s">
        <x:v>101</x:v>
      </x:c>
      <x:c r="Q243" s="33" t="s">
        <x:v>120</x:v>
      </x:c>
      <x:c r="R243" s="33" t="s">
        <x:v>115</x:v>
      </x:c>
      <x:c r="S243" s="31" t="s">
        <x:v>1094</x:v>
      </x:c>
      <x:c r="T243" s="31" t="s">
        <x:v>1319</x:v>
      </x:c>
      <x:c r="U243" s="31" t="s">
        <x:v>477</x:v>
      </x:c>
      <x:c r="V243" s="33" t="s">
        <x:v>379</x:v>
      </x:c>
      <x:c r="W243" s="33" t="s">
        <x:v>1320</x:v>
      </x:c>
      <x:c r="X243" s="33" t="s">
        <x:v>240</x:v>
      </x:c>
      <x:c r="Y243" s="36">
        <x:v>46668</x:v>
      </x:c>
      <x:c r="Z243" s="36"/>
      <x:c r="AA243" s="33" t="s">
        <x:v>120</x:v>
      </x:c>
      <x:c r="AB243" s="37" t="n">
        <x:f>IFERROR(INDEX(Effort_Model!$J$6:$J$33,MATCH(K243&amp;"|"&amp;L243,Effort_Model!$B$6:$B$33,0)),"")</x:f>
        <x:v>74.4</x:v>
      </x:c>
      <x:c r="AC243" s="38">
        <x:v>416.3</x:v>
      </x:c>
      <x:c r="AD243" s="37">
        <x:f t="shared" si="3"/>
        <x:v>557.29999999999995</x:v>
      </x:c>
      <x:c r="AE243" s="37" t="n">
        <x:f>IFERROR(ROUND(IFERROR(INDEX(Scoring_Rules!$C$43:$C$44,MATCH(Q243,Scoring_Rules!$B$43:$B$44,0)),0)*Scoring_Rules!$C$6+IFERROR(INDEX(Scoring_Rules!$C$34:$C$40,MATCH(K243,Scoring_Rules!$B$34:$B$40,0)),0)*Scoring_Rules!$C$7+IFERROR(INDEX(Scoring_Rules!$C$16:$C$19,MATCH(P243,Scoring_Rules!$B$16:$B$19,0)),0)*Scoring_Rules!$C$8+IFERROR(INDEX(Scoring_Rules!$C$22:$C$25,MATCH(O243,Scoring_Rules!$B$22:$B$25,0)),0)*Scoring_Rules!$C$9+IFERROR(INDEX(Scoring_Rules!$C$47:$C$50,MATCH(X243,Scoring_Rules!$B$47:$B$50,0)),0)*Scoring_Rules!$C$10+IFERROR(INDEX(Scoring_Rules!$C$28:$C$31,MATCH(R243,Scoring_Rules!$B$28:$B$31,0)),0)*Scoring_Rules!$C$11,1),"")</x:f>
        <x:v>22.5</x:v>
      </x:c>
      <x:c r="AF243" s="35">
        <x:v>6</x:v>
      </x:c>
      <x:c r="AG243" s="33" t="s">
        <x:v>1228</x:v>
      </x:c>
      <x:c r="AH243" s="36">
        <x:v>46379</x:v>
      </x:c>
      <x:c r="AI243" s="33" t="s">
        <x:v>124</x:v>
      </x:c>
      <x:c r="AJ243" s="34" t="s">
        <x:v>342</x:v>
      </x:c>
    </x:row>
    <x:row r="244" ht="23.25" customHeight="1">
      <x:c r="A244" s="31" t="s">
        <x:v>1333</x:v>
      </x:c>
      <x:c r="B244" s="31" t="s">
        <x:v>1334</x:v>
      </x:c>
      <x:c r="C244" s="31" t="s">
        <x:v>270</x:v>
      </x:c>
      <x:c r="D244" s="32" t="s">
        <x:v>1322</x:v>
      </x:c>
      <x:c r="E244" s="32" t="str">
        <x:v>Data Migration Only</x:v>
      </x:c>
      <x:c r="F244" s="33" t="s">
        <x:v>118</x:v>
      </x:c>
      <x:c r="G244" s="34" t="s">
        <x:v>1255</x:v>
      </x:c>
      <x:c r="H244" s="33" t="s">
        <x:v>87</x:v>
      </x:c>
      <x:c r="I244" s="33" t="s">
        <x:v>1219</x:v>
      </x:c>
      <x:c r="J244" s="33" t="s">
        <x:v>80</x:v>
      </x:c>
      <x:c r="K244" s="33" t="s">
        <x:v>56</x:v>
      </x:c>
      <x:c r="L244" s="33" t="s">
        <x:v>75</x:v>
      </x:c>
      <x:c r="M244" s="35">
        <x:v>5</x:v>
      </x:c>
      <x:c r="N244" s="35">
        <x:v>80511</x:v>
      </x:c>
      <x:c r="O244" s="33" t="s">
        <x:v>73</x:v>
      </x:c>
      <x:c r="P244" s="33" t="s">
        <x:v>73</x:v>
      </x:c>
      <x:c r="Q244" s="33" t="s">
        <x:v>120</x:v>
      </x:c>
      <x:c r="R244" s="33" t="s">
        <x:v>101</x:v>
      </x:c>
      <x:c r="S244" s="31" t="s">
        <x:v>1335</x:v>
      </x:c>
      <x:c r="T244" s="31" t="s">
        <x:v>1336</x:v>
      </x:c>
      <x:c r="U244" s="31" t="s">
        <x:v>276</x:v>
      </x:c>
      <x:c r="V244" s="33" t="s">
        <x:v>347</x:v>
      </x:c>
      <x:c r="W244" s="33"/>
      <x:c r="X244" s="33" t="s">
        <x:v>238</x:v>
      </x:c>
      <x:c r="Y244" s="36"/>
      <x:c r="Z244" s="36"/>
      <x:c r="AA244" s="33" t="s">
        <x:v>120</x:v>
      </x:c>
      <x:c r="AB244" s="37" t="n">
        <x:f>IFERROR(INDEX(Effort_Model!$J$6:$J$33,MATCH(K244&amp;"|"&amp;L244,Effort_Model!$B$6:$B$33,0)),"")</x:f>
        <x:v>18.4</x:v>
      </x:c>
      <x:c r="AC244" s="38">
        <x:v>112.4</x:v>
      </x:c>
      <x:c r="AD244" s="37">
        <x:f t="shared" si="3"/>
        <x:v>153.73330000000001</x:v>
      </x:c>
      <x:c r="AE244" s="37" t="n">
        <x:f>IFERROR(ROUND(IFERROR(INDEX(Scoring_Rules!$C$43:$C$44,MATCH(Q244,Scoring_Rules!$B$43:$B$44,0)),0)*Scoring_Rules!$C$6+IFERROR(INDEX(Scoring_Rules!$C$34:$C$40,MATCH(K244,Scoring_Rules!$B$34:$B$40,0)),0)*Scoring_Rules!$C$7+IFERROR(INDEX(Scoring_Rules!$C$16:$C$19,MATCH(P244,Scoring_Rules!$B$16:$B$19,0)),0)*Scoring_Rules!$C$8+IFERROR(INDEX(Scoring_Rules!$C$22:$C$25,MATCH(O244,Scoring_Rules!$B$22:$B$25,0)),0)*Scoring_Rules!$C$9+IFERROR(INDEX(Scoring_Rules!$C$47:$C$50,MATCH(X244,Scoring_Rules!$B$47:$B$50,0)),0)*Scoring_Rules!$C$10+IFERROR(INDEX(Scoring_Rules!$C$28:$C$31,MATCH(R244,Scoring_Rules!$B$28:$B$31,0)),0)*Scoring_Rules!$C$11,1),"")</x:f>
        <x:v>61.3</x:v>
      </x:c>
      <x:c r="AF244" s="35">
        <x:v>4</x:v>
      </x:c>
      <x:c r="AG244" s="33" t="s">
        <x:v>1233</x:v>
      </x:c>
      <x:c r="AH244" s="36">
        <x:v>46384</x:v>
      </x:c>
      <x:c r="AI244" s="33" t="s">
        <x:v>126</x:v>
      </x:c>
      <x:c r="AJ244" s="34"/>
    </x:row>
    <x:row r="245" ht="15" customHeight="1">
      <x:c r="A245" s="31" t="s">
        <x:v>1337</x:v>
      </x:c>
      <x:c r="B245" s="31" t="s">
        <x:v>1338</x:v>
      </x:c>
      <x:c r="C245" s="31" t="s">
        <x:v>270</x:v>
      </x:c>
      <x:c r="D245" s="32" t="s">
        <x:v>642</x:v>
      </x:c>
      <x:c r="E245" s="32" t="str">
        <x:v>Functional Migration Only</x:v>
      </x:c>
      <x:c r="F245" s="33" t="s">
        <x:v>118</x:v>
      </x:c>
      <x:c r="G245" s="34" t="s">
        <x:v>1236</x:v>
      </x:c>
      <x:c r="H245" s="33" t="s">
        <x:v>87</x:v>
      </x:c>
      <x:c r="I245" s="33" t="s">
        <x:v>1219</x:v>
      </x:c>
      <x:c r="J245" s="33" t="s">
        <x:v>82</x:v>
      </x:c>
      <x:c r="K245" s="33" t="s">
        <x:v>60</x:v>
      </x:c>
      <x:c r="L245" s="33" t="s">
        <x:v>73</x:v>
      </x:c>
      <x:c r="M245" s="35">
        <x:v>49</x:v>
      </x:c>
      <x:c r="N245" s="35">
        <x:v>4085125</x:v>
      </x:c>
      <x:c r="O245" s="33" t="s">
        <x:v>73</x:v>
      </x:c>
      <x:c r="P245" s="33" t="s">
        <x:v>73</x:v>
      </x:c>
      <x:c r="Q245" s="33" t="s">
        <x:v>120</x:v>
      </x:c>
      <x:c r="R245" s="33" t="s">
        <x:v>73</x:v>
      </x:c>
      <x:c r="S245" s="31" t="s">
        <x:v>369</x:v>
      </x:c>
      <x:c r="T245" s="31" t="s">
        <x:v>618</x:v>
      </x:c>
      <x:c r="U245" s="31" t="s">
        <x:v>276</x:v>
      </x:c>
      <x:c r="V245" s="33" t="s">
        <x:v>444</x:v>
      </x:c>
      <x:c r="W245" s="33" t="s">
        <x:v>1328</x:v>
      </x:c>
      <x:c r="X245" s="33" t="s">
        <x:v>239</x:v>
      </x:c>
      <x:c r="Y245" s="36"/>
      <x:c r="Z245" s="36"/>
      <x:c r="AA245" s="33" t="s">
        <x:v>120</x:v>
      </x:c>
      <x:c r="AB245" s="37" t="n">
        <x:f>IFERROR(INDEX(Effort_Model!$J$6:$J$33,MATCH(K245&amp;"|"&amp;L245,Effort_Model!$B$6:$B$33,0)),"")</x:f>
        <x:v>42.4</x:v>
      </x:c>
      <x:c r="AC245" s="38">
        <x:v>371</x:v>
      </x:c>
      <x:c r="AD245" s="37">
        <x:f t="shared" si="3"/>
        <x:v>448</x:v>
      </x:c>
      <x:c r="AE245" s="37" t="n">
        <x:f>IFERROR(ROUND(IFERROR(INDEX(Scoring_Rules!$C$43:$C$44,MATCH(Q245,Scoring_Rules!$B$43:$B$44,0)),0)*Scoring_Rules!$C$6+IFERROR(INDEX(Scoring_Rules!$C$34:$C$40,MATCH(K245,Scoring_Rules!$B$34:$B$40,0)),0)*Scoring_Rules!$C$7+IFERROR(INDEX(Scoring_Rules!$C$16:$C$19,MATCH(P245,Scoring_Rules!$B$16:$B$19,0)),0)*Scoring_Rules!$C$8+IFERROR(INDEX(Scoring_Rules!$C$22:$C$25,MATCH(O245,Scoring_Rules!$B$22:$B$25,0)),0)*Scoring_Rules!$C$9+IFERROR(INDEX(Scoring_Rules!$C$47:$C$50,MATCH(X245,Scoring_Rules!$B$47:$B$50,0)),0)*Scoring_Rules!$C$10+IFERROR(INDEX(Scoring_Rules!$C$28:$C$31,MATCH(R245,Scoring_Rules!$B$28:$B$31,0)),0)*Scoring_Rules!$C$11,1),"")</x:f>
        <x:v>53.5</x:v>
      </x:c>
      <x:c r="AF245" s="35">
        <x:v>3</x:v>
      </x:c>
      <x:c r="AG245" s="33" t="s">
        <x:v>1239</x:v>
      </x:c>
      <x:c r="AH245" s="36">
        <x:v>46410</x:v>
      </x:c>
      <x:c r="AI245" s="33" t="s">
        <x:v>126</x:v>
      </x:c>
      <x:c r="AJ245" s="34" t="s">
        <x:v>342</x:v>
      </x:c>
    </x:row>
    <x:row r="246" ht="23.25" customHeight="1">
      <x:c r="A246" s="31" t="s">
        <x:v>1339</x:v>
      </x:c>
      <x:c r="B246" s="31" t="s">
        <x:v>1340</x:v>
      </x:c>
      <x:c r="C246" s="31" t="s">
        <x:v>270</x:v>
      </x:c>
      <x:c r="D246" s="32" t="s">
        <x:v>1242</x:v>
      </x:c>
      <x:c r="E246" s="32" t="str">
        <x:v>Data Migration Only</x:v>
      </x:c>
      <x:c r="F246" s="33" t="s">
        <x:v>120</x:v>
      </x:c>
      <x:c r="G246" s="34" t="s">
        <x:v>1255</x:v>
      </x:c>
      <x:c r="H246" s="33" t="s">
        <x:v>87</x:v>
      </x:c>
      <x:c r="I246" s="33" t="s">
        <x:v>1219</x:v>
      </x:c>
      <x:c r="J246" s="33" t="s">
        <x:v>80</x:v>
      </x:c>
      <x:c r="K246" s="33" t="s">
        <x:v>60</x:v>
      </x:c>
      <x:c r="L246" s="33" t="s">
        <x:v>75</x:v>
      </x:c>
      <x:c r="M246" s="35">
        <x:v>44</x:v>
      </x:c>
      <x:c r="N246" s="35">
        <x:v>5242750</x:v>
      </x:c>
      <x:c r="O246" s="33" t="s">
        <x:v>73</x:v>
      </x:c>
      <x:c r="P246" s="33" t="s">
        <x:v>73</x:v>
      </x:c>
      <x:c r="Q246" s="33" t="s">
        <x:v>120</x:v>
      </x:c>
      <x:c r="R246" s="33" t="s">
        <x:v>115</x:v>
      </x:c>
      <x:c r="S246" s="31" t="s">
        <x:v>1341</x:v>
      </x:c>
      <x:c r="T246" s="31" t="s">
        <x:v>1342</x:v>
      </x:c>
      <x:c r="U246" s="31" t="s">
        <x:v>522</x:v>
      </x:c>
      <x:c r="V246" s="33" t="s">
        <x:v>347</x:v>
      </x:c>
      <x:c r="W246" s="33" t="s">
        <x:v>1343</x:v>
      </x:c>
      <x:c r="X246" s="33" t="s">
        <x:v>240</x:v>
      </x:c>
      <x:c r="Y246" s="36"/>
      <x:c r="Z246" s="36"/>
      <x:c r="AA246" s="33" t="s">
        <x:v>120</x:v>
      </x:c>
      <x:c r="AB246" s="37" t="n">
        <x:f>IFERROR(INDEX(Effort_Model!$J$6:$J$33,MATCH(K246&amp;"|"&amp;L246,Effort_Model!$B$6:$B$33,0)),"")</x:f>
        <x:v>42.4</x:v>
      </x:c>
      <x:c r="AC246" s="38">
        <x:v>352.3</x:v>
      </x:c>
      <x:c r="AD246" s="37">
        <x:f t="shared" si="3"/>
        <x:v>465.63330000000002</x:v>
      </x:c>
      <x:c r="AE246" s="37" t="n">
        <x:f>IFERROR(ROUND(IFERROR(INDEX(Scoring_Rules!$C$43:$C$44,MATCH(Q246,Scoring_Rules!$B$43:$B$44,0)),0)*Scoring_Rules!$C$6+IFERROR(INDEX(Scoring_Rules!$C$34:$C$40,MATCH(K246,Scoring_Rules!$B$34:$B$40,0)),0)*Scoring_Rules!$C$7+IFERROR(INDEX(Scoring_Rules!$C$16:$C$19,MATCH(P246,Scoring_Rules!$B$16:$B$19,0)),0)*Scoring_Rules!$C$8+IFERROR(INDEX(Scoring_Rules!$C$22:$C$25,MATCH(O246,Scoring_Rules!$B$22:$B$25,0)),0)*Scoring_Rules!$C$9+IFERROR(INDEX(Scoring_Rules!$C$47:$C$50,MATCH(X246,Scoring_Rules!$B$47:$B$50,0)),0)*Scoring_Rules!$C$10+IFERROR(INDEX(Scoring_Rules!$C$28:$C$31,MATCH(R246,Scoring_Rules!$B$28:$B$31,0)),0)*Scoring_Rules!$C$11,1),"")</x:f>
        <x:v>44</x:v>
      </x:c>
      <x:c r="AF246" s="35">
        <x:v>5</x:v>
      </x:c>
      <x:c r="AG246" s="33" t="s">
        <x:v>1222</x:v>
      </x:c>
      <x:c r="AH246" s="36">
        <x:v>46404</x:v>
      </x:c>
      <x:c r="AI246" s="33" t="s">
        <x:v>128</x:v>
      </x:c>
      <x:c r="AJ246" s="34" t="s">
        <x:v>383</x:v>
      </x:c>
    </x:row>
    <x:row r="247" ht="23.25" customHeight="1">
      <x:c r="A247" s="31" t="s">
        <x:v>1344</x:v>
      </x:c>
      <x:c r="B247" s="31" t="s">
        <x:v>1345</x:v>
      </x:c>
      <x:c r="C247" s="31" t="s">
        <x:v>270</x:v>
      </x:c>
      <x:c r="D247" s="32" t="s">
        <x:v>1242</x:v>
      </x:c>
      <x:c r="E247" s="32" t="str">
        <x:v>Data Migration Only</x:v>
      </x:c>
      <x:c r="F247" s="33" t="s">
        <x:v>118</x:v>
      </x:c>
      <x:c r="G247" s="34" t="s">
        <x:v>1225</x:v>
      </x:c>
      <x:c r="H247" s="33" t="s">
        <x:v>87</x:v>
      </x:c>
      <x:c r="I247" s="33" t="s">
        <x:v>1219</x:v>
      </x:c>
      <x:c r="J247" s="33" t="s">
        <x:v>80</x:v>
      </x:c>
      <x:c r="K247" s="33" t="s">
        <x:v>60</x:v>
      </x:c>
      <x:c r="L247" s="33" t="s">
        <x:v>73</x:v>
      </x:c>
      <x:c r="M247" s="35">
        <x:v>42</x:v>
      </x:c>
      <x:c r="N247" s="35">
        <x:v>5627727</x:v>
      </x:c>
      <x:c r="O247" s="33" t="s">
        <x:v>101</x:v>
      </x:c>
      <x:c r="P247" s="33" t="s">
        <x:v>101</x:v>
      </x:c>
      <x:c r="Q247" s="33" t="s">
        <x:v>120</x:v>
      </x:c>
      <x:c r="R247" s="33" t="s">
        <x:v>115</x:v>
      </x:c>
      <x:c r="S247" s="31" t="s">
        <x:v>1341</x:v>
      </x:c>
      <x:c r="T247" s="31" t="s">
        <x:v>1342</x:v>
      </x:c>
      <x:c r="U247" s="31" t="s">
        <x:v>276</x:v>
      </x:c>
      <x:c r="V247" s="33" t="s">
        <x:v>303</x:v>
      </x:c>
      <x:c r="W247" s="33" t="s">
        <x:v>1297</x:v>
      </x:c>
      <x:c r="X247" s="33" t="s">
        <x:v>240</x:v>
      </x:c>
      <x:c r="Y247" s="36"/>
      <x:c r="Z247" s="36"/>
      <x:c r="AA247" s="33" t="s">
        <x:v>120</x:v>
      </x:c>
      <x:c r="AB247" s="37" t="n">
        <x:f>IFERROR(INDEX(Effort_Model!$J$6:$J$33,MATCH(K247&amp;"|"&amp;L247,Effort_Model!$B$6:$B$33,0)),"")</x:f>
        <x:v>42.4</x:v>
      </x:c>
      <x:c r="AC247" s="38">
        <x:v>234.3</x:v>
      </x:c>
      <x:c r="AD247" s="37">
        <x:f t="shared" si="3"/>
        <x:v>311.3</x:v>
      </x:c>
      <x:c r="AE247" s="37" t="n">
        <x:f>IFERROR(ROUND(IFERROR(INDEX(Scoring_Rules!$C$43:$C$44,MATCH(Q247,Scoring_Rules!$B$43:$B$44,0)),0)*Scoring_Rules!$C$6+IFERROR(INDEX(Scoring_Rules!$C$34:$C$40,MATCH(K247,Scoring_Rules!$B$34:$B$40,0)),0)*Scoring_Rules!$C$7+IFERROR(INDEX(Scoring_Rules!$C$16:$C$19,MATCH(P247,Scoring_Rules!$B$16:$B$19,0)),0)*Scoring_Rules!$C$8+IFERROR(INDEX(Scoring_Rules!$C$22:$C$25,MATCH(O247,Scoring_Rules!$B$22:$B$25,0)),0)*Scoring_Rules!$C$9+IFERROR(INDEX(Scoring_Rules!$C$47:$C$50,MATCH(X247,Scoring_Rules!$B$47:$B$50,0)),0)*Scoring_Rules!$C$10+IFERROR(INDEX(Scoring_Rules!$C$28:$C$31,MATCH(R247,Scoring_Rules!$B$28:$B$31,0)),0)*Scoring_Rules!$C$11,1),"")</x:f>
        <x:v>31.8</x:v>
      </x:c>
      <x:c r="AF247" s="35">
        <x:v>5</x:v>
      </x:c>
      <x:c r="AG247" s="33" t="s">
        <x:v>1228</x:v>
      </x:c>
      <x:c r="AH247" s="36">
        <x:v>46402</x:v>
      </x:c>
      <x:c r="AI247" s="33" t="s">
        <x:v>127</x:v>
      </x:c>
      <x:c r="AJ247" s="34"/>
    </x:row>
    <x:row r="248" ht="23.25" customHeight="1">
      <x:c r="A248" s="31" t="s">
        <x:v>1346</x:v>
      </x:c>
      <x:c r="B248" s="31" t="s">
        <x:v>1347</x:v>
      </x:c>
      <x:c r="C248" s="31" t="s">
        <x:v>270</x:v>
      </x:c>
      <x:c r="D248" s="32" t="s">
        <x:v>1242</x:v>
      </x:c>
      <x:c r="E248" s="32" t="str">
        <x:v>Functional Migration Only</x:v>
      </x:c>
      <x:c r="F248" s="33" t="s">
        <x:v>118</x:v>
      </x:c>
      <x:c r="G248" s="34" t="s">
        <x:v>1255</x:v>
      </x:c>
      <x:c r="H248" s="33" t="s">
        <x:v>87</x:v>
      </x:c>
      <x:c r="I248" s="33" t="s">
        <x:v>1219</x:v>
      </x:c>
      <x:c r="J248" s="33" t="s">
        <x:v>82</x:v>
      </x:c>
      <x:c r="K248" s="33" t="s">
        <x:v>60</x:v>
      </x:c>
      <x:c r="L248" s="33" t="s">
        <x:v>75</x:v>
      </x:c>
      <x:c r="M248" s="35">
        <x:v>46</x:v>
      </x:c>
      <x:c r="N248" s="35">
        <x:v>6638250</x:v>
      </x:c>
      <x:c r="O248" s="33" t="s">
        <x:v>73</x:v>
      </x:c>
      <x:c r="P248" s="33" t="s">
        <x:v>101</x:v>
      </x:c>
      <x:c r="Q248" s="33" t="s">
        <x:v>120</x:v>
      </x:c>
      <x:c r="R248" s="33" t="s">
        <x:v>101</x:v>
      </x:c>
      <x:c r="S248" s="31" t="s">
        <x:v>429</x:v>
      </x:c>
      <x:c r="T248" s="31" t="s">
        <x:v>430</x:v>
      </x:c>
      <x:c r="U248" s="31" t="s">
        <x:v>276</x:v>
      </x:c>
      <x:c r="V248" s="33" t="s">
        <x:v>277</x:v>
      </x:c>
      <x:c r="W248" s="33" t="s">
        <x:v>1253</x:v>
      </x:c>
      <x:c r="X248" s="33" t="s">
        <x:v>240</x:v>
      </x:c>
      <x:c r="Y248" s="36">
        <x:v>46311</x:v>
      </x:c>
      <x:c r="Z248" s="36"/>
      <x:c r="AA248" s="33" t="s">
        <x:v>120</x:v>
      </x:c>
      <x:c r="AB248" s="37" t="n">
        <x:f>IFERROR(INDEX(Effort_Model!$J$6:$J$33,MATCH(K248&amp;"|"&amp;L248,Effort_Model!$B$6:$B$33,0)),"")</x:f>
        <x:v>42.4</x:v>
      </x:c>
      <x:c r="AC248" s="38">
        <x:v>597.1</x:v>
      </x:c>
      <x:c r="AD248" s="37">
        <x:f t="shared" si="3"/>
        <x:v>710.43330000000003</x:v>
      </x:c>
      <x:c r="AE248" s="37" t="n">
        <x:f>IFERROR(ROUND(IFERROR(INDEX(Scoring_Rules!$C$43:$C$44,MATCH(Q248,Scoring_Rules!$B$43:$B$44,0)),0)*Scoring_Rules!$C$6+IFERROR(INDEX(Scoring_Rules!$C$34:$C$40,MATCH(K248,Scoring_Rules!$B$34:$B$40,0)),0)*Scoring_Rules!$C$7+IFERROR(INDEX(Scoring_Rules!$C$16:$C$19,MATCH(P248,Scoring_Rules!$B$16:$B$19,0)),0)*Scoring_Rules!$C$8+IFERROR(INDEX(Scoring_Rules!$C$22:$C$25,MATCH(O248,Scoring_Rules!$B$22:$B$25,0)),0)*Scoring_Rules!$C$9+IFERROR(INDEX(Scoring_Rules!$C$47:$C$50,MATCH(X248,Scoring_Rules!$B$47:$B$50,0)),0)*Scoring_Rules!$C$10+IFERROR(INDEX(Scoring_Rules!$C$28:$C$31,MATCH(R248,Scoring_Rules!$B$28:$B$31,0)),0)*Scoring_Rules!$C$11,1),"")</x:f>
        <x:v>38.8</x:v>
      </x:c>
      <x:c r="AF248" s="35">
        <x:v>6</x:v>
      </x:c>
      <x:c r="AG248" s="33" t="s">
        <x:v>1233</x:v>
      </x:c>
      <x:c r="AH248" s="36">
        <x:v>46352</x:v>
      </x:c>
      <x:c r="AI248" s="33" t="s">
        <x:v>127</x:v>
      </x:c>
      <x:c r="AJ248" s="34" t="s">
        <x:v>336</x:v>
      </x:c>
    </x:row>
    <x:row r="249" ht="45.75" customHeight="1">
      <x:c r="A249" s="31" t="s">
        <x:v>1348</x:v>
      </x:c>
      <x:c r="B249" s="31" t="s">
        <x:v>1349</x:v>
      </x:c>
      <x:c r="C249" s="31" t="s">
        <x:v>270</x:v>
      </x:c>
      <x:c r="D249" s="32" t="s">
        <x:v>1350</x:v>
      </x:c>
      <x:c r="E249" s="32" t="str">
        <x:v>Functional Migration Only</x:v>
      </x:c>
      <x:c r="F249" s="33" t="s">
        <x:v>118</x:v>
      </x:c>
      <x:c r="G249" s="34" t="s">
        <x:v>1218</x:v>
      </x:c>
      <x:c r="H249" s="33" t="s">
        <x:v>87</x:v>
      </x:c>
      <x:c r="I249" s="33" t="s">
        <x:v>1219</x:v>
      </x:c>
      <x:c r="J249" s="33" t="s">
        <x:v>82</x:v>
      </x:c>
      <x:c r="K249" s="33" t="s">
        <x:v>60</x:v>
      </x:c>
      <x:c r="L249" s="33" t="s">
        <x:v>73</x:v>
      </x:c>
      <x:c r="M249" s="35">
        <x:v>34</x:v>
      </x:c>
      <x:c r="N249" s="35">
        <x:v>3738985</x:v>
      </x:c>
      <x:c r="O249" s="33" t="s">
        <x:v>98</x:v>
      </x:c>
      <x:c r="P249" s="33" t="s">
        <x:v>73</x:v>
      </x:c>
      <x:c r="Q249" s="33" t="s">
        <x:v>118</x:v>
      </x:c>
      <x:c r="R249" s="33" t="s">
        <x:v>73</x:v>
      </x:c>
      <x:c r="S249" s="31" t="s">
        <x:v>1351</x:v>
      </x:c>
      <x:c r="T249" s="31" t="s">
        <x:v>1352</x:v>
      </x:c>
      <x:c r="U249" s="31" t="s">
        <x:v>276</x:v>
      </x:c>
      <x:c r="V249" s="33" t="s">
        <x:v>323</x:v>
      </x:c>
      <x:c r="W249" s="33"/>
      <x:c r="X249" s="33" t="s">
        <x:v>238</x:v>
      </x:c>
      <x:c r="Y249" s="36"/>
      <x:c r="Z249" s="36"/>
      <x:c r="AA249" s="33" t="s">
        <x:v>120</x:v>
      </x:c>
      <x:c r="AB249" s="37" t="n">
        <x:f>IFERROR(INDEX(Effort_Model!$J$6:$J$33,MATCH(K249&amp;"|"&amp;L249,Effort_Model!$B$6:$B$33,0)),"")</x:f>
        <x:v>42.4</x:v>
      </x:c>
      <x:c r="AC249" s="38">
        <x:v>420.7</x:v>
      </x:c>
      <x:c r="AD249" s="37">
        <x:f t="shared" si="3"/>
        <x:v>497.7</x:v>
      </x:c>
      <x:c r="AE249" s="37" t="n">
        <x:f>IFERROR(ROUND(IFERROR(INDEX(Scoring_Rules!$C$43:$C$44,MATCH(Q249,Scoring_Rules!$B$43:$B$44,0)),0)*Scoring_Rules!$C$6+IFERROR(INDEX(Scoring_Rules!$C$34:$C$40,MATCH(K249,Scoring_Rules!$B$34:$B$40,0)),0)*Scoring_Rules!$C$7+IFERROR(INDEX(Scoring_Rules!$C$16:$C$19,MATCH(P249,Scoring_Rules!$B$16:$B$19,0)),0)*Scoring_Rules!$C$8+IFERROR(INDEX(Scoring_Rules!$C$22:$C$25,MATCH(O249,Scoring_Rules!$B$22:$B$25,0)),0)*Scoring_Rules!$C$9+IFERROR(INDEX(Scoring_Rules!$C$47:$C$50,MATCH(X249,Scoring_Rules!$B$47:$B$50,0)),0)*Scoring_Rules!$C$10+IFERROR(INDEX(Scoring_Rules!$C$28:$C$31,MATCH(R249,Scoring_Rules!$B$28:$B$31,0)),0)*Scoring_Rules!$C$11,1),"")</x:f>
        <x:v>87.5</x:v>
      </x:c>
      <x:c r="AF249" s="35">
        <x:v>1</x:v>
      </x:c>
      <x:c r="AG249" s="33" t="s">
        <x:v>1239</x:v>
      </x:c>
      <x:c r="AH249" s="36">
        <x:v>46347</x:v>
      </x:c>
      <x:c r="AI249" s="33" t="s">
        <x:v>127</x:v>
      </x:c>
      <x:c r="AJ249" s="34"/>
    </x:row>
    <x:row r="250" ht="79.5" customHeight="1">
      <x:c r="A250" s="31" t="s">
        <x:v>1353</x:v>
      </x:c>
      <x:c r="B250" s="31" t="s">
        <x:v>1354</x:v>
      </x:c>
      <x:c r="C250" s="31" t="s">
        <x:v>270</x:v>
      </x:c>
      <x:c r="D250" s="32" t="s">
        <x:v>1355</x:v>
      </x:c>
      <x:c r="E250" s="32" t="str">
        <x:v>Functional Migration Only</x:v>
      </x:c>
      <x:c r="F250" s="33" t="s">
        <x:v>118</x:v>
      </x:c>
      <x:c r="G250" s="34" t="s">
        <x:v>1236</x:v>
      </x:c>
      <x:c r="H250" s="33" t="s">
        <x:v>87</x:v>
      </x:c>
      <x:c r="I250" s="33" t="s">
        <x:v>1219</x:v>
      </x:c>
      <x:c r="J250" s="33" t="s">
        <x:v>82</x:v>
      </x:c>
      <x:c r="K250" s="33" t="s">
        <x:v>62</x:v>
      </x:c>
      <x:c r="L250" s="33" t="s">
        <x:v>73</x:v>
      </x:c>
      <x:c r="M250" s="35">
        <x:v>56</x:v>
      </x:c>
      <x:c r="N250" s="35">
        <x:v>72627306</x:v>
      </x:c>
      <x:c r="O250" s="33" t="s">
        <x:v>73</x:v>
      </x:c>
      <x:c r="P250" s="33" t="s">
        <x:v>109</x:v>
      </x:c>
      <x:c r="Q250" s="33" t="s">
        <x:v>120</x:v>
      </x:c>
      <x:c r="R250" s="33" t="s">
        <x:v>115</x:v>
      </x:c>
      <x:c r="S250" s="31" t="s">
        <x:v>1356</x:v>
      </x:c>
      <x:c r="T250" s="31" t="s">
        <x:v>1357</x:v>
      </x:c>
      <x:c r="U250" s="31" t="s">
        <x:v>471</x:v>
      </x:c>
      <x:c r="V250" s="33" t="s">
        <x:v>323</x:v>
      </x:c>
      <x:c r="W250" s="33" t="s">
        <x:v>1269</x:v>
      </x:c>
      <x:c r="X250" s="33" t="s">
        <x:v>239</x:v>
      </x:c>
      <x:c r="Y250" s="36"/>
      <x:c r="Z250" s="36"/>
      <x:c r="AA250" s="33" t="s">
        <x:v>120</x:v>
      </x:c>
      <x:c r="AB250" s="37" t="n">
        <x:f>IFERROR(INDEX(Effort_Model!$J$6:$J$33,MATCH(K250&amp;"|"&amp;L250,Effort_Model!$B$6:$B$33,0)),"")</x:f>
        <x:v>74.4</x:v>
      </x:c>
      <x:c r="AC250" s="38">
        <x:v>703.5</x:v>
      </x:c>
      <x:c r="AD250" s="37">
        <x:f t="shared" si="3"/>
        <x:v>844.5</x:v>
      </x:c>
      <x:c r="AE250" s="37" t="n">
        <x:f>IFERROR(ROUND(IFERROR(INDEX(Scoring_Rules!$C$43:$C$44,MATCH(Q250,Scoring_Rules!$B$43:$B$44,0)),0)*Scoring_Rules!$C$6+IFERROR(INDEX(Scoring_Rules!$C$34:$C$40,MATCH(K250,Scoring_Rules!$B$34:$B$40,0)),0)*Scoring_Rules!$C$7+IFERROR(INDEX(Scoring_Rules!$C$16:$C$19,MATCH(P250,Scoring_Rules!$B$16:$B$19,0)),0)*Scoring_Rules!$C$8+IFERROR(INDEX(Scoring_Rules!$C$22:$C$25,MATCH(O250,Scoring_Rules!$B$22:$B$25,0)),0)*Scoring_Rules!$C$9+IFERROR(INDEX(Scoring_Rules!$C$47:$C$50,MATCH(X250,Scoring_Rules!$B$47:$B$50,0)),0)*Scoring_Rules!$C$10+IFERROR(INDEX(Scoring_Rules!$C$28:$C$31,MATCH(R250,Scoring_Rules!$B$28:$B$31,0)),0)*Scoring_Rules!$C$11,1),"")</x:f>
        <x:v>32</x:v>
      </x:c>
      <x:c r="AF250" s="35">
        <x:v>7</x:v>
      </x:c>
      <x:c r="AG250" s="33" t="s">
        <x:v>1222</x:v>
      </x:c>
      <x:c r="AH250" s="36">
        <x:v>46331</x:v>
      </x:c>
      <x:c r="AI250" s="33" t="s">
        <x:v>127</x:v>
      </x:c>
      <x:c r="AJ250" s="34"/>
    </x:row>
    <x:row r="251" ht="15" customHeight="1">
      <x:c r="A251" s="31" t="s">
        <x:v>1358</x:v>
      </x:c>
      <x:c r="B251" s="31" t="s">
        <x:v>1359</x:v>
      </x:c>
      <x:c r="C251" s="31" t="s">
        <x:v>1360</x:v>
      </x:c>
      <x:c r="D251" s="32" t="s">
        <x:v>824</x:v>
      </x:c>
      <x:c r="E251" s="32" t="str">
        <x:v>Functional Migration Only</x:v>
      </x:c>
      <x:c r="F251" s="33" t="s">
        <x:v>120</x:v>
      </x:c>
      <x:c r="G251" s="34" t="s">
        <x:v>1361</x:v>
      </x:c>
      <x:c r="H251" s="33" t="s">
        <x:v>87</x:v>
      </x:c>
      <x:c r="I251" s="33" t="s">
        <x:v>1362</x:v>
      </x:c>
      <x:c r="J251" s="33" t="s">
        <x:v>82</x:v>
      </x:c>
      <x:c r="K251" s="33" t="s">
        <x:v>62</x:v>
      </x:c>
      <x:c r="L251" s="33" t="s">
        <x:v>75</x:v>
      </x:c>
      <x:c r="M251" s="35">
        <x:v>73</x:v>
      </x:c>
      <x:c r="N251" s="35">
        <x:v>81289749</x:v>
      </x:c>
      <x:c r="O251" s="33" t="s">
        <x:v>103</x:v>
      </x:c>
      <x:c r="P251" s="33" t="s">
        <x:v>101</x:v>
      </x:c>
      <x:c r="Q251" s="33" t="s">
        <x:v>120</x:v>
      </x:c>
      <x:c r="R251" s="33" t="s">
        <x:v>101</x:v>
      </x:c>
      <x:c r="S251" s="31" t="s">
        <x:v>1363</x:v>
      </x:c>
      <x:c r="T251" s="31" t="s">
        <x:v>1364</x:v>
      </x:c>
      <x:c r="U251" s="31" t="s">
        <x:v>522</x:v>
      </x:c>
      <x:c r="V251" s="33" t="s">
        <x:v>347</x:v>
      </x:c>
      <x:c r="W251" s="33"/>
      <x:c r="X251" s="33" t="s">
        <x:v>238</x:v>
      </x:c>
      <x:c r="Y251" s="36"/>
      <x:c r="Z251" s="36"/>
      <x:c r="AA251" s="33" t="s">
        <x:v>120</x:v>
      </x:c>
      <x:c r="AB251" s="37" t="n">
        <x:f>IFERROR(INDEX(Effort_Model!$J$6:$J$33,MATCH(K251&amp;"|"&amp;L251,Effort_Model!$B$6:$B$33,0)),"")</x:f>
        <x:v>74.4</x:v>
      </x:c>
      <x:c r="AC251" s="38">
        <x:v>871.7</x:v>
      </x:c>
      <x:c r="AD251" s="37">
        <x:f t="shared" si="3"/>
        <x:v>1081.0333000000001</x:v>
      </x:c>
      <x:c r="AE251" s="37" t="n">
        <x:f>IFERROR(ROUND(IFERROR(INDEX(Scoring_Rules!$C$43:$C$44,MATCH(Q251,Scoring_Rules!$B$43:$B$44,0)),0)*Scoring_Rules!$C$6+IFERROR(INDEX(Scoring_Rules!$C$34:$C$40,MATCH(K251,Scoring_Rules!$B$34:$B$40,0)),0)*Scoring_Rules!$C$7+IFERROR(INDEX(Scoring_Rules!$C$16:$C$19,MATCH(P251,Scoring_Rules!$B$16:$B$19,0)),0)*Scoring_Rules!$C$8+IFERROR(INDEX(Scoring_Rules!$C$22:$C$25,MATCH(O251,Scoring_Rules!$B$22:$B$25,0)),0)*Scoring_Rules!$C$9+IFERROR(INDEX(Scoring_Rules!$C$47:$C$50,MATCH(X251,Scoring_Rules!$B$47:$B$50,0)),0)*Scoring_Rules!$C$10+IFERROR(INDEX(Scoring_Rules!$C$28:$C$31,MATCH(R251,Scoring_Rules!$B$28:$B$31,0)),0)*Scoring_Rules!$C$11,1),"")</x:f>
        <x:v>34.8</x:v>
      </x:c>
      <x:c r="AF251" s="35">
        <x:v>7</x:v>
      </x:c>
      <x:c r="AG251" s="33" t="s">
        <x:v>1365</x:v>
      </x:c>
      <x:c r="AH251" s="36">
        <x:v>46366</x:v>
      </x:c>
      <x:c r="AI251" s="33" t="s">
        <x:v>126</x:v>
      </x:c>
      <x:c r="AJ251" s="34" t="s">
        <x:v>445</x:v>
      </x:c>
    </x:row>
    <x:row r="252" ht="15" customHeight="1">
      <x:c r="A252" s="31" t="s">
        <x:v>1366</x:v>
      </x:c>
      <x:c r="B252" s="31" t="s">
        <x:v>1367</x:v>
      </x:c>
      <x:c r="C252" s="31" t="s">
        <x:v>1360</x:v>
      </x:c>
      <x:c r="D252" s="32" t="s">
        <x:v>760</x:v>
      </x:c>
      <x:c r="E252" s="32" t="str">
        <x:v>Data Migration Only</x:v>
      </x:c>
      <x:c r="F252" s="33" t="s">
        <x:v>118</x:v>
      </x:c>
      <x:c r="G252" s="34" t="s">
        <x:v>1368</x:v>
      </x:c>
      <x:c r="H252" s="33" t="s">
        <x:v>87</x:v>
      </x:c>
      <x:c r="I252" s="33" t="s">
        <x:v>1362</x:v>
      </x:c>
      <x:c r="J252" s="33" t="s">
        <x:v>80</x:v>
      </x:c>
      <x:c r="K252" s="33" t="s">
        <x:v>62</x:v>
      </x:c>
      <x:c r="L252" s="33" t="s">
        <x:v>73</x:v>
      </x:c>
      <x:c r="M252" s="35">
        <x:v>70</x:v>
      </x:c>
      <x:c r="N252" s="35">
        <x:v>146259231</x:v>
      </x:c>
      <x:c r="O252" s="33" t="s">
        <x:v>73</x:v>
      </x:c>
      <x:c r="P252" s="33" t="s">
        <x:v>101</x:v>
      </x:c>
      <x:c r="Q252" s="33" t="s">
        <x:v>120</x:v>
      </x:c>
      <x:c r="R252" s="33" t="s">
        <x:v>115</x:v>
      </x:c>
      <x:c r="S252" s="31" t="s">
        <x:v>1369</x:v>
      </x:c>
      <x:c r="T252" s="31" t="s">
        <x:v>1370</x:v>
      </x:c>
      <x:c r="U252" s="31" t="s">
        <x:v>477</x:v>
      </x:c>
      <x:c r="V252" s="33" t="s">
        <x:v>277</x:v>
      </x:c>
      <x:c r="W252" s="33" t="s">
        <x:v>1358</x:v>
      </x:c>
      <x:c r="X252" s="33" t="s">
        <x:v>240</x:v>
      </x:c>
      <x:c r="Y252" s="36">
        <x:v>46552</x:v>
      </x:c>
      <x:c r="Z252" s="36">
        <x:v>46706</x:v>
      </x:c>
      <x:c r="AA252" s="33" t="s">
        <x:v>120</x:v>
      </x:c>
      <x:c r="AB252" s="37" t="n">
        <x:f>IFERROR(INDEX(Effort_Model!$J$6:$J$33,MATCH(K252&amp;"|"&amp;L252,Effort_Model!$B$6:$B$33,0)),"")</x:f>
        <x:v>74.4</x:v>
      </x:c>
      <x:c r="AC252" s="38">
        <x:v>447.2</x:v>
      </x:c>
      <x:c r="AD252" s="37">
        <x:f t="shared" si="3"/>
        <x:v>588.20000000000005</x:v>
      </x:c>
      <x:c r="AE252" s="37" t="n">
        <x:f>IFERROR(ROUND(IFERROR(INDEX(Scoring_Rules!$C$43:$C$44,MATCH(Q252,Scoring_Rules!$B$43:$B$44,0)),0)*Scoring_Rules!$C$6+IFERROR(INDEX(Scoring_Rules!$C$34:$C$40,MATCH(K252,Scoring_Rules!$B$34:$B$40,0)),0)*Scoring_Rules!$C$7+IFERROR(INDEX(Scoring_Rules!$C$16:$C$19,MATCH(P252,Scoring_Rules!$B$16:$B$19,0)),0)*Scoring_Rules!$C$8+IFERROR(INDEX(Scoring_Rules!$C$22:$C$25,MATCH(O252,Scoring_Rules!$B$22:$B$25,0)),0)*Scoring_Rules!$C$9+IFERROR(INDEX(Scoring_Rules!$C$47:$C$50,MATCH(X252,Scoring_Rules!$B$47:$B$50,0)),0)*Scoring_Rules!$C$10+IFERROR(INDEX(Scoring_Rules!$C$28:$C$31,MATCH(R252,Scoring_Rules!$B$28:$B$31,0)),0)*Scoring_Rules!$C$11,1),"")</x:f>
        <x:v>33</x:v>
      </x:c>
      <x:c r="AF252" s="35">
        <x:v>5</x:v>
      </x:c>
      <x:c r="AG252" s="33" t="s">
        <x:v>1371</x:v>
      </x:c>
      <x:c r="AH252" s="36">
        <x:v>46303</x:v>
      </x:c>
      <x:c r="AI252" s="33" t="s">
        <x:v>127</x:v>
      </x:c>
      <x:c r="AJ252" s="34"/>
    </x:row>
    <x:row r="253" ht="15" customHeight="1">
      <x:c r="A253" s="31" t="s">
        <x:v>1372</x:v>
      </x:c>
      <x:c r="B253" s="31" t="s">
        <x:v>1373</x:v>
      </x:c>
      <x:c r="C253" s="31" t="s">
        <x:v>1360</x:v>
      </x:c>
      <x:c r="D253" s="32" t="s">
        <x:v>1374</x:v>
      </x:c>
      <x:c r="E253" s="32" t="str">
        <x:v>Functional Migration Only</x:v>
      </x:c>
      <x:c r="F253" s="33" t="s">
        <x:v>120</x:v>
      </x:c>
      <x:c r="G253" s="34" t="s">
        <x:v>1361</x:v>
      </x:c>
      <x:c r="H253" s="33" t="s">
        <x:v>87</x:v>
      </x:c>
      <x:c r="I253" s="33" t="s">
        <x:v>1362</x:v>
      </x:c>
      <x:c r="J253" s="33" t="s">
        <x:v>82</x:v>
      </x:c>
      <x:c r="K253" s="33" t="s">
        <x:v>64</x:v>
      </x:c>
      <x:c r="L253" s="33" t="s">
        <x:v>71</x:v>
      </x:c>
      <x:c r="M253" s="35">
        <x:v>116</x:v>
      </x:c>
      <x:c r="N253" s="35">
        <x:v>1191717428</x:v>
      </x:c>
      <x:c r="O253" s="33" t="s">
        <x:v>73</x:v>
      </x:c>
      <x:c r="P253" s="33" t="s">
        <x:v>98</x:v>
      </x:c>
      <x:c r="Q253" s="33" t="s">
        <x:v>120</x:v>
      </x:c>
      <x:c r="R253" s="33" t="s">
        <x:v>101</x:v>
      </x:c>
      <x:c r="S253" s="31" t="s">
        <x:v>1375</x:v>
      </x:c>
      <x:c r="T253" s="31" t="s">
        <x:v>1376</x:v>
      </x:c>
      <x:c r="U253" s="31" t="s">
        <x:v>522</x:v>
      </x:c>
      <x:c r="V253" s="33" t="s">
        <x:v>379</x:v>
      </x:c>
      <x:c r="W253" s="33"/>
      <x:c r="X253" s="33" t="s">
        <x:v>238</x:v>
      </x:c>
      <x:c r="Y253" s="36"/>
      <x:c r="Z253" s="36"/>
      <x:c r="AA253" s="33" t="s">
        <x:v>120</x:v>
      </x:c>
      <x:c r="AB253" s="37" t="n">
        <x:f>IFERROR(INDEX(Effort_Model!$J$6:$J$33,MATCH(K253&amp;"|"&amp;L253,Effort_Model!$B$6:$B$33,0)),"")</x:f>
        <x:v>18.4</x:v>
      </x:c>
      <x:c r="AC253" s="38">
        <x:v>898.5</x:v>
      </x:c>
      <x:c r="AD253" s="37">
        <x:f t="shared" si="3"/>
        <x:v>1004.9</x:v>
      </x:c>
      <x:c r="AE253" s="37" t="n">
        <x:f>IFERROR(ROUND(IFERROR(INDEX(Scoring_Rules!$C$43:$C$44,MATCH(Q253,Scoring_Rules!$B$43:$B$44,0)),0)*Scoring_Rules!$C$6+IFERROR(INDEX(Scoring_Rules!$C$34:$C$40,MATCH(K253,Scoring_Rules!$B$34:$B$40,0)),0)*Scoring_Rules!$C$7+IFERROR(INDEX(Scoring_Rules!$C$16:$C$19,MATCH(P253,Scoring_Rules!$B$16:$B$19,0)),0)*Scoring_Rules!$C$8+IFERROR(INDEX(Scoring_Rules!$C$22:$C$25,MATCH(O253,Scoring_Rules!$B$22:$B$25,0)),0)*Scoring_Rules!$C$9+IFERROR(INDEX(Scoring_Rules!$C$47:$C$50,MATCH(X253,Scoring_Rules!$B$47:$B$50,0)),0)*Scoring_Rules!$C$10+IFERROR(INDEX(Scoring_Rules!$C$28:$C$31,MATCH(R253,Scoring_Rules!$B$28:$B$31,0)),0)*Scoring_Rules!$C$11,1),"")</x:f>
        <x:v>54.3</x:v>
      </x:c>
      <x:c r="AF253" s="35">
        <x:v>2</x:v>
      </x:c>
      <x:c r="AG253" s="33" t="s">
        <x:v>1377</x:v>
      </x:c>
      <x:c r="AH253" s="36">
        <x:v>46348</x:v>
      </x:c>
      <x:c r="AI253" s="33" t="s">
        <x:v>126</x:v>
      </x:c>
      <x:c r="AJ253" s="34"/>
    </x:row>
    <x:row r="254" ht="15" customHeight="1">
      <x:c r="A254" s="31" t="s">
        <x:v>1378</x:v>
      </x:c>
      <x:c r="B254" s="31" t="s">
        <x:v>1379</x:v>
      </x:c>
      <x:c r="C254" s="31" t="s">
        <x:v>1360</x:v>
      </x:c>
      <x:c r="D254" s="32" t="s">
        <x:v>1374</x:v>
      </x:c>
      <x:c r="E254" s="32" t="str">
        <x:v>Data Migration Only</x:v>
      </x:c>
      <x:c r="F254" s="33" t="s">
        <x:v>120</x:v>
      </x:c>
      <x:c r="G254" s="34" t="s">
        <x:v>1380</x:v>
      </x:c>
      <x:c r="H254" s="33" t="s">
        <x:v>87</x:v>
      </x:c>
      <x:c r="I254" s="33" t="s">
        <x:v>1362</x:v>
      </x:c>
      <x:c r="J254" s="33" t="s">
        <x:v>80</x:v>
      </x:c>
      <x:c r="K254" s="33" t="s">
        <x:v>62</x:v>
      </x:c>
      <x:c r="L254" s="33" t="s">
        <x:v>77</x:v>
      </x:c>
      <x:c r="M254" s="35">
        <x:v>68</x:v>
      </x:c>
      <x:c r="N254" s="35">
        <x:v>137130540</x:v>
      </x:c>
      <x:c r="O254" s="33" t="s">
        <x:v>98</x:v>
      </x:c>
      <x:c r="P254" s="33" t="s">
        <x:v>109</x:v>
      </x:c>
      <x:c r="Q254" s="33" t="s">
        <x:v>120</x:v>
      </x:c>
      <x:c r="R254" s="33" t="s">
        <x:v>73</x:v>
      </x:c>
      <x:c r="S254" s="31" t="s">
        <x:v>363</x:v>
      </x:c>
      <x:c r="T254" s="31" t="s">
        <x:v>364</x:v>
      </x:c>
      <x:c r="U254" s="31" t="s">
        <x:v>276</x:v>
      </x:c>
      <x:c r="V254" s="33" t="s">
        <x:v>303</x:v>
      </x:c>
      <x:c r="W254" s="33"/>
      <x:c r="X254" s="33" t="s">
        <x:v>238</x:v>
      </x:c>
      <x:c r="Y254" s="36"/>
      <x:c r="Z254" s="36"/>
      <x:c r="AA254" s="33" t="s">
        <x:v>120</x:v>
      </x:c>
      <x:c r="AB254" s="37" t="n">
        <x:f>IFERROR(INDEX(Effort_Model!$J$6:$J$33,MATCH(K254&amp;"|"&amp;L254,Effort_Model!$B$6:$B$33,0)),"")</x:f>
        <x:v>74.4</x:v>
      </x:c>
      <x:c r="AC254" s="38">
        <x:v>856.8</x:v>
      </x:c>
      <x:c r="AD254" s="37">
        <x:f t="shared" si="3"/>
        <x:v>1130.1333</x:v>
      </x:c>
      <x:c r="AE254" s="37" t="n">
        <x:f>IFERROR(ROUND(IFERROR(INDEX(Scoring_Rules!$C$43:$C$44,MATCH(Q254,Scoring_Rules!$B$43:$B$44,0)),0)*Scoring_Rules!$C$6+IFERROR(INDEX(Scoring_Rules!$C$34:$C$40,MATCH(K254,Scoring_Rules!$B$34:$B$40,0)),0)*Scoring_Rules!$C$7+IFERROR(INDEX(Scoring_Rules!$C$16:$C$19,MATCH(P254,Scoring_Rules!$B$16:$B$19,0)),0)*Scoring_Rules!$C$8+IFERROR(INDEX(Scoring_Rules!$C$22:$C$25,MATCH(O254,Scoring_Rules!$B$22:$B$25,0)),0)*Scoring_Rules!$C$9+IFERROR(INDEX(Scoring_Rules!$C$47:$C$50,MATCH(X254,Scoring_Rules!$B$47:$B$50,0)),0)*Scoring_Rules!$C$10+IFERROR(INDEX(Scoring_Rules!$C$28:$C$31,MATCH(R254,Scoring_Rules!$B$28:$B$31,0)),0)*Scoring_Rules!$C$11,1),"")</x:f>
        <x:v>44.5</x:v>
      </x:c>
      <x:c r="AF254" s="35">
        <x:v>7</x:v>
      </x:c>
      <x:c r="AG254" s="33" t="s">
        <x:v>1381</x:v>
      </x:c>
      <x:c r="AH254" s="36">
        <x:v>46300</x:v>
      </x:c>
      <x:c r="AI254" s="33" t="s">
        <x:v>126</x:v>
      </x:c>
      <x:c r="AJ254" s="34" t="s">
        <x:v>342</x:v>
      </x:c>
    </x:row>
    <x:row r="255" ht="15" customHeight="1">
      <x:c r="A255" s="31" t="s">
        <x:v>1382</x:v>
      </x:c>
      <x:c r="B255" s="31" t="s">
        <x:v>1383</x:v>
      </x:c>
      <x:c r="C255" s="31" t="s">
        <x:v>1360</x:v>
      </x:c>
      <x:c r="D255" s="32" t="s">
        <x:v>760</x:v>
      </x:c>
      <x:c r="E255" s="32" t="str">
        <x:v>Functional Migration Only</x:v>
      </x:c>
      <x:c r="F255" s="33" t="s">
        <x:v>118</x:v>
      </x:c>
      <x:c r="G255" s="34" t="s">
        <x:v>1361</x:v>
      </x:c>
      <x:c r="H255" s="33" t="s">
        <x:v>87</x:v>
      </x:c>
      <x:c r="I255" s="33" t="s">
        <x:v>1362</x:v>
      </x:c>
      <x:c r="J255" s="33" t="s">
        <x:v>82</x:v>
      </x:c>
      <x:c r="K255" s="33" t="s">
        <x:v>56</x:v>
      </x:c>
      <x:c r="L255" s="33" t="s">
        <x:v>73</x:v>
      </x:c>
      <x:c r="M255" s="35">
        <x:v>8</x:v>
      </x:c>
      <x:c r="N255" s="35">
        <x:v>104350</x:v>
      </x:c>
      <x:c r="O255" s="33" t="s">
        <x:v>98</x:v>
      </x:c>
      <x:c r="P255" s="33" t="s">
        <x:v>73</x:v>
      </x:c>
      <x:c r="Q255" s="33" t="s">
        <x:v>118</x:v>
      </x:c>
      <x:c r="R255" s="33" t="s">
        <x:v>73</x:v>
      </x:c>
      <x:c r="S255" s="31" t="s">
        <x:v>363</x:v>
      </x:c>
      <x:c r="T255" s="31" t="s">
        <x:v>364</x:v>
      </x:c>
      <x:c r="U255" s="31" t="s">
        <x:v>276</x:v>
      </x:c>
      <x:c r="V255" s="33" t="s">
        <x:v>277</x:v>
      </x:c>
      <x:c r="W255" s="33"/>
      <x:c r="X255" s="33" t="s">
        <x:v>238</x:v>
      </x:c>
      <x:c r="Y255" s="36"/>
      <x:c r="Z255" s="36"/>
      <x:c r="AA255" s="33" t="s">
        <x:v>120</x:v>
      </x:c>
      <x:c r="AB255" s="37" t="n">
        <x:f>IFERROR(INDEX(Effort_Model!$J$6:$J$33,MATCH(K255&amp;"|"&amp;L255,Effort_Model!$B$6:$B$33,0)),"")</x:f>
        <x:v>18.4</x:v>
      </x:c>
      <x:c r="AC255" s="38">
        <x:v>131.4</x:v>
      </x:c>
      <x:c r="AD255" s="37">
        <x:f t="shared" si="3"/>
        <x:v>160.4</x:v>
      </x:c>
      <x:c r="AE255" s="37" t="n">
        <x:f>IFERROR(ROUND(IFERROR(INDEX(Scoring_Rules!$C$43:$C$44,MATCH(Q255,Scoring_Rules!$B$43:$B$44,0)),0)*Scoring_Rules!$C$6+IFERROR(INDEX(Scoring_Rules!$C$34:$C$40,MATCH(K255,Scoring_Rules!$B$34:$B$40,0)),0)*Scoring_Rules!$C$7+IFERROR(INDEX(Scoring_Rules!$C$16:$C$19,MATCH(P255,Scoring_Rules!$B$16:$B$19,0)),0)*Scoring_Rules!$C$8+IFERROR(INDEX(Scoring_Rules!$C$22:$C$25,MATCH(O255,Scoring_Rules!$B$22:$B$25,0)),0)*Scoring_Rules!$C$9+IFERROR(INDEX(Scoring_Rules!$C$47:$C$50,MATCH(X255,Scoring_Rules!$B$47:$B$50,0)),0)*Scoring_Rules!$C$10+IFERROR(INDEX(Scoring_Rules!$C$28:$C$31,MATCH(R255,Scoring_Rules!$B$28:$B$31,0)),0)*Scoring_Rules!$C$11,1),"")</x:f>
        <x:v>92.5</x:v>
      </x:c>
      <x:c r="AF255" s="35">
        <x:v>1</x:v>
      </x:c>
      <x:c r="AG255" s="33" t="s">
        <x:v>1365</x:v>
      </x:c>
      <x:c r="AH255" s="36">
        <x:v>46306</x:v>
      </x:c>
      <x:c r="AI255" s="33" t="s">
        <x:v>127</x:v>
      </x:c>
      <x:c r="AJ255" s="34" t="s">
        <x:v>383</x:v>
      </x:c>
    </x:row>
    <x:row r="256" ht="15" customHeight="1">
      <x:c r="A256" s="31" t="s">
        <x:v>1384</x:v>
      </x:c>
      <x:c r="B256" s="31" t="s">
        <x:v>1385</x:v>
      </x:c>
      <x:c r="C256" s="31" t="s">
        <x:v>1360</x:v>
      </x:c>
      <x:c r="D256" s="32" t="s">
        <x:v>760</x:v>
      </x:c>
      <x:c r="E256" s="32" t="str">
        <x:v>Data Migration Only</x:v>
      </x:c>
      <x:c r="F256" s="33" t="s">
        <x:v>120</x:v>
      </x:c>
      <x:c r="G256" s="34" t="s">
        <x:v>1386</x:v>
      </x:c>
      <x:c r="H256" s="33" t="s">
        <x:v>87</x:v>
      </x:c>
      <x:c r="I256" s="33" t="s">
        <x:v>1362</x:v>
      </x:c>
      <x:c r="J256" s="33" t="s">
        <x:v>80</x:v>
      </x:c>
      <x:c r="K256" s="33" t="s">
        <x:v>62</x:v>
      </x:c>
      <x:c r="L256" s="33" t="s">
        <x:v>71</x:v>
      </x:c>
      <x:c r="M256" s="35">
        <x:v>71</x:v>
      </x:c>
      <x:c r="N256" s="35">
        <x:v>107809271</x:v>
      </x:c>
      <x:c r="O256" s="33" t="s">
        <x:v>103</x:v>
      </x:c>
      <x:c r="P256" s="33" t="s">
        <x:v>98</x:v>
      </x:c>
      <x:c r="Q256" s="33" t="s">
        <x:v>120</x:v>
      </x:c>
      <x:c r="R256" s="33" t="s">
        <x:v>73</x:v>
      </x:c>
      <x:c r="S256" s="31" t="s">
        <x:v>1387</x:v>
      </x:c>
      <x:c r="T256" s="31" t="s">
        <x:v>1388</x:v>
      </x:c>
      <x:c r="U256" s="31" t="s">
        <x:v>276</x:v>
      </x:c>
      <x:c r="V256" s="33" t="s">
        <x:v>277</x:v>
      </x:c>
      <x:c r="W256" s="33" t="s">
        <x:v>1389</x:v>
      </x:c>
      <x:c r="X256" s="33" t="s">
        <x:v>240</x:v>
      </x:c>
      <x:c r="Y256" s="36"/>
      <x:c r="Z256" s="36">
        <x:v>46874</x:v>
      </x:c>
      <x:c r="AA256" s="33" t="s">
        <x:v>120</x:v>
      </x:c>
      <x:c r="AB256" s="37" t="n">
        <x:f>IFERROR(INDEX(Effort_Model!$J$6:$J$33,MATCH(K256&amp;"|"&amp;L256,Effort_Model!$B$6:$B$33,0)),"")</x:f>
        <x:v>18.4</x:v>
      </x:c>
      <x:c r="AC256" s="38">
        <x:v>325.5</x:v>
      </x:c>
      <x:c r="AD256" s="37">
        <x:f t="shared" si="3"/>
        <x:v>399.9</x:v>
      </x:c>
      <x:c r="AE256" s="37" t="n">
        <x:f>IFERROR(ROUND(IFERROR(INDEX(Scoring_Rules!$C$43:$C$44,MATCH(Q256,Scoring_Rules!$B$43:$B$44,0)),0)*Scoring_Rules!$C$6+IFERROR(INDEX(Scoring_Rules!$C$34:$C$40,MATCH(K256,Scoring_Rules!$B$34:$B$40,0)),0)*Scoring_Rules!$C$7+IFERROR(INDEX(Scoring_Rules!$C$16:$C$19,MATCH(P256,Scoring_Rules!$B$16:$B$19,0)),0)*Scoring_Rules!$C$8+IFERROR(INDEX(Scoring_Rules!$C$22:$C$25,MATCH(O256,Scoring_Rules!$B$22:$B$25,0)),0)*Scoring_Rules!$C$9+IFERROR(INDEX(Scoring_Rules!$C$47:$C$50,MATCH(X256,Scoring_Rules!$B$47:$B$50,0)),0)*Scoring_Rules!$C$10+IFERROR(INDEX(Scoring_Rules!$C$28:$C$31,MATCH(R256,Scoring_Rules!$B$28:$B$31,0)),0)*Scoring_Rules!$C$11,1),"")</x:f>
        <x:v>39</x:v>
      </x:c>
      <x:c r="AF256" s="35">
        <x:v>3</x:v>
      </x:c>
      <x:c r="AG256" s="33" t="s">
        <x:v>1371</x:v>
      </x:c>
      <x:c r="AH256" s="36">
        <x:v>46404</x:v>
      </x:c>
      <x:c r="AI256" s="33" t="s">
        <x:v>127</x:v>
      </x:c>
      <x:c r="AJ256" s="34"/>
    </x:row>
    <x:row r="257" ht="15" customHeight="1">
      <x:c r="A257" s="31" t="s">
        <x:v>1390</x:v>
      </x:c>
      <x:c r="B257" s="31" t="s">
        <x:v>1391</x:v>
      </x:c>
      <x:c r="C257" s="31" t="s">
        <x:v>1360</x:v>
      </x:c>
      <x:c r="D257" s="32" t="s">
        <x:v>1374</x:v>
      </x:c>
      <x:c r="E257" s="32" t="str">
        <x:v>Data Migration Only</x:v>
      </x:c>
      <x:c r="F257" s="33" t="s">
        <x:v>118</x:v>
      </x:c>
      <x:c r="G257" s="34" t="s">
        <x:v>1380</x:v>
      </x:c>
      <x:c r="H257" s="33" t="s">
        <x:v>87</x:v>
      </x:c>
      <x:c r="I257" s="33" t="s">
        <x:v>1362</x:v>
      </x:c>
      <x:c r="J257" s="33" t="s">
        <x:v>80</x:v>
      </x:c>
      <x:c r="K257" s="33" t="s">
        <x:v>64</x:v>
      </x:c>
      <x:c r="L257" s="33" t="s">
        <x:v>71</x:v>
      </x:c>
      <x:c r="M257" s="35">
        <x:v>135</x:v>
      </x:c>
      <x:c r="N257" s="35">
        <x:v>634545789</x:v>
      </x:c>
      <x:c r="O257" s="33" t="s">
        <x:v>101</x:v>
      </x:c>
      <x:c r="P257" s="33" t="s">
        <x:v>98</x:v>
      </x:c>
      <x:c r="Q257" s="33" t="s">
        <x:v>120</x:v>
      </x:c>
      <x:c r="R257" s="33" t="s">
        <x:v>101</x:v>
      </x:c>
      <x:c r="S257" s="31" t="s">
        <x:v>1375</x:v>
      </x:c>
      <x:c r="T257" s="31" t="s">
        <x:v>1376</x:v>
      </x:c>
      <x:c r="U257" s="31" t="s">
        <x:v>522</x:v>
      </x:c>
      <x:c r="V257" s="33" t="s">
        <x:v>329</x:v>
      </x:c>
      <x:c r="W257" s="33" t="s">
        <x:v>1392</x:v>
      </x:c>
      <x:c r="X257" s="33" t="s">
        <x:v>240</x:v>
      </x:c>
      <x:c r="Y257" s="36"/>
      <x:c r="Z257" s="36"/>
      <x:c r="AA257" s="33" t="s">
        <x:v>120</x:v>
      </x:c>
      <x:c r="AB257" s="37" t="n">
        <x:f>IFERROR(INDEX(Effort_Model!$J$6:$J$33,MATCH(K257&amp;"|"&amp;L257,Effort_Model!$B$6:$B$33,0)),"")</x:f>
        <x:v>18.4</x:v>
      </x:c>
      <x:c r="AC257" s="38">
        <x:v>625.4</x:v>
      </x:c>
      <x:c r="AD257" s="37">
        <x:f t="shared" si="3"/>
        <x:v>731.8</x:v>
      </x:c>
      <x:c r="AE257" s="37" t="n">
        <x:f>IFERROR(ROUND(IFERROR(INDEX(Scoring_Rules!$C$43:$C$44,MATCH(Q257,Scoring_Rules!$B$43:$B$44,0)),0)*Scoring_Rules!$C$6+IFERROR(INDEX(Scoring_Rules!$C$34:$C$40,MATCH(K257,Scoring_Rules!$B$34:$B$40,0)),0)*Scoring_Rules!$C$7+IFERROR(INDEX(Scoring_Rules!$C$16:$C$19,MATCH(P257,Scoring_Rules!$B$16:$B$19,0)),0)*Scoring_Rules!$C$8+IFERROR(INDEX(Scoring_Rules!$C$22:$C$25,MATCH(O257,Scoring_Rules!$B$22:$B$25,0)),0)*Scoring_Rules!$C$9+IFERROR(INDEX(Scoring_Rules!$C$47:$C$50,MATCH(X257,Scoring_Rules!$B$47:$B$50,0)),0)*Scoring_Rules!$C$10+IFERROR(INDEX(Scoring_Rules!$C$28:$C$31,MATCH(R257,Scoring_Rules!$B$28:$B$31,0)),0)*Scoring_Rules!$C$11,1),"")</x:f>
        <x:v>38.5</x:v>
      </x:c>
      <x:c r="AF257" s="35">
        <x:v>3</x:v>
      </x:c>
      <x:c r="AG257" s="33" t="s">
        <x:v>1377</x:v>
      </x:c>
      <x:c r="AH257" s="36">
        <x:v>46377</x:v>
      </x:c>
      <x:c r="AI257" s="33" t="s">
        <x:v>125</x:v>
      </x:c>
      <x:c r="AJ257" s="34" t="s">
        <x:v>336</x:v>
      </x:c>
    </x:row>
    <x:row r="258" ht="15" customHeight="1">
      <x:c r="A258" s="31" t="s">
        <x:v>1393</x:v>
      </x:c>
      <x:c r="B258" s="31" t="s">
        <x:v>1394</x:v>
      </x:c>
      <x:c r="C258" s="31" t="s">
        <x:v>1360</x:v>
      </x:c>
      <x:c r="D258" s="32" t="s">
        <x:v>1395</x:v>
      </x:c>
      <x:c r="E258" s="32" t="str">
        <x:v>Functional Migration Only</x:v>
      </x:c>
      <x:c r="F258" s="33" t="s">
        <x:v>118</x:v>
      </x:c>
      <x:c r="G258" s="34" t="s">
        <x:v>1368</x:v>
      </x:c>
      <x:c r="H258" s="33" t="s">
        <x:v>87</x:v>
      </x:c>
      <x:c r="I258" s="33" t="s">
        <x:v>1362</x:v>
      </x:c>
      <x:c r="J258" s="33" t="s">
        <x:v>82</x:v>
      </x:c>
      <x:c r="K258" s="33" t="s">
        <x:v>62</x:v>
      </x:c>
      <x:c r="L258" s="33" t="s">
        <x:v>75</x:v>
      </x:c>
      <x:c r="M258" s="35">
        <x:v>54</x:v>
      </x:c>
      <x:c r="N258" s="35">
        <x:v>111428998</x:v>
      </x:c>
      <x:c r="O258" s="33" t="s">
        <x:v>103</x:v>
      </x:c>
      <x:c r="P258" s="33" t="s">
        <x:v>101</x:v>
      </x:c>
      <x:c r="Q258" s="33" t="s">
        <x:v>120</x:v>
      </x:c>
      <x:c r="R258" s="33" t="s">
        <x:v>101</x:v>
      </x:c>
      <x:c r="S258" s="31" t="s">
        <x:v>1396</x:v>
      </x:c>
      <x:c r="T258" s="31" t="s">
        <x:v>1397</x:v>
      </x:c>
      <x:c r="U258" s="31" t="s">
        <x:v>522</x:v>
      </x:c>
      <x:c r="V258" s="33" t="s">
        <x:v>303</x:v>
      </x:c>
      <x:c r="W258" s="33" t="s">
        <x:v>1358</x:v>
      </x:c>
      <x:c r="X258" s="33" t="s">
        <x:v>239</x:v>
      </x:c>
      <x:c r="Y258" s="36">
        <x:v>46402</x:v>
      </x:c>
      <x:c r="Z258" s="36"/>
      <x:c r="AA258" s="33" t="s">
        <x:v>120</x:v>
      </x:c>
      <x:c r="AB258" s="37" t="n">
        <x:f>IFERROR(INDEX(Effort_Model!$J$6:$J$33,MATCH(K258&amp;"|"&amp;L258,Effort_Model!$B$6:$B$33,0)),"")</x:f>
        <x:v>74.4</x:v>
      </x:c>
      <x:c r="AC258" s="38">
        <x:v>1096.5</x:v>
      </x:c>
      <x:c r="AD258" s="37" t="n">
        <x:f t="shared" ref="AD258:AD321" si="4">IFERROR(AB258+N(AC258),"")</x:f>
        <x:v>1170.9</x:v>
      </x:c>
      <x:c r="AE258" s="37" t="n">
        <x:f>IFERROR(ROUND(IFERROR(INDEX(Scoring_Rules!$C$43:$C$44,MATCH(Q258,Scoring_Rules!$B$43:$B$44,0)),0)*Scoring_Rules!$C$6+IFERROR(INDEX(Scoring_Rules!$C$34:$C$40,MATCH(K258,Scoring_Rules!$B$34:$B$40,0)),0)*Scoring_Rules!$C$7+IFERROR(INDEX(Scoring_Rules!$C$16:$C$19,MATCH(P258,Scoring_Rules!$B$16:$B$19,0)),0)*Scoring_Rules!$C$8+IFERROR(INDEX(Scoring_Rules!$C$22:$C$25,MATCH(O258,Scoring_Rules!$B$22:$B$25,0)),0)*Scoring_Rules!$C$9+IFERROR(INDEX(Scoring_Rules!$C$47:$C$50,MATCH(X258,Scoring_Rules!$B$47:$B$50,0)),0)*Scoring_Rules!$C$10+IFERROR(INDEX(Scoring_Rules!$C$28:$C$31,MATCH(R258,Scoring_Rules!$B$28:$B$31,0)),0)*Scoring_Rules!$C$11,1),"")</x:f>
        <x:v>30.3</x:v>
      </x:c>
      <x:c r="AF258" s="35">
        <x:v>8</x:v>
      </x:c>
      <x:c r="AG258" s="33" t="s">
        <x:v>1381</x:v>
      </x:c>
      <x:c r="AH258" s="36">
        <x:v>46342</x:v>
      </x:c>
      <x:c r="AI258" s="33" t="s">
        <x:v>127</x:v>
      </x:c>
      <x:c r="AJ258" s="34" t="s">
        <x:v>312</x:v>
      </x:c>
    </x:row>
    <x:row r="259" ht="15" customHeight="1">
      <x:c r="A259" s="31" t="s">
        <x:v>1398</x:v>
      </x:c>
      <x:c r="B259" s="31" t="s">
        <x:v>1399</x:v>
      </x:c>
      <x:c r="C259" s="31" t="s">
        <x:v>1360</x:v>
      </x:c>
      <x:c r="D259" s="32" t="s">
        <x:v>1374</x:v>
      </x:c>
      <x:c r="E259" s="32" t="str">
        <x:v>Data Migration Only</x:v>
      </x:c>
      <x:c r="F259" s="33" t="s">
        <x:v>118</x:v>
      </x:c>
      <x:c r="G259" s="34" t="s">
        <x:v>1386</x:v>
      </x:c>
      <x:c r="H259" s="33" t="s">
        <x:v>87</x:v>
      </x:c>
      <x:c r="I259" s="33" t="s">
        <x:v>1362</x:v>
      </x:c>
      <x:c r="J259" s="33" t="s">
        <x:v>80</x:v>
      </x:c>
      <x:c r="K259" s="33" t="s">
        <x:v>56</x:v>
      </x:c>
      <x:c r="L259" s="33" t="s">
        <x:v>73</x:v>
      </x:c>
      <x:c r="M259" s="35">
        <x:v>7</x:v>
      </x:c>
      <x:c r="N259" s="35">
        <x:v>75441</x:v>
      </x:c>
      <x:c r="O259" s="33" t="s">
        <x:v>98</x:v>
      </x:c>
      <x:c r="P259" s="33" t="s">
        <x:v>101</x:v>
      </x:c>
      <x:c r="Q259" s="33" t="s">
        <x:v>120</x:v>
      </x:c>
      <x:c r="R259" s="33" t="s">
        <x:v>101</x:v>
      </x:c>
      <x:c r="S259" s="31" t="s">
        <x:v>630</x:v>
      </x:c>
      <x:c r="T259" s="31" t="s">
        <x:v>1400</x:v>
      </x:c>
      <x:c r="U259" s="31" t="s">
        <x:v>522</x:v>
      </x:c>
      <x:c r="V259" s="33" t="s">
        <x:v>303</x:v>
      </x:c>
      <x:c r="W259" s="33"/>
      <x:c r="X259" s="33" t="s">
        <x:v>238</x:v>
      </x:c>
      <x:c r="Y259" s="36"/>
      <x:c r="Z259" s="36"/>
      <x:c r="AA259" s="33" t="s">
        <x:v>120</x:v>
      </x:c>
      <x:c r="AB259" s="37" t="n">
        <x:f>IFERROR(INDEX(Effort_Model!$J$6:$J$33,MATCH(K259&amp;"|"&amp;L259,Effort_Model!$B$6:$B$33,0)),"")</x:f>
        <x:v>18.4</x:v>
      </x:c>
      <x:c r="AC259" s="38">
        <x:v>75.099999999999994</x:v>
      </x:c>
      <x:c r="AD259" s="37">
        <x:f t="shared" si="4"/>
        <x:v>104.1</x:v>
      </x:c>
      <x:c r="AE259" s="37" t="n">
        <x:f>IFERROR(ROUND(IFERROR(INDEX(Scoring_Rules!$C$43:$C$44,MATCH(Q259,Scoring_Rules!$B$43:$B$44,0)),0)*Scoring_Rules!$C$6+IFERROR(INDEX(Scoring_Rules!$C$34:$C$40,MATCH(K259,Scoring_Rules!$B$34:$B$40,0)),0)*Scoring_Rules!$C$7+IFERROR(INDEX(Scoring_Rules!$C$16:$C$19,MATCH(P259,Scoring_Rules!$B$16:$B$19,0)),0)*Scoring_Rules!$C$8+IFERROR(INDEX(Scoring_Rules!$C$22:$C$25,MATCH(O259,Scoring_Rules!$B$22:$B$25,0)),0)*Scoring_Rules!$C$9+IFERROR(INDEX(Scoring_Rules!$C$47:$C$50,MATCH(X259,Scoring_Rules!$B$47:$B$50,0)),0)*Scoring_Rules!$C$10+IFERROR(INDEX(Scoring_Rules!$C$28:$C$31,MATCH(R259,Scoring_Rules!$B$28:$B$31,0)),0)*Scoring_Rules!$C$11,1),"")</x:f>
        <x:v>58.8</x:v>
      </x:c>
      <x:c r="AF259" s="35">
        <x:v>3</x:v>
      </x:c>
      <x:c r="AG259" s="33" t="s">
        <x:v>1365</x:v>
      </x:c>
      <x:c r="AH259" s="36">
        <x:v>46386</x:v>
      </x:c>
      <x:c r="AI259" s="33" t="s">
        <x:v>126</x:v>
      </x:c>
      <x:c r="AJ259" s="34" t="s">
        <x:v>395</x:v>
      </x:c>
    </x:row>
    <x:row r="260" ht="15" customHeight="1">
      <x:c r="A260" s="31" t="s">
        <x:v>1401</x:v>
      </x:c>
      <x:c r="B260" s="31" t="s">
        <x:v>1402</x:v>
      </x:c>
      <x:c r="C260" s="31" t="s">
        <x:v>1360</x:v>
      </x:c>
      <x:c r="D260" s="32" t="s">
        <x:v>799</x:v>
      </x:c>
      <x:c r="E260" s="32" t="str">
        <x:v>Functional Migration Only</x:v>
      </x:c>
      <x:c r="F260" s="33" t="s">
        <x:v>118</x:v>
      </x:c>
      <x:c r="G260" s="34" t="s">
        <x:v>1380</x:v>
      </x:c>
      <x:c r="H260" s="33" t="s">
        <x:v>87</x:v>
      </x:c>
      <x:c r="I260" s="33" t="s">
        <x:v>1362</x:v>
      </x:c>
      <x:c r="J260" s="33" t="s">
        <x:v>82</x:v>
      </x:c>
      <x:c r="K260" s="33" t="s">
        <x:v>64</x:v>
      </x:c>
      <x:c r="L260" s="33" t="s">
        <x:v>75</x:v>
      </x:c>
      <x:c r="M260" s="35">
        <x:v>136</x:v>
      </x:c>
      <x:c r="N260" s="35">
        <x:v>655386288</x:v>
      </x:c>
      <x:c r="O260" s="33" t="s">
        <x:v>103</x:v>
      </x:c>
      <x:c r="P260" s="33" t="s">
        <x:v>101</x:v>
      </x:c>
      <x:c r="Q260" s="33" t="s">
        <x:v>120</x:v>
      </x:c>
      <x:c r="R260" s="33" t="s">
        <x:v>115</x:v>
      </x:c>
      <x:c r="S260" s="31" t="s">
        <x:v>488</x:v>
      </x:c>
      <x:c r="T260" s="31" t="s">
        <x:v>591</x:v>
      </x:c>
      <x:c r="U260" s="31" t="s">
        <x:v>522</x:v>
      </x:c>
      <x:c r="V260" s="33" t="s">
        <x:v>365</x:v>
      </x:c>
      <x:c r="W260" s="33" t="s">
        <x:v>1384</x:v>
      </x:c>
      <x:c r="X260" s="33" t="s">
        <x:v>239</x:v>
      </x:c>
      <x:c r="Y260" s="36"/>
      <x:c r="Z260" s="36"/>
      <x:c r="AA260" s="33" t="s">
        <x:v>118</x:v>
      </x:c>
      <x:c r="AB260" s="37" t="n">
        <x:f>IFERROR(INDEX(Effort_Model!$J$6:$J$33,MATCH(K260&amp;"|"&amp;L260,Effort_Model!$B$6:$B$33,0)),"")</x:f>
        <x:v>106.4</x:v>
      </x:c>
      <x:c r="AC260" s="38">
        <x:v>1773.9</x:v>
      </x:c>
      <x:c r="AD260" s="37">
        <x:f t="shared" si="4"/>
        <x:v>2079.2332999999999</x:v>
      </x:c>
      <x:c r="AE260" s="37" t="n">
        <x:f>IFERROR(ROUND(IFERROR(INDEX(Scoring_Rules!$C$43:$C$44,MATCH(Q260,Scoring_Rules!$B$43:$B$44,0)),0)*Scoring_Rules!$C$6+IFERROR(INDEX(Scoring_Rules!$C$34:$C$40,MATCH(K260,Scoring_Rules!$B$34:$B$40,0)),0)*Scoring_Rules!$C$7+IFERROR(INDEX(Scoring_Rules!$C$16:$C$19,MATCH(P260,Scoring_Rules!$B$16:$B$19,0)),0)*Scoring_Rules!$C$8+IFERROR(INDEX(Scoring_Rules!$C$22:$C$25,MATCH(O260,Scoring_Rules!$B$22:$B$25,0)),0)*Scoring_Rules!$C$9+IFERROR(INDEX(Scoring_Rules!$C$47:$C$50,MATCH(X260,Scoring_Rules!$B$47:$B$50,0)),0)*Scoring_Rules!$C$10+IFERROR(INDEX(Scoring_Rules!$C$28:$C$31,MATCH(R260,Scoring_Rules!$B$28:$B$31,0)),0)*Scoring_Rules!$C$11,1),"")</x:f>
        <x:v>24.5</x:v>
      </x:c>
      <x:c r="AF260" s="35"/>
      <x:c r="AG260" s="33" t="s">
        <x:v>1371</x:v>
      </x:c>
      <x:c r="AH260" s="36">
        <x:v>46308</x:v>
      </x:c>
      <x:c r="AI260" s="33" t="s">
        <x:v>124</x:v>
      </x:c>
      <x:c r="AJ260" s="34" t="s">
        <x:v>383</x:v>
      </x:c>
    </x:row>
    <x:row r="261" ht="15" customHeight="1">
      <x:c r="A261" s="31" t="s">
        <x:v>1403</x:v>
      </x:c>
      <x:c r="B261" s="31" t="s">
        <x:v>1404</x:v>
      </x:c>
      <x:c r="C261" s="31" t="s">
        <x:v>1360</x:v>
      </x:c>
      <x:c r="D261" s="32" t="s">
        <x:v>760</x:v>
      </x:c>
      <x:c r="E261" s="32" t="str">
        <x:v>Functional Migration Only</x:v>
      </x:c>
      <x:c r="F261" s="33" t="s">
        <x:v>118</x:v>
      </x:c>
      <x:c r="G261" s="34" t="s">
        <x:v>1380</x:v>
      </x:c>
      <x:c r="H261" s="33" t="s">
        <x:v>87</x:v>
      </x:c>
      <x:c r="I261" s="33" t="s">
        <x:v>1362</x:v>
      </x:c>
      <x:c r="J261" s="33" t="s">
        <x:v>82</x:v>
      </x:c>
      <x:c r="K261" s="33" t="s">
        <x:v>64</x:v>
      </x:c>
      <x:c r="L261" s="33" t="s">
        <x:v>73</x:v>
      </x:c>
      <x:c r="M261" s="35">
        <x:v>123</x:v>
      </x:c>
      <x:c r="N261" s="35">
        <x:v>1126510847</x:v>
      </x:c>
      <x:c r="O261" s="33" t="s">
        <x:v>103</x:v>
      </x:c>
      <x:c r="P261" s="33" t="s">
        <x:v>73</x:v>
      </x:c>
      <x:c r="Q261" s="33" t="s">
        <x:v>120</x:v>
      </x:c>
      <x:c r="R261" s="33" t="s">
        <x:v>101</x:v>
      </x:c>
      <x:c r="S261" s="31" t="s">
        <x:v>1405</x:v>
      </x:c>
      <x:c r="T261" s="31" t="s">
        <x:v>1406</x:v>
      </x:c>
      <x:c r="U261" s="31" t="s">
        <x:v>522</x:v>
      </x:c>
      <x:c r="V261" s="33" t="s">
        <x:v>347</x:v>
      </x:c>
      <x:c r="W261" s="33"/>
      <x:c r="X261" s="33" t="s">
        <x:v>238</x:v>
      </x:c>
      <x:c r="Y261" s="36">
        <x:v>46507</x:v>
      </x:c>
      <x:c r="Z261" s="36">
        <x:v>46811</x:v>
      </x:c>
      <x:c r="AA261" s="33" t="s">
        <x:v>120</x:v>
      </x:c>
      <x:c r="AB261" s="37" t="n">
        <x:f>IFERROR(INDEX(Effort_Model!$J$6:$J$33,MATCH(K261&amp;"|"&amp;L261,Effort_Model!$B$6:$B$33,0)),"")</x:f>
        <x:v>106.4</x:v>
      </x:c>
      <x:c r="AC261" s="38">
        <x:v>1172.3</x:v>
      </x:c>
      <x:c r="AD261" s="37">
        <x:f t="shared" si="4"/>
        <x:v>1377.3</x:v>
      </x:c>
      <x:c r="AE261" s="37" t="n">
        <x:f>IFERROR(ROUND(IFERROR(INDEX(Scoring_Rules!$C$43:$C$44,MATCH(Q261,Scoring_Rules!$B$43:$B$44,0)),0)*Scoring_Rules!$C$6+IFERROR(INDEX(Scoring_Rules!$C$34:$C$40,MATCH(K261,Scoring_Rules!$B$34:$B$40,0)),0)*Scoring_Rules!$C$7+IFERROR(INDEX(Scoring_Rules!$C$16:$C$19,MATCH(P261,Scoring_Rules!$B$16:$B$19,0)),0)*Scoring_Rules!$C$8+IFERROR(INDEX(Scoring_Rules!$C$22:$C$25,MATCH(O261,Scoring_Rules!$B$22:$B$25,0)),0)*Scoring_Rules!$C$9+IFERROR(INDEX(Scoring_Rules!$C$47:$C$50,MATCH(X261,Scoring_Rules!$B$47:$B$50,0)),0)*Scoring_Rules!$C$10+IFERROR(INDEX(Scoring_Rules!$C$28:$C$31,MATCH(R261,Scoring_Rules!$B$28:$B$31,0)),0)*Scoring_Rules!$C$11,1),"")</x:f>
        <x:v>37.8</x:v>
      </x:c>
      <x:c r="AF261" s="35">
        <x:v>5</x:v>
      </x:c>
      <x:c r="AG261" s="33" t="s">
        <x:v>1377</x:v>
      </x:c>
      <x:c r="AH261" s="36">
        <x:v>46338</x:v>
      </x:c>
      <x:c r="AI261" s="33" t="s">
        <x:v>127</x:v>
      </x:c>
      <x:c r="AJ261" s="34" t="s">
        <x:v>342</x:v>
      </x:c>
    </x:row>
    <x:row r="262" ht="15" customHeight="1">
      <x:c r="A262" s="31" t="s">
        <x:v>1407</x:v>
      </x:c>
      <x:c r="B262" s="31" t="s">
        <x:v>1408</x:v>
      </x:c>
      <x:c r="C262" s="31" t="s">
        <x:v>1360</x:v>
      </x:c>
      <x:c r="D262" s="32" t="s">
        <x:v>320</x:v>
      </x:c>
      <x:c r="E262" s="32" t="str">
        <x:v>Data Migration Only</x:v>
      </x:c>
      <x:c r="F262" s="33" t="s">
        <x:v>118</x:v>
      </x:c>
      <x:c r="G262" s="34" t="s">
        <x:v>1368</x:v>
      </x:c>
      <x:c r="H262" s="33" t="s">
        <x:v>87</x:v>
      </x:c>
      <x:c r="I262" s="33" t="s">
        <x:v>1362</x:v>
      </x:c>
      <x:c r="J262" s="33" t="s">
        <x:v>80</x:v>
      </x:c>
      <x:c r="K262" s="33" t="s">
        <x:v>58</x:v>
      </x:c>
      <x:c r="L262" s="33" t="s">
        <x:v>73</x:v>
      </x:c>
      <x:c r="M262" s="35">
        <x:v>11</x:v>
      </x:c>
      <x:c r="N262" s="35">
        <x:v>1277790</x:v>
      </x:c>
      <x:c r="O262" s="33" t="s">
        <x:v>73</x:v>
      </x:c>
      <x:c r="P262" s="33" t="s">
        <x:v>73</x:v>
      </x:c>
      <x:c r="Q262" s="33" t="s">
        <x:v>118</x:v>
      </x:c>
      <x:c r="R262" s="33" t="s">
        <x:v>98</x:v>
      </x:c>
      <x:c r="S262" s="31" t="s">
        <x:v>899</x:v>
      </x:c>
      <x:c r="T262" s="31" t="s">
        <x:v>1409</x:v>
      </x:c>
      <x:c r="U262" s="31" t="s">
        <x:v>522</x:v>
      </x:c>
      <x:c r="V262" s="33" t="s">
        <x:v>365</x:v>
      </x:c>
      <x:c r="W262" s="33"/>
      <x:c r="X262" s="33" t="s">
        <x:v>238</x:v>
      </x:c>
      <x:c r="Y262" s="36"/>
      <x:c r="Z262" s="36"/>
      <x:c r="AA262" s="33" t="s">
        <x:v>120</x:v>
      </x:c>
      <x:c r="AB262" s="37" t="n">
        <x:f>IFERROR(INDEX(Effort_Model!$J$6:$J$33,MATCH(K262&amp;"|"&amp;L262,Effort_Model!$B$6:$B$33,0)),"")</x:f>
        <x:v>26.4</x:v>
      </x:c>
      <x:c r="AC262" s="38">
        <x:v>161.80000000000001</x:v>
      </x:c>
      <x:c r="AD262" s="37">
        <x:f t="shared" si="4"/>
        <x:v>206.8</x:v>
      </x:c>
      <x:c r="AE262" s="37" t="n">
        <x:f>IFERROR(ROUND(IFERROR(INDEX(Scoring_Rules!$C$43:$C$44,MATCH(Q262,Scoring_Rules!$B$43:$B$44,0)),0)*Scoring_Rules!$C$6+IFERROR(INDEX(Scoring_Rules!$C$34:$C$40,MATCH(K262,Scoring_Rules!$B$34:$B$40,0)),0)*Scoring_Rules!$C$7+IFERROR(INDEX(Scoring_Rules!$C$16:$C$19,MATCH(P262,Scoring_Rules!$B$16:$B$19,0)),0)*Scoring_Rules!$C$8+IFERROR(INDEX(Scoring_Rules!$C$22:$C$25,MATCH(O262,Scoring_Rules!$B$22:$B$25,0)),0)*Scoring_Rules!$C$9+IFERROR(INDEX(Scoring_Rules!$C$47:$C$50,MATCH(X262,Scoring_Rules!$B$47:$B$50,0)),0)*Scoring_Rules!$C$10+IFERROR(INDEX(Scoring_Rules!$C$28:$C$31,MATCH(R262,Scoring_Rules!$B$28:$B$31,0)),0)*Scoring_Rules!$C$11,1),"")</x:f>
        <x:v>87.5</x:v>
      </x:c>
      <x:c r="AF262" s="35">
        <x:v>1</x:v>
      </x:c>
      <x:c r="AG262" s="33" t="s">
        <x:v>1381</x:v>
      </x:c>
      <x:c r="AH262" s="36">
        <x:v>46366</x:v>
      </x:c>
      <x:c r="AI262" s="33" t="s">
        <x:v>126</x:v>
      </x:c>
      <x:c r="AJ262" s="34" t="s">
        <x:v>445</x:v>
      </x:c>
    </x:row>
    <x:row r="263" ht="23.25" customHeight="1">
      <x:c r="A263" s="31" t="s">
        <x:v>1410</x:v>
      </x:c>
      <x:c r="B263" s="31" t="s">
        <x:v>1411</x:v>
      </x:c>
      <x:c r="C263" s="31" t="s">
        <x:v>1360</x:v>
      </x:c>
      <x:c r="D263" s="32" t="s">
        <x:v>1412</x:v>
      </x:c>
      <x:c r="E263" s="32" t="str">
        <x:v>Data Migration Only</x:v>
      </x:c>
      <x:c r="F263" s="33" t="s">
        <x:v>118</x:v>
      </x:c>
      <x:c r="G263" s="34" t="s">
        <x:v>1386</x:v>
      </x:c>
      <x:c r="H263" s="33" t="s">
        <x:v>87</x:v>
      </x:c>
      <x:c r="I263" s="33" t="s">
        <x:v>1362</x:v>
      </x:c>
      <x:c r="J263" s="33" t="s">
        <x:v>80</x:v>
      </x:c>
      <x:c r="K263" s="33" t="s">
        <x:v>60</x:v>
      </x:c>
      <x:c r="L263" s="33" t="s">
        <x:v>71</x:v>
      </x:c>
      <x:c r="M263" s="35">
        <x:v>46</x:v>
      </x:c>
      <x:c r="N263" s="35">
        <x:v>3463343</x:v>
      </x:c>
      <x:c r="O263" s="33" t="s">
        <x:v>73</x:v>
      </x:c>
      <x:c r="P263" s="33" t="s">
        <x:v>109</x:v>
      </x:c>
      <x:c r="Q263" s="33" t="s">
        <x:v>120</x:v>
      </x:c>
      <x:c r="R263" s="33" t="s">
        <x:v>115</x:v>
      </x:c>
      <x:c r="S263" s="31" t="s">
        <x:v>594</x:v>
      </x:c>
      <x:c r="T263" s="31" t="s">
        <x:v>1413</x:v>
      </x:c>
      <x:c r="U263" s="31" t="s">
        <x:v>276</x:v>
      </x:c>
      <x:c r="V263" s="33" t="s">
        <x:v>365</x:v>
      </x:c>
      <x:c r="W263" s="33" t="s">
        <x:v>1414</x:v>
      </x:c>
      <x:c r="X263" s="33" t="s">
        <x:v>239</x:v>
      </x:c>
      <x:c r="Y263" s="36"/>
      <x:c r="Z263" s="36"/>
      <x:c r="AA263" s="33" t="s">
        <x:v>120</x:v>
      </x:c>
      <x:c r="AB263" s="37" t="n">
        <x:f>IFERROR(INDEX(Effort_Model!$J$6:$J$33,MATCH(K263&amp;"|"&amp;L263,Effort_Model!$B$6:$B$33,0)),"")</x:f>
        <x:v>18.4</x:v>
      </x:c>
      <x:c r="AC263" s="38">
        <x:v>176.3</x:v>
      </x:c>
      <x:c r="AD263" s="37">
        <x:f t="shared" si="4"/>
        <x:v>218.70000000000002</x:v>
      </x:c>
      <x:c r="AE263" s="37" t="n">
        <x:f>IFERROR(ROUND(IFERROR(INDEX(Scoring_Rules!$C$43:$C$44,MATCH(Q263,Scoring_Rules!$B$43:$B$44,0)),0)*Scoring_Rules!$C$6+IFERROR(INDEX(Scoring_Rules!$C$34:$C$40,MATCH(K263,Scoring_Rules!$B$34:$B$40,0)),0)*Scoring_Rules!$C$7+IFERROR(INDEX(Scoring_Rules!$C$16:$C$19,MATCH(P263,Scoring_Rules!$B$16:$B$19,0)),0)*Scoring_Rules!$C$8+IFERROR(INDEX(Scoring_Rules!$C$22:$C$25,MATCH(O263,Scoring_Rules!$B$22:$B$25,0)),0)*Scoring_Rules!$C$9+IFERROR(INDEX(Scoring_Rules!$C$47:$C$50,MATCH(X263,Scoring_Rules!$B$47:$B$50,0)),0)*Scoring_Rules!$C$10+IFERROR(INDEX(Scoring_Rules!$C$28:$C$31,MATCH(R263,Scoring_Rules!$B$28:$B$31,0)),0)*Scoring_Rules!$C$11,1),"")</x:f>
        <x:v>36</x:v>
      </x:c>
      <x:c r="AF263" s="35">
        <x:v>4</x:v>
      </x:c>
      <x:c r="AG263" s="33" t="s">
        <x:v>1365</x:v>
      </x:c>
      <x:c r="AH263" s="36">
        <x:v>46368</x:v>
      </x:c>
      <x:c r="AI263" s="33" t="s">
        <x:v>127</x:v>
      </x:c>
      <x:c r="AJ263" s="34" t="s">
        <x:v>354</x:v>
      </x:c>
    </x:row>
    <x:row r="264" ht="15" customHeight="1">
      <x:c r="A264" s="31" t="s">
        <x:v>1415</x:v>
      </x:c>
      <x:c r="B264" s="31" t="s">
        <x:v>1416</x:v>
      </x:c>
      <x:c r="C264" s="31" t="s">
        <x:v>1360</x:v>
      </x:c>
      <x:c r="D264" s="32" t="s">
        <x:v>1374</x:v>
      </x:c>
      <x:c r="E264" s="32" t="str">
        <x:v>Functional Migration Only</x:v>
      </x:c>
      <x:c r="F264" s="33" t="s">
        <x:v>118</x:v>
      </x:c>
      <x:c r="G264" s="34" t="s">
        <x:v>1361</x:v>
      </x:c>
      <x:c r="H264" s="33" t="s">
        <x:v>87</x:v>
      </x:c>
      <x:c r="I264" s="33" t="s">
        <x:v>1362</x:v>
      </x:c>
      <x:c r="J264" s="33" t="s">
        <x:v>82</x:v>
      </x:c>
      <x:c r="K264" s="33" t="s">
        <x:v>62</x:v>
      </x:c>
      <x:c r="L264" s="33" t="s">
        <x:v>73</x:v>
      </x:c>
      <x:c r="M264" s="35">
        <x:v>55</x:v>
      </x:c>
      <x:c r="N264" s="35">
        <x:v>77363688</x:v>
      </x:c>
      <x:c r="O264" s="33" t="s">
        <x:v>73</x:v>
      </x:c>
      <x:c r="P264" s="33" t="s">
        <x:v>98</x:v>
      </x:c>
      <x:c r="Q264" s="33" t="s">
        <x:v>120</x:v>
      </x:c>
      <x:c r="R264" s="33" t="s">
        <x:v>101</x:v>
      </x:c>
      <x:c r="S264" s="31" t="s">
        <x:v>594</x:v>
      </x:c>
      <x:c r="T264" s="31" t="s">
        <x:v>1417</x:v>
      </x:c>
      <x:c r="U264" s="31" t="s">
        <x:v>276</x:v>
      </x:c>
      <x:c r="V264" s="33" t="s">
        <x:v>303</x:v>
      </x:c>
      <x:c r="W264" s="33" t="s">
        <x:v>1418</x:v>
      </x:c>
      <x:c r="X264" s="33" t="s">
        <x:v>239</x:v>
      </x:c>
      <x:c r="Y264" s="36"/>
      <x:c r="Z264" s="36"/>
      <x:c r="AA264" s="33" t="s">
        <x:v>120</x:v>
      </x:c>
      <x:c r="AB264" s="37" t="n">
        <x:f>IFERROR(INDEX(Effort_Model!$J$6:$J$33,MATCH(K264&amp;"|"&amp;L264,Effort_Model!$B$6:$B$33,0)),"")</x:f>
        <x:v>74.4</x:v>
      </x:c>
      <x:c r="AC264" s="38">
        <x:v>724.5</x:v>
      </x:c>
      <x:c r="AD264" s="37">
        <x:f t="shared" si="4"/>
        <x:v>865.5</x:v>
      </x:c>
      <x:c r="AE264" s="37" t="n">
        <x:f>IFERROR(ROUND(IFERROR(INDEX(Scoring_Rules!$C$43:$C$44,MATCH(Q264,Scoring_Rules!$B$43:$B$44,0)),0)*Scoring_Rules!$C$6+IFERROR(INDEX(Scoring_Rules!$C$34:$C$40,MATCH(K264,Scoring_Rules!$B$34:$B$40,0)),0)*Scoring_Rules!$C$7+IFERROR(INDEX(Scoring_Rules!$C$16:$C$19,MATCH(P264,Scoring_Rules!$B$16:$B$19,0)),0)*Scoring_Rules!$C$8+IFERROR(INDEX(Scoring_Rules!$C$22:$C$25,MATCH(O264,Scoring_Rules!$B$22:$B$25,0)),0)*Scoring_Rules!$C$9+IFERROR(INDEX(Scoring_Rules!$C$47:$C$50,MATCH(X264,Scoring_Rules!$B$47:$B$50,0)),0)*Scoring_Rules!$C$10+IFERROR(INDEX(Scoring_Rules!$C$28:$C$31,MATCH(R264,Scoring_Rules!$B$28:$B$31,0)),0)*Scoring_Rules!$C$11,1),"")</x:f>
        <x:v>53.8</x:v>
      </x:c>
      <x:c r="AF264" s="35">
        <x:v>3</x:v>
      </x:c>
      <x:c r="AG264" s="33" t="s">
        <x:v>1371</x:v>
      </x:c>
      <x:c r="AH264" s="36">
        <x:v>46360</x:v>
      </x:c>
      <x:c r="AI264" s="33" t="s">
        <x:v>124</x:v>
      </x:c>
      <x:c r="AJ264" s="34"/>
    </x:row>
    <x:row r="265" ht="15" customHeight="1">
      <x:c r="A265" s="31" t="s">
        <x:v>1419</x:v>
      </x:c>
      <x:c r="B265" s="31" t="s">
        <x:v>1420</x:v>
      </x:c>
      <x:c r="C265" s="31" t="s">
        <x:v>1360</x:v>
      </x:c>
      <x:c r="D265" s="32" t="s">
        <x:v>760</x:v>
      </x:c>
      <x:c r="E265" s="32" t="str">
        <x:v>Functional Migration Only</x:v>
      </x:c>
      <x:c r="F265" s="33" t="s">
        <x:v>118</x:v>
      </x:c>
      <x:c r="G265" s="34" t="s">
        <x:v>1386</x:v>
      </x:c>
      <x:c r="H265" s="33" t="s">
        <x:v>87</x:v>
      </x:c>
      <x:c r="I265" s="33" t="s">
        <x:v>1362</x:v>
      </x:c>
      <x:c r="J265" s="33" t="s">
        <x:v>82</x:v>
      </x:c>
      <x:c r="K265" s="33" t="s">
        <x:v>58</x:v>
      </x:c>
      <x:c r="L265" s="33" t="s">
        <x:v>71</x:v>
      </x:c>
      <x:c r="M265" s="35">
        <x:v>23</x:v>
      </x:c>
      <x:c r="N265" s="35">
        <x:v>891916</x:v>
      </x:c>
      <x:c r="O265" s="33" t="s">
        <x:v>73</x:v>
      </x:c>
      <x:c r="P265" s="33" t="s">
        <x:v>73</x:v>
      </x:c>
      <x:c r="Q265" s="33" t="s">
        <x:v>118</x:v>
      </x:c>
      <x:c r="R265" s="33" t="s">
        <x:v>101</x:v>
      </x:c>
      <x:c r="S265" s="31" t="s">
        <x:v>1421</x:v>
      </x:c>
      <x:c r="T265" s="31" t="s">
        <x:v>1422</x:v>
      </x:c>
      <x:c r="U265" s="31" t="s">
        <x:v>522</x:v>
      </x:c>
      <x:c r="V265" s="33" t="s">
        <x:v>303</x:v>
      </x:c>
      <x:c r="W265" s="33" t="s">
        <x:v>1423</x:v>
      </x:c>
      <x:c r="X265" s="33" t="s">
        <x:v>240</x:v>
      </x:c>
      <x:c r="Y265" s="36"/>
      <x:c r="Z265" s="36"/>
      <x:c r="AA265" s="33" t="s">
        <x:v>120</x:v>
      </x:c>
      <x:c r="AB265" s="37" t="n">
        <x:f>IFERROR(INDEX(Effort_Model!$J$6:$J$33,MATCH(K265&amp;"|"&amp;L265,Effort_Model!$B$6:$B$33,0)),"")</x:f>
        <x:v>18.4</x:v>
      </x:c>
      <x:c r="AC265" s="38">
        <x:v>158.80000000000001</x:v>
      </x:c>
      <x:c r="AD265" s="37">
        <x:f t="shared" si="4"/>
        <x:v>185.20000000000002</x:v>
      </x:c>
      <x:c r="AE265" s="37" t="n">
        <x:f>IFERROR(ROUND(IFERROR(INDEX(Scoring_Rules!$C$43:$C$44,MATCH(Q265,Scoring_Rules!$B$43:$B$44,0)),0)*Scoring_Rules!$C$6+IFERROR(INDEX(Scoring_Rules!$C$34:$C$40,MATCH(K265,Scoring_Rules!$B$34:$B$40,0)),0)*Scoring_Rules!$C$7+IFERROR(INDEX(Scoring_Rules!$C$16:$C$19,MATCH(P265,Scoring_Rules!$B$16:$B$19,0)),0)*Scoring_Rules!$C$8+IFERROR(INDEX(Scoring_Rules!$C$22:$C$25,MATCH(O265,Scoring_Rules!$B$22:$B$25,0)),0)*Scoring_Rules!$C$9+IFERROR(INDEX(Scoring_Rules!$C$47:$C$50,MATCH(X265,Scoring_Rules!$B$47:$B$50,0)),0)*Scoring_Rules!$C$10+IFERROR(INDEX(Scoring_Rules!$C$28:$C$31,MATCH(R265,Scoring_Rules!$B$28:$B$31,0)),0)*Scoring_Rules!$C$11,1),"")</x:f>
        <x:v>73.8</x:v>
      </x:c>
      <x:c r="AF265" s="35">
        <x:v>1</x:v>
      </x:c>
      <x:c r="AG265" s="33" t="s">
        <x:v>1377</x:v>
      </x:c>
      <x:c r="AH265" s="36">
        <x:v>46389</x:v>
      </x:c>
      <x:c r="AI265" s="33" t="s">
        <x:v>126</x:v>
      </x:c>
      <x:c r="AJ265" s="34"/>
    </x:row>
    <x:row r="266" ht="15" customHeight="1">
      <x:c r="A266" s="31" t="s">
        <x:v>1424</x:v>
      </x:c>
      <x:c r="B266" s="31" t="s">
        <x:v>1425</x:v>
      </x:c>
      <x:c r="C266" s="31" t="s">
        <x:v>1360</x:v>
      </x:c>
      <x:c r="D266" s="32" t="s">
        <x:v>760</x:v>
      </x:c>
      <x:c r="E266" s="32" t="str">
        <x:v>Data Migration Only</x:v>
      </x:c>
      <x:c r="F266" s="33" t="s">
        <x:v>118</x:v>
      </x:c>
      <x:c r="G266" s="34" t="s">
        <x:v>561</x:v>
      </x:c>
      <x:c r="H266" s="33" t="s">
        <x:v>89</x:v>
      </x:c>
      <x:c r="I266" s="33" t="s">
        <x:v>1362</x:v>
      </x:c>
      <x:c r="J266" s="33" t="s">
        <x:v>80</x:v>
      </x:c>
      <x:c r="K266" s="33" t="s">
        <x:v>60</x:v>
      </x:c>
      <x:c r="L266" s="33" t="s">
        <x:v>75</x:v>
      </x:c>
      <x:c r="M266" s="35">
        <x:v>44</x:v>
      </x:c>
      <x:c r="N266" s="35">
        <x:v>4882183</x:v>
      </x:c>
      <x:c r="O266" s="33" t="s">
        <x:v>98</x:v>
      </x:c>
      <x:c r="P266" s="33" t="s">
        <x:v>109</x:v>
      </x:c>
      <x:c r="Q266" s="33" t="s">
        <x:v>120</x:v>
      </x:c>
      <x:c r="R266" s="33" t="s">
        <x:v>73</x:v>
      </x:c>
      <x:c r="S266" s="31" t="s">
        <x:v>1426</x:v>
      </x:c>
      <x:c r="T266" s="31" t="s">
        <x:v>1427</x:v>
      </x:c>
      <x:c r="U266" s="31" t="s">
        <x:v>477</x:v>
      </x:c>
      <x:c r="V266" s="33" t="s">
        <x:v>444</x:v>
      </x:c>
      <x:c r="W266" s="33" t="s">
        <x:v>1428</x:v>
      </x:c>
      <x:c r="X266" s="33" t="s">
        <x:v>240</x:v>
      </x:c>
      <x:c r="Y266" s="36"/>
      <x:c r="Z266" s="36">
        <x:v>46683</x:v>
      </x:c>
      <x:c r="AA266" s="33" t="s">
        <x:v>120</x:v>
      </x:c>
      <x:c r="AB266" s="37" t="n">
        <x:f>IFERROR(INDEX(Effort_Model!$J$6:$J$33,MATCH(K266&amp;"|"&amp;L266,Effort_Model!$B$6:$B$33,0)),"")</x:f>
        <x:v>42.4</x:v>
      </x:c>
      <x:c r="AC266" s="38">
        <x:v>329.8</x:v>
      </x:c>
      <x:c r="AD266" s="37">
        <x:f t="shared" si="4"/>
        <x:v>443.13330000000002</x:v>
      </x:c>
      <x:c r="AE266" s="37" t="n">
        <x:f>IFERROR(ROUND(IFERROR(INDEX(Scoring_Rules!$C$43:$C$44,MATCH(Q266,Scoring_Rules!$B$43:$B$44,0)),0)*Scoring_Rules!$C$6+IFERROR(INDEX(Scoring_Rules!$C$34:$C$40,MATCH(K266,Scoring_Rules!$B$34:$B$40,0)),0)*Scoring_Rules!$C$7+IFERROR(INDEX(Scoring_Rules!$C$16:$C$19,MATCH(P266,Scoring_Rules!$B$16:$B$19,0)),0)*Scoring_Rules!$C$8+IFERROR(INDEX(Scoring_Rules!$C$22:$C$25,MATCH(O266,Scoring_Rules!$B$22:$B$25,0)),0)*Scoring_Rules!$C$9+IFERROR(INDEX(Scoring_Rules!$C$47:$C$50,MATCH(X266,Scoring_Rules!$B$47:$B$50,0)),0)*Scoring_Rules!$C$10+IFERROR(INDEX(Scoring_Rules!$C$28:$C$31,MATCH(R266,Scoring_Rules!$B$28:$B$31,0)),0)*Scoring_Rules!$C$11,1),"")</x:f>
        <x:v>38</x:v>
      </x:c>
      <x:c r="AF266" s="35"/>
      <x:c r="AG266" s="33" t="s">
        <x:v>1381</x:v>
      </x:c>
      <x:c r="AH266" s="36">
        <x:v>46321</x:v>
      </x:c>
      <x:c r="AI266" s="33" t="s">
        <x:v>127</x:v>
      </x:c>
      <x:c r="AJ266" s="34"/>
    </x:row>
    <x:row r="267" ht="15" customHeight="1">
      <x:c r="A267" s="31" t="s">
        <x:v>1429</x:v>
      </x:c>
      <x:c r="B267" s="31" t="s">
        <x:v>1430</x:v>
      </x:c>
      <x:c r="C267" s="31" t="s">
        <x:v>1360</x:v>
      </x:c>
      <x:c r="D267" s="32" t="s">
        <x:v>320</x:v>
      </x:c>
      <x:c r="E267" s="32" t="str">
        <x:v>Functional Migration Only</x:v>
      </x:c>
      <x:c r="F267" s="33" t="s">
        <x:v>118</x:v>
      </x:c>
      <x:c r="G267" s="34" t="s">
        <x:v>1386</x:v>
      </x:c>
      <x:c r="H267" s="33" t="s">
        <x:v>87</x:v>
      </x:c>
      <x:c r="I267" s="33" t="s">
        <x:v>1362</x:v>
      </x:c>
      <x:c r="J267" s="33" t="s">
        <x:v>82</x:v>
      </x:c>
      <x:c r="K267" s="33" t="s">
        <x:v>62</x:v>
      </x:c>
      <x:c r="L267" s="33" t="s">
        <x:v>73</x:v>
      </x:c>
      <x:c r="M267" s="35">
        <x:v>72</x:v>
      </x:c>
      <x:c r="N267" s="35">
        <x:v>129675777</x:v>
      </x:c>
      <x:c r="O267" s="33" t="s">
        <x:v>73</x:v>
      </x:c>
      <x:c r="P267" s="33" t="s">
        <x:v>73</x:v>
      </x:c>
      <x:c r="Q267" s="33" t="s">
        <x:v>120</x:v>
      </x:c>
      <x:c r="R267" s="33" t="s">
        <x:v>101</x:v>
      </x:c>
      <x:c r="S267" s="31" t="s">
        <x:v>1299</x:v>
      </x:c>
      <x:c r="T267" s="31" t="s">
        <x:v>1431</x:v>
      </x:c>
      <x:c r="U267" s="31" t="s">
        <x:v>276</x:v>
      </x:c>
      <x:c r="V267" s="33" t="s">
        <x:v>444</x:v>
      </x:c>
      <x:c r="W267" s="33"/>
      <x:c r="X267" s="33" t="s">
        <x:v>238</x:v>
      </x:c>
      <x:c r="Y267" s="36"/>
      <x:c r="Z267" s="36"/>
      <x:c r="AA267" s="33" t="s">
        <x:v>120</x:v>
      </x:c>
      <x:c r="AB267" s="37" t="n">
        <x:f>IFERROR(INDEX(Effort_Model!$J$6:$J$33,MATCH(K267&amp;"|"&amp;L267,Effort_Model!$B$6:$B$33,0)),"")</x:f>
        <x:v>74.4</x:v>
      </x:c>
      <x:c r="AC267" s="38">
        <x:v>706.3</x:v>
      </x:c>
      <x:c r="AD267" s="37">
        <x:f t="shared" si="4"/>
        <x:v>847.3</x:v>
      </x:c>
      <x:c r="AE267" s="37" t="n">
        <x:f>IFERROR(ROUND(IFERROR(INDEX(Scoring_Rules!$C$43:$C$44,MATCH(Q267,Scoring_Rules!$B$43:$B$44,0)),0)*Scoring_Rules!$C$6+IFERROR(INDEX(Scoring_Rules!$C$34:$C$40,MATCH(K267,Scoring_Rules!$B$34:$B$40,0)),0)*Scoring_Rules!$C$7+IFERROR(INDEX(Scoring_Rules!$C$16:$C$19,MATCH(P267,Scoring_Rules!$B$16:$B$19,0)),0)*Scoring_Rules!$C$8+IFERROR(INDEX(Scoring_Rules!$C$22:$C$25,MATCH(O267,Scoring_Rules!$B$22:$B$25,0)),0)*Scoring_Rules!$C$9+IFERROR(INDEX(Scoring_Rules!$C$47:$C$50,MATCH(X267,Scoring_Rules!$B$47:$B$50,0)),0)*Scoring_Rules!$C$10+IFERROR(INDEX(Scoring_Rules!$C$28:$C$31,MATCH(R267,Scoring_Rules!$B$28:$B$31,0)),0)*Scoring_Rules!$C$11,1),"")</x:f>
        <x:v>52.3</x:v>
      </x:c>
      <x:c r="AF267" s="35">
        <x:v>3</x:v>
      </x:c>
      <x:c r="AG267" s="33" t="s">
        <x:v>1365</x:v>
      </x:c>
      <x:c r="AH267" s="36">
        <x:v>46375</x:v>
      </x:c>
      <x:c r="AI267" s="33" t="s">
        <x:v>127</x:v>
      </x:c>
      <x:c r="AJ267" s="34" t="s">
        <x:v>395</x:v>
      </x:c>
    </x:row>
    <x:row r="268" ht="15" customHeight="1">
      <x:c r="A268" s="31" t="s">
        <x:v>1432</x:v>
      </x:c>
      <x:c r="B268" s="31" t="s">
        <x:v>1433</x:v>
      </x:c>
      <x:c r="C268" s="31" t="s">
        <x:v>1360</x:v>
      </x:c>
      <x:c r="D268" s="32" t="s">
        <x:v>760</x:v>
      </x:c>
      <x:c r="E268" s="32" t="str">
        <x:v>Data Migration Only</x:v>
      </x:c>
      <x:c r="F268" s="33" t="s">
        <x:v>118</x:v>
      </x:c>
      <x:c r="G268" s="34" t="s">
        <x:v>1386</x:v>
      </x:c>
      <x:c r="H268" s="33" t="s">
        <x:v>87</x:v>
      </x:c>
      <x:c r="I268" s="33" t="s">
        <x:v>1362</x:v>
      </x:c>
      <x:c r="J268" s="33" t="s">
        <x:v>80</x:v>
      </x:c>
      <x:c r="K268" s="33" t="s">
        <x:v>62</x:v>
      </x:c>
      <x:c r="L268" s="33" t="s">
        <x:v>73</x:v>
      </x:c>
      <x:c r="M268" s="35">
        <x:v>72</x:v>
      </x:c>
      <x:c r="N268" s="35">
        <x:v>73615431</x:v>
      </x:c>
      <x:c r="O268" s="33" t="s">
        <x:v>73</x:v>
      </x:c>
      <x:c r="P268" s="33" t="s">
        <x:v>101</x:v>
      </x:c>
      <x:c r="Q268" s="33" t="s">
        <x:v>120</x:v>
      </x:c>
      <x:c r="R268" s="33" t="s">
        <x:v>115</x:v>
      </x:c>
      <x:c r="S268" s="31" t="s">
        <x:v>1434</x:v>
      </x:c>
      <x:c r="T268" s="31" t="s">
        <x:v>1435</x:v>
      </x:c>
      <x:c r="U268" s="31" t="s">
        <x:v>276</x:v>
      </x:c>
      <x:c r="V268" s="33" t="s">
        <x:v>289</x:v>
      </x:c>
      <x:c r="W268" s="33"/>
      <x:c r="X268" s="33" t="s">
        <x:v>238</x:v>
      </x:c>
      <x:c r="Y268" s="36"/>
      <x:c r="Z268" s="36"/>
      <x:c r="AA268" s="33" t="s">
        <x:v>120</x:v>
      </x:c>
      <x:c r="AB268" s="37" t="n">
        <x:f>IFERROR(INDEX(Effort_Model!$J$6:$J$33,MATCH(K268&amp;"|"&amp;L268,Effort_Model!$B$6:$B$33,0)),"")</x:f>
        <x:v>74.4</x:v>
      </x:c>
      <x:c r="AC268" s="38">
        <x:v>509.2</x:v>
      </x:c>
      <x:c r="AD268" s="37">
        <x:f t="shared" si="4"/>
        <x:v>650.20000000000005</x:v>
      </x:c>
      <x:c r="AE268" s="37" t="n">
        <x:f>IFERROR(ROUND(IFERROR(INDEX(Scoring_Rules!$C$43:$C$44,MATCH(Q268,Scoring_Rules!$B$43:$B$44,0)),0)*Scoring_Rules!$C$6+IFERROR(INDEX(Scoring_Rules!$C$34:$C$40,MATCH(K268,Scoring_Rules!$B$34:$B$40,0)),0)*Scoring_Rules!$C$7+IFERROR(INDEX(Scoring_Rules!$C$16:$C$19,MATCH(P268,Scoring_Rules!$B$16:$B$19,0)),0)*Scoring_Rules!$C$8+IFERROR(INDEX(Scoring_Rules!$C$22:$C$25,MATCH(O268,Scoring_Rules!$B$22:$B$25,0)),0)*Scoring_Rules!$C$9+IFERROR(INDEX(Scoring_Rules!$C$47:$C$50,MATCH(X268,Scoring_Rules!$B$47:$B$50,0)),0)*Scoring_Rules!$C$10+IFERROR(INDEX(Scoring_Rules!$C$28:$C$31,MATCH(R268,Scoring_Rules!$B$28:$B$31,0)),0)*Scoring_Rules!$C$11,1),"")</x:f>
        <x:v>43.5</x:v>
      </x:c>
      <x:c r="AF268" s="35">
        <x:v>4</x:v>
      </x:c>
      <x:c r="AG268" s="33" t="s">
        <x:v>1371</x:v>
      </x:c>
      <x:c r="AH268" s="36">
        <x:v>46313</x:v>
      </x:c>
      <x:c r="AI268" s="33" t="s">
        <x:v>126</x:v>
      </x:c>
      <x:c r="AJ268" s="34"/>
    </x:row>
    <x:row r="269" ht="15" customHeight="1">
      <x:c r="A269" s="31" t="s">
        <x:v>1436</x:v>
      </x:c>
      <x:c r="B269" s="31" t="s">
        <x:v>1437</x:v>
      </x:c>
      <x:c r="C269" s="31" t="s">
        <x:v>1360</x:v>
      </x:c>
      <x:c r="D269" s="32" t="s">
        <x:v>1438</x:v>
      </x:c>
      <x:c r="E269" s="32" t="str">
        <x:v>Functional Migration Only</x:v>
      </x:c>
      <x:c r="F269" s="33" t="s">
        <x:v>118</x:v>
      </x:c>
      <x:c r="G269" s="34" t="s">
        <x:v>1386</x:v>
      </x:c>
      <x:c r="H269" s="33" t="s">
        <x:v>87</x:v>
      </x:c>
      <x:c r="I269" s="33" t="s">
        <x:v>1362</x:v>
      </x:c>
      <x:c r="J269" s="33" t="s">
        <x:v>82</x:v>
      </x:c>
      <x:c r="K269" s="33" t="s">
        <x:v>60</x:v>
      </x:c>
      <x:c r="L269" s="33" t="s">
        <x:v>75</x:v>
      </x:c>
      <x:c r="M269" s="35">
        <x:v>31</x:v>
      </x:c>
      <x:c r="N269" s="35">
        <x:v>3362132</x:v>
      </x:c>
      <x:c r="O269" s="33" t="s">
        <x:v>98</x:v>
      </x:c>
      <x:c r="P269" s="33" t="s">
        <x:v>101</x:v>
      </x:c>
      <x:c r="Q269" s="33" t="s">
        <x:v>120</x:v>
      </x:c>
      <x:c r="R269" s="33" t="s">
        <x:v>115</x:v>
      </x:c>
      <x:c r="S269" s="31" t="s">
        <x:v>747</x:v>
      </x:c>
      <x:c r="T269" s="31" t="s">
        <x:v>748</x:v>
      </x:c>
      <x:c r="U269" s="31" t="s">
        <x:v>276</x:v>
      </x:c>
      <x:c r="V269" s="33" t="s">
        <x:v>277</x:v>
      </x:c>
      <x:c r="W269" s="33" t="s">
        <x:v>1410</x:v>
      </x:c>
      <x:c r="X269" s="33" t="s">
        <x:v>239</x:v>
      </x:c>
      <x:c r="Y269" s="36"/>
      <x:c r="Z269" s="36"/>
      <x:c r="AA269" s="33" t="s">
        <x:v>120</x:v>
      </x:c>
      <x:c r="AB269" s="37" t="n">
        <x:f>IFERROR(INDEX(Effort_Model!$J$6:$J$33,MATCH(K269&amp;"|"&amp;L269,Effort_Model!$B$6:$B$33,0)),"")</x:f>
        <x:v>42.4</x:v>
      </x:c>
      <x:c r="AC269" s="38">
        <x:v>520.9</x:v>
      </x:c>
      <x:c r="AD269" s="37">
        <x:f t="shared" si="4"/>
        <x:v>634.23329999999999</x:v>
      </x:c>
      <x:c r="AE269" s="37" t="n">
        <x:f>IFERROR(ROUND(IFERROR(INDEX(Scoring_Rules!$C$43:$C$44,MATCH(Q269,Scoring_Rules!$B$43:$B$44,0)),0)*Scoring_Rules!$C$6+IFERROR(INDEX(Scoring_Rules!$C$34:$C$40,MATCH(K269,Scoring_Rules!$B$34:$B$40,0)),0)*Scoring_Rules!$C$7+IFERROR(INDEX(Scoring_Rules!$C$16:$C$19,MATCH(P269,Scoring_Rules!$B$16:$B$19,0)),0)*Scoring_Rules!$C$8+IFERROR(INDEX(Scoring_Rules!$C$22:$C$25,MATCH(O269,Scoring_Rules!$B$22:$B$25,0)),0)*Scoring_Rules!$C$9+IFERROR(INDEX(Scoring_Rules!$C$47:$C$50,MATCH(X269,Scoring_Rules!$B$47:$B$50,0)),0)*Scoring_Rules!$C$10+IFERROR(INDEX(Scoring_Rules!$C$28:$C$31,MATCH(R269,Scoring_Rules!$B$28:$B$31,0)),0)*Scoring_Rules!$C$11,1),"")</x:f>
        <x:v>47.5</x:v>
      </x:c>
      <x:c r="AF269" s="35">
        <x:v>5</x:v>
      </x:c>
      <x:c r="AG269" s="33" t="s">
        <x:v>1377</x:v>
      </x:c>
      <x:c r="AH269" s="36">
        <x:v>46386</x:v>
      </x:c>
      <x:c r="AI269" s="33" t="s">
        <x:v>127</x:v>
      </x:c>
      <x:c r="AJ269" s="34" t="s">
        <x:v>336</x:v>
      </x:c>
    </x:row>
    <x:row r="270" ht="15" customHeight="1">
      <x:c r="A270" s="31" t="s">
        <x:v>1439</x:v>
      </x:c>
      <x:c r="B270" s="31" t="s">
        <x:v>1440</x:v>
      </x:c>
      <x:c r="C270" s="31" t="s">
        <x:v>1360</x:v>
      </x:c>
      <x:c r="D270" s="32" t="s">
        <x:v>760</x:v>
      </x:c>
      <x:c r="E270" s="32" t="str">
        <x:v>Data Migration Only</x:v>
      </x:c>
      <x:c r="F270" s="33" t="s">
        <x:v>120</x:v>
      </x:c>
      <x:c r="G270" s="34" t="s">
        <x:v>549</x:v>
      </x:c>
      <x:c r="H270" s="33" t="s">
        <x:v>89</x:v>
      </x:c>
      <x:c r="I270" s="33" t="s">
        <x:v>1362</x:v>
      </x:c>
      <x:c r="J270" s="33" t="s">
        <x:v>80</x:v>
      </x:c>
      <x:c r="K270" s="33" t="s">
        <x:v>62</x:v>
      </x:c>
      <x:c r="L270" s="33" t="s">
        <x:v>77</x:v>
      </x:c>
      <x:c r="M270" s="35">
        <x:v>68</x:v>
      </x:c>
      <x:c r="N270" s="35">
        <x:v>50811925</x:v>
      </x:c>
      <x:c r="O270" s="33" t="s">
        <x:v>73</x:v>
      </x:c>
      <x:c r="P270" s="33" t="s">
        <x:v>73</x:v>
      </x:c>
      <x:c r="Q270" s="33" t="s">
        <x:v>120</x:v>
      </x:c>
      <x:c r="R270" s="33" t="s">
        <x:v>101</x:v>
      </x:c>
      <x:c r="S270" s="31" t="s">
        <x:v>1434</x:v>
      </x:c>
      <x:c r="T270" s="31" t="s">
        <x:v>1435</x:v>
      </x:c>
      <x:c r="U270" s="31" t="s">
        <x:v>522</x:v>
      </x:c>
      <x:c r="V270" s="33" t="s">
        <x:v>444</x:v>
      </x:c>
      <x:c r="W270" s="33"/>
      <x:c r="X270" s="33" t="s">
        <x:v>238</x:v>
      </x:c>
      <x:c r="Y270" s="36"/>
      <x:c r="Z270" s="36"/>
      <x:c r="AA270" s="33" t="s">
        <x:v>120</x:v>
      </x:c>
      <x:c r="AB270" s="37" t="n">
        <x:f>IFERROR(INDEX(Effort_Model!$J$6:$J$33,MATCH(K270&amp;"|"&amp;L270,Effort_Model!$B$6:$B$33,0)),"")</x:f>
        <x:v>74.4</x:v>
      </x:c>
      <x:c r="AC270" s="38">
        <x:v>755.6</x:v>
      </x:c>
      <x:c r="AD270" s="37">
        <x:f t="shared" si="4"/>
        <x:v>1028.9333000000001</x:v>
      </x:c>
      <x:c r="AE270" s="37" t="n">
        <x:f>IFERROR(ROUND(IFERROR(INDEX(Scoring_Rules!$C$43:$C$44,MATCH(Q270,Scoring_Rules!$B$43:$B$44,0)),0)*Scoring_Rules!$C$6+IFERROR(INDEX(Scoring_Rules!$C$34:$C$40,MATCH(K270,Scoring_Rules!$B$34:$B$40,0)),0)*Scoring_Rules!$C$7+IFERROR(INDEX(Scoring_Rules!$C$16:$C$19,MATCH(P270,Scoring_Rules!$B$16:$B$19,0)),0)*Scoring_Rules!$C$8+IFERROR(INDEX(Scoring_Rules!$C$22:$C$25,MATCH(O270,Scoring_Rules!$B$22:$B$25,0)),0)*Scoring_Rules!$C$9+IFERROR(INDEX(Scoring_Rules!$C$47:$C$50,MATCH(X270,Scoring_Rules!$B$47:$B$50,0)),0)*Scoring_Rules!$C$10+IFERROR(INDEX(Scoring_Rules!$C$28:$C$31,MATCH(R270,Scoring_Rules!$B$28:$B$31,0)),0)*Scoring_Rules!$C$11,1),"")</x:f>
        <x:v>52.3</x:v>
      </x:c>
      <x:c r="AF270" s="35"/>
      <x:c r="AG270" s="33" t="s">
        <x:v>1381</x:v>
      </x:c>
      <x:c r="AH270" s="36">
        <x:v>46410</x:v>
      </x:c>
      <x:c r="AI270" s="33" t="s">
        <x:v>127</x:v>
      </x:c>
      <x:c r="AJ270" s="34"/>
    </x:row>
    <x:row r="271" ht="15" customHeight="1">
      <x:c r="A271" s="31" t="s">
        <x:v>1441</x:v>
      </x:c>
      <x:c r="B271" s="31" t="s">
        <x:v>1442</x:v>
      </x:c>
      <x:c r="C271" s="31" t="s">
        <x:v>1360</x:v>
      </x:c>
      <x:c r="D271" s="32" t="s">
        <x:v>320</x:v>
      </x:c>
      <x:c r="E271" s="32" t="str">
        <x:v>Data Migration Only</x:v>
      </x:c>
      <x:c r="F271" s="33" t="s">
        <x:v>118</x:v>
      </x:c>
      <x:c r="G271" s="34" t="s">
        <x:v>1361</x:v>
      </x:c>
      <x:c r="H271" s="33" t="s">
        <x:v>87</x:v>
      </x:c>
      <x:c r="I271" s="33" t="s">
        <x:v>1362</x:v>
      </x:c>
      <x:c r="J271" s="33" t="s">
        <x:v>80</x:v>
      </x:c>
      <x:c r="K271" s="33" t="s">
        <x:v>62</x:v>
      </x:c>
      <x:c r="L271" s="33" t="s">
        <x:v>73</x:v>
      </x:c>
      <x:c r="M271" s="35">
        <x:v>60</x:v>
      </x:c>
      <x:c r="N271" s="35">
        <x:v>121177365</x:v>
      </x:c>
      <x:c r="O271" s="33" t="s">
        <x:v>98</x:v>
      </x:c>
      <x:c r="P271" s="33" t="s">
        <x:v>98</x:v>
      </x:c>
      <x:c r="Q271" s="33" t="s">
        <x:v>120</x:v>
      </x:c>
      <x:c r="R271" s="33" t="s">
        <x:v>73</x:v>
      </x:c>
      <x:c r="S271" s="31" t="s">
        <x:v>1443</x:v>
      </x:c>
      <x:c r="T271" s="31" t="s">
        <x:v>1444</x:v>
      </x:c>
      <x:c r="U271" s="31" t="s">
        <x:v>276</x:v>
      </x:c>
      <x:c r="V271" s="33" t="s">
        <x:v>289</x:v>
      </x:c>
      <x:c r="W271" s="33"/>
      <x:c r="X271" s="33" t="s">
        <x:v>238</x:v>
      </x:c>
      <x:c r="Y271" s="36"/>
      <x:c r="Z271" s="36"/>
      <x:c r="AA271" s="33" t="s">
        <x:v>120</x:v>
      </x:c>
      <x:c r="AB271" s="37" t="n">
        <x:f>IFERROR(INDEX(Effort_Model!$J$6:$J$33,MATCH(K271&amp;"|"&amp;L271,Effort_Model!$B$6:$B$33,0)),"")</x:f>
        <x:v>74.4</x:v>
      </x:c>
      <x:c r="AC271" s="38">
        <x:v>500.1</x:v>
      </x:c>
      <x:c r="AD271" s="37">
        <x:f t="shared" si="4"/>
        <x:v>641.1</x:v>
      </x:c>
      <x:c r="AE271" s="37" t="n">
        <x:f>IFERROR(ROUND(IFERROR(INDEX(Scoring_Rules!$C$43:$C$44,MATCH(Q271,Scoring_Rules!$B$43:$B$44,0)),0)*Scoring_Rules!$C$6+IFERROR(INDEX(Scoring_Rules!$C$34:$C$40,MATCH(K271,Scoring_Rules!$B$34:$B$40,0)),0)*Scoring_Rules!$C$7+IFERROR(INDEX(Scoring_Rules!$C$16:$C$19,MATCH(P271,Scoring_Rules!$B$16:$B$19,0)),0)*Scoring_Rules!$C$8+IFERROR(INDEX(Scoring_Rules!$C$22:$C$25,MATCH(O271,Scoring_Rules!$B$22:$B$25,0)),0)*Scoring_Rules!$C$9+IFERROR(INDEX(Scoring_Rules!$C$47:$C$50,MATCH(X271,Scoring_Rules!$B$47:$B$50,0)),0)*Scoring_Rules!$C$10+IFERROR(INDEX(Scoring_Rules!$C$28:$C$31,MATCH(R271,Scoring_Rules!$B$28:$B$31,0)),0)*Scoring_Rules!$C$11,1),"")</x:f>
        <x:v>64.5</x:v>
      </x:c>
      <x:c r="AF271" s="35">
        <x:v>2</x:v>
      </x:c>
      <x:c r="AG271" s="33" t="s">
        <x:v>1365</x:v>
      </x:c>
      <x:c r="AH271" s="36">
        <x:v>46301</x:v>
      </x:c>
      <x:c r="AI271" s="33" t="s">
        <x:v>127</x:v>
      </x:c>
      <x:c r="AJ271" s="34"/>
    </x:row>
    <x:row r="272" ht="15" customHeight="1">
      <x:c r="A272" s="31" t="s">
        <x:v>1445</x:v>
      </x:c>
      <x:c r="B272" s="31" t="s">
        <x:v>1446</x:v>
      </x:c>
      <x:c r="C272" s="31" t="s">
        <x:v>1360</x:v>
      </x:c>
      <x:c r="D272" s="32" t="s">
        <x:v>1374</x:v>
      </x:c>
      <x:c r="E272" s="32" t="str">
        <x:v>Functional Migration Only</x:v>
      </x:c>
      <x:c r="F272" s="33" t="s">
        <x:v>118</x:v>
      </x:c>
      <x:c r="G272" s="34" t="s">
        <x:v>1380</x:v>
      </x:c>
      <x:c r="H272" s="33" t="s">
        <x:v>87</x:v>
      </x:c>
      <x:c r="I272" s="33" t="s">
        <x:v>1362</x:v>
      </x:c>
      <x:c r="J272" s="33" t="s">
        <x:v>82</x:v>
      </x:c>
      <x:c r="K272" s="33" t="s">
        <x:v>58</x:v>
      </x:c>
      <x:c r="L272" s="33" t="s">
        <x:v>77</x:v>
      </x:c>
      <x:c r="M272" s="35">
        <x:v>14</x:v>
      </x:c>
      <x:c r="N272" s="35">
        <x:v>584663</x:v>
      </x:c>
      <x:c r="O272" s="33" t="s">
        <x:v>73</x:v>
      </x:c>
      <x:c r="P272" s="33" t="s">
        <x:v>109</x:v>
      </x:c>
      <x:c r="Q272" s="33" t="s">
        <x:v>120</x:v>
      </x:c>
      <x:c r="R272" s="33" t="s">
        <x:v>101</x:v>
      </x:c>
      <x:c r="S272" s="31" t="s">
        <x:v>1447</x:v>
      </x:c>
      <x:c r="T272" s="31" t="s">
        <x:v>1448</x:v>
      </x:c>
      <x:c r="U272" s="31" t="s">
        <x:v>522</x:v>
      </x:c>
      <x:c r="V272" s="33" t="s">
        <x:v>444</x:v>
      </x:c>
      <x:c r="W272" s="33" t="s">
        <x:v>1432</x:v>
      </x:c>
      <x:c r="X272" s="33" t="s">
        <x:v>239</x:v>
      </x:c>
      <x:c r="Y272" s="36"/>
      <x:c r="Z272" s="36"/>
      <x:c r="AA272" s="33" t="s">
        <x:v>120</x:v>
      </x:c>
      <x:c r="AB272" s="37" t="n">
        <x:f>IFERROR(INDEX(Effort_Model!$J$6:$J$33,MATCH(K272&amp;"|"&amp;L272,Effort_Model!$B$6:$B$33,0)),"")</x:f>
        <x:v>26.4</x:v>
      </x:c>
      <x:c r="AC272" s="38">
        <x:v>356.9</x:v>
      </x:c>
      <x:c r="AD272" s="37">
        <x:f t="shared" si="4"/>
        <x:v>438.23329999999999</x:v>
      </x:c>
      <x:c r="AE272" s="37" t="n">
        <x:f>IFERROR(ROUND(IFERROR(INDEX(Scoring_Rules!$C$43:$C$44,MATCH(Q272,Scoring_Rules!$B$43:$B$44,0)),0)*Scoring_Rules!$C$6+IFERROR(INDEX(Scoring_Rules!$C$34:$C$40,MATCH(K272,Scoring_Rules!$B$34:$B$40,0)),0)*Scoring_Rules!$C$7+IFERROR(INDEX(Scoring_Rules!$C$16:$C$19,MATCH(P272,Scoring_Rules!$B$16:$B$19,0)),0)*Scoring_Rules!$C$8+IFERROR(INDEX(Scoring_Rules!$C$22:$C$25,MATCH(O272,Scoring_Rules!$B$22:$B$25,0)),0)*Scoring_Rules!$C$9+IFERROR(INDEX(Scoring_Rules!$C$47:$C$50,MATCH(X272,Scoring_Rules!$B$47:$B$50,0)),0)*Scoring_Rules!$C$10+IFERROR(INDEX(Scoring_Rules!$C$28:$C$31,MATCH(R272,Scoring_Rules!$B$28:$B$31,0)),0)*Scoring_Rules!$C$11,1),"")</x:f>
        <x:v>40.8</x:v>
      </x:c>
      <x:c r="AF272" s="35">
        <x:v>8</x:v>
      </x:c>
      <x:c r="AG272" s="33" t="s">
        <x:v>1371</x:v>
      </x:c>
      <x:c r="AH272" s="36">
        <x:v>46393</x:v>
      </x:c>
      <x:c r="AI272" s="33" t="s">
        <x:v>127</x:v>
      </x:c>
      <x:c r="AJ272" s="34" t="s">
        <x:v>336</x:v>
      </x:c>
    </x:row>
    <x:row r="273" ht="15" customHeight="1">
      <x:c r="A273" s="31" t="s">
        <x:v>1449</x:v>
      </x:c>
      <x:c r="B273" s="31" t="s">
        <x:v>1450</x:v>
      </x:c>
      <x:c r="C273" s="31" t="s">
        <x:v>1360</x:v>
      </x:c>
      <x:c r="D273" s="32" t="s">
        <x:v>320</x:v>
      </x:c>
      <x:c r="E273" s="32" t="str">
        <x:v>Functional Migration Only</x:v>
      </x:c>
      <x:c r="F273" s="33" t="s">
        <x:v>118</x:v>
      </x:c>
      <x:c r="G273" s="34" t="s">
        <x:v>1361</x:v>
      </x:c>
      <x:c r="H273" s="33" t="s">
        <x:v>87</x:v>
      </x:c>
      <x:c r="I273" s="33" t="s">
        <x:v>1362</x:v>
      </x:c>
      <x:c r="J273" s="33" t="s">
        <x:v>82</x:v>
      </x:c>
      <x:c r="K273" s="33" t="s">
        <x:v>60</x:v>
      </x:c>
      <x:c r="L273" s="33" t="s">
        <x:v>75</x:v>
      </x:c>
      <x:c r="M273" s="35">
        <x:v>41</x:v>
      </x:c>
      <x:c r="N273" s="35">
        <x:v>3133847</x:v>
      </x:c>
      <x:c r="O273" s="33" t="s">
        <x:v>103</x:v>
      </x:c>
      <x:c r="P273" s="33" t="s">
        <x:v>101</x:v>
      </x:c>
      <x:c r="Q273" s="33" t="s">
        <x:v>120</x:v>
      </x:c>
      <x:c r="R273" s="33" t="s">
        <x:v>101</x:v>
      </x:c>
      <x:c r="S273" s="31" t="s">
        <x:v>1335</x:v>
      </x:c>
      <x:c r="T273" s="31" t="s">
        <x:v>1451</x:v>
      </x:c>
      <x:c r="U273" s="31" t="s">
        <x:v>477</x:v>
      </x:c>
      <x:c r="V273" s="33" t="s">
        <x:v>277</x:v>
      </x:c>
      <x:c r="W273" s="33"/>
      <x:c r="X273" s="33" t="s">
        <x:v>238</x:v>
      </x:c>
      <x:c r="Y273" s="36"/>
      <x:c r="Z273" s="36"/>
      <x:c r="AA273" s="33" t="s">
        <x:v>120</x:v>
      </x:c>
      <x:c r="AB273" s="37" t="n">
        <x:f>IFERROR(INDEX(Effort_Model!$J$6:$J$33,MATCH(K273&amp;"|"&amp;L273,Effort_Model!$B$6:$B$33,0)),"")</x:f>
        <x:v>42.4</x:v>
      </x:c>
      <x:c r="AC273" s="38">
        <x:v>518.20000000000005</x:v>
      </x:c>
      <x:c r="AD273" s="37">
        <x:f t="shared" si="4"/>
        <x:v>631.53330000000005</x:v>
      </x:c>
      <x:c r="AE273" s="37" t="n">
        <x:f>IFERROR(ROUND(IFERROR(INDEX(Scoring_Rules!$C$43:$C$44,MATCH(Q273,Scoring_Rules!$B$43:$B$44,0)),0)*Scoring_Rules!$C$6+IFERROR(INDEX(Scoring_Rules!$C$34:$C$40,MATCH(K273,Scoring_Rules!$B$34:$B$40,0)),0)*Scoring_Rules!$C$7+IFERROR(INDEX(Scoring_Rules!$C$16:$C$19,MATCH(P273,Scoring_Rules!$B$16:$B$19,0)),0)*Scoring_Rules!$C$8+IFERROR(INDEX(Scoring_Rules!$C$22:$C$25,MATCH(O273,Scoring_Rules!$B$22:$B$25,0)),0)*Scoring_Rules!$C$9+IFERROR(INDEX(Scoring_Rules!$C$47:$C$50,MATCH(X273,Scoring_Rules!$B$47:$B$50,0)),0)*Scoring_Rules!$C$10+IFERROR(INDEX(Scoring_Rules!$C$28:$C$31,MATCH(R273,Scoring_Rules!$B$28:$B$31,0)),0)*Scoring_Rules!$C$11,1),"")</x:f>
        <x:v>38.8</x:v>
      </x:c>
      <x:c r="AF273" s="35">
        <x:v>7</x:v>
      </x:c>
      <x:c r="AG273" s="33" t="s">
        <x:v>1377</x:v>
      </x:c>
      <x:c r="AH273" s="36">
        <x:v>46366</x:v>
      </x:c>
      <x:c r="AI273" s="33" t="s">
        <x:v>124</x:v>
      </x:c>
      <x:c r="AJ273" s="34" t="s">
        <x:v>354</x:v>
      </x:c>
    </x:row>
    <x:row r="274" ht="15" customHeight="1">
      <x:c r="A274" s="31" t="s">
        <x:v>1452</x:v>
      </x:c>
      <x:c r="B274" s="31" t="s">
        <x:v>1453</x:v>
      </x:c>
      <x:c r="C274" s="31" t="s">
        <x:v>1360</x:v>
      </x:c>
      <x:c r="D274" s="32" t="s">
        <x:v>1438</x:v>
      </x:c>
      <x:c r="E274" s="32" t="str">
        <x:v>Functional Migration Only</x:v>
      </x:c>
      <x:c r="F274" s="33" t="s">
        <x:v>120</x:v>
      </x:c>
      <x:c r="G274" s="34" t="s">
        <x:v>1361</x:v>
      </x:c>
      <x:c r="H274" s="33" t="s">
        <x:v>87</x:v>
      </x:c>
      <x:c r="I274" s="33" t="s">
        <x:v>1362</x:v>
      </x:c>
      <x:c r="J274" s="33" t="s">
        <x:v>82</x:v>
      </x:c>
      <x:c r="K274" s="33" t="s">
        <x:v>60</x:v>
      </x:c>
      <x:c r="L274" s="33" t="s">
        <x:v>75</x:v>
      </x:c>
      <x:c r="M274" s="35">
        <x:v>32</x:v>
      </x:c>
      <x:c r="N274" s="35">
        <x:v>5736296</x:v>
      </x:c>
      <x:c r="O274" s="33" t="s">
        <x:v>73</x:v>
      </x:c>
      <x:c r="P274" s="33" t="s">
        <x:v>109</x:v>
      </x:c>
      <x:c r="Q274" s="33" t="s">
        <x:v>120</x:v>
      </x:c>
      <x:c r="R274" s="33" t="s">
        <x:v>101</x:v>
      </x:c>
      <x:c r="S274" s="31" t="s">
        <x:v>1454</x:v>
      </x:c>
      <x:c r="T274" s="31" t="s">
        <x:v>1455</x:v>
      </x:c>
      <x:c r="U274" s="31" t="s">
        <x:v>276</x:v>
      </x:c>
      <x:c r="V274" s="33" t="s">
        <x:v>277</x:v>
      </x:c>
      <x:c r="W274" s="33"/>
      <x:c r="X274" s="33" t="s">
        <x:v>238</x:v>
      </x:c>
      <x:c r="Y274" s="36"/>
      <x:c r="Z274" s="36"/>
      <x:c r="AA274" s="33" t="s">
        <x:v>120</x:v>
      </x:c>
      <x:c r="AB274" s="37" t="n">
        <x:f>IFERROR(INDEX(Effort_Model!$J$6:$J$33,MATCH(K274&amp;"|"&amp;L274,Effort_Model!$B$6:$B$33,0)),"")</x:f>
        <x:v>42.4</x:v>
      </x:c>
      <x:c r="AC274" s="38">
        <x:v>527.9</x:v>
      </x:c>
      <x:c r="AD274" s="37">
        <x:f t="shared" si="4"/>
        <x:v>641.23329999999999</x:v>
      </x:c>
      <x:c r="AE274" s="37" t="n">
        <x:f>IFERROR(ROUND(IFERROR(INDEX(Scoring_Rules!$C$43:$C$44,MATCH(Q274,Scoring_Rules!$B$43:$B$44,0)),0)*Scoring_Rules!$C$6+IFERROR(INDEX(Scoring_Rules!$C$34:$C$40,MATCH(K274,Scoring_Rules!$B$34:$B$40,0)),0)*Scoring_Rules!$C$7+IFERROR(INDEX(Scoring_Rules!$C$16:$C$19,MATCH(P274,Scoring_Rules!$B$16:$B$19,0)),0)*Scoring_Rules!$C$8+IFERROR(INDEX(Scoring_Rules!$C$22:$C$25,MATCH(O274,Scoring_Rules!$B$22:$B$25,0)),0)*Scoring_Rules!$C$9+IFERROR(INDEX(Scoring_Rules!$C$47:$C$50,MATCH(X274,Scoring_Rules!$B$47:$B$50,0)),0)*Scoring_Rules!$C$10+IFERROR(INDEX(Scoring_Rules!$C$28:$C$31,MATCH(R274,Scoring_Rules!$B$28:$B$31,0)),0)*Scoring_Rules!$C$11,1),"")</x:f>
        <x:v>42.3</x:v>
      </x:c>
      <x:c r="AF274" s="35">
        <x:v>7</x:v>
      </x:c>
      <x:c r="AG274" s="33" t="s">
        <x:v>1381</x:v>
      </x:c>
      <x:c r="AH274" s="36">
        <x:v>46337</x:v>
      </x:c>
      <x:c r="AI274" s="33" t="s">
        <x:v>127</x:v>
      </x:c>
      <x:c r="AJ274" s="34" t="s">
        <x:v>336</x:v>
      </x:c>
    </x:row>
    <x:row r="275" ht="23.25" customHeight="1">
      <x:c r="A275" s="31" t="s">
        <x:v>1456</x:v>
      </x:c>
      <x:c r="B275" s="31" t="s">
        <x:v>1457</x:v>
      </x:c>
      <x:c r="C275" s="31" t="s">
        <x:v>1360</x:v>
      </x:c>
      <x:c r="D275" s="32" t="s">
        <x:v>1458</x:v>
      </x:c>
      <x:c r="E275" s="32" t="str">
        <x:v>Data Migration Only</x:v>
      </x:c>
      <x:c r="F275" s="33" t="s">
        <x:v>118</x:v>
      </x:c>
      <x:c r="G275" s="34" t="s">
        <x:v>1380</x:v>
      </x:c>
      <x:c r="H275" s="33" t="s">
        <x:v>87</x:v>
      </x:c>
      <x:c r="I275" s="33" t="s">
        <x:v>1362</x:v>
      </x:c>
      <x:c r="J275" s="33" t="s">
        <x:v>80</x:v>
      </x:c>
      <x:c r="K275" s="33" t="s">
        <x:v>62</x:v>
      </x:c>
      <x:c r="L275" s="33" t="s">
        <x:v>75</x:v>
      </x:c>
      <x:c r="M275" s="35">
        <x:v>59</x:v>
      </x:c>
      <x:c r="N275" s="35">
        <x:v>122697171</x:v>
      </x:c>
      <x:c r="O275" s="33" t="s">
        <x:v>98</x:v>
      </x:c>
      <x:c r="P275" s="33" t="s">
        <x:v>73</x:v>
      </x:c>
      <x:c r="Q275" s="33" t="s">
        <x:v>120</x:v>
      </x:c>
      <x:c r="R275" s="33" t="s">
        <x:v>101</x:v>
      </x:c>
      <x:c r="S275" s="31" t="s">
        <x:v>1459</x:v>
      </x:c>
      <x:c r="T275" s="31" t="s">
        <x:v>1460</x:v>
      </x:c>
      <x:c r="U275" s="31" t="s">
        <x:v>276</x:v>
      </x:c>
      <x:c r="V275" s="33" t="s">
        <x:v>365</x:v>
      </x:c>
      <x:c r="W275" s="33"/>
      <x:c r="X275" s="33" t="s">
        <x:v>238</x:v>
      </x:c>
      <x:c r="Y275" s="36"/>
      <x:c r="Z275" s="36">
        <x:v>47085</x:v>
      </x:c>
      <x:c r="AA275" s="33" t="s">
        <x:v>120</x:v>
      </x:c>
      <x:c r="AB275" s="37" t="n">
        <x:f>IFERROR(INDEX(Effort_Model!$J$6:$J$33,MATCH(K275&amp;"|"&amp;L275,Effort_Model!$B$6:$B$33,0)),"")</x:f>
        <x:v>74.4</x:v>
      </x:c>
      <x:c r="AC275" s="38">
        <x:v>549.79999999999995</x:v>
      </x:c>
      <x:c r="AD275" s="37">
        <x:f t="shared" si="4"/>
        <x:v>759.13329999999996</x:v>
      </x:c>
      <x:c r="AE275" s="37" t="n">
        <x:f>IFERROR(ROUND(IFERROR(INDEX(Scoring_Rules!$C$43:$C$44,MATCH(Q275,Scoring_Rules!$B$43:$B$44,0)),0)*Scoring_Rules!$C$6+IFERROR(INDEX(Scoring_Rules!$C$34:$C$40,MATCH(K275,Scoring_Rules!$B$34:$B$40,0)),0)*Scoring_Rules!$C$7+IFERROR(INDEX(Scoring_Rules!$C$16:$C$19,MATCH(P275,Scoring_Rules!$B$16:$B$19,0)),0)*Scoring_Rules!$C$8+IFERROR(INDEX(Scoring_Rules!$C$22:$C$25,MATCH(O275,Scoring_Rules!$B$22:$B$25,0)),0)*Scoring_Rules!$C$9+IFERROR(INDEX(Scoring_Rules!$C$47:$C$50,MATCH(X275,Scoring_Rules!$B$47:$B$50,0)),0)*Scoring_Rules!$C$10+IFERROR(INDEX(Scoring_Rules!$C$28:$C$31,MATCH(R275,Scoring_Rules!$B$28:$B$31,0)),0)*Scoring_Rules!$C$11,1),"")</x:f>
        <x:v>56.8</x:v>
      </x:c>
      <x:c r="AF275" s="35">
        <x:v>5</x:v>
      </x:c>
      <x:c r="AG275" s="33" t="s">
        <x:v>1365</x:v>
      </x:c>
      <x:c r="AH275" s="36">
        <x:v>46332</x:v>
      </x:c>
      <x:c r="AI275" s="33" t="s">
        <x:v>127</x:v>
      </x:c>
      <x:c r="AJ275" s="34" t="s">
        <x:v>354</x:v>
      </x:c>
    </x:row>
    <x:row r="276" ht="15" customHeight="1">
      <x:c r="A276" s="31" t="s">
        <x:v>1461</x:v>
      </x:c>
      <x:c r="B276" s="31" t="s">
        <x:v>1462</x:v>
      </x:c>
      <x:c r="C276" s="31" t="s">
        <x:v>1360</x:v>
      </x:c>
      <x:c r="D276" s="32" t="s">
        <x:v>320</x:v>
      </x:c>
      <x:c r="E276" s="32" t="str">
        <x:v>Functional Migration Only</x:v>
      </x:c>
      <x:c r="F276" s="33" t="s">
        <x:v>120</x:v>
      </x:c>
      <x:c r="G276" s="34" t="s">
        <x:v>1386</x:v>
      </x:c>
      <x:c r="H276" s="33" t="s">
        <x:v>87</x:v>
      </x:c>
      <x:c r="I276" s="33" t="s">
        <x:v>1362</x:v>
      </x:c>
      <x:c r="J276" s="33" t="s">
        <x:v>82</x:v>
      </x:c>
      <x:c r="K276" s="33" t="s">
        <x:v>60</x:v>
      </x:c>
      <x:c r="L276" s="33" t="s">
        <x:v>73</x:v>
      </x:c>
      <x:c r="M276" s="35">
        <x:v>33</x:v>
      </x:c>
      <x:c r="N276" s="35">
        <x:v>5415286</x:v>
      </x:c>
      <x:c r="O276" s="33" t="s">
        <x:v>98</x:v>
      </x:c>
      <x:c r="P276" s="33" t="s">
        <x:v>73</x:v>
      </x:c>
      <x:c r="Q276" s="33" t="s">
        <x:v>120</x:v>
      </x:c>
      <x:c r="R276" s="33" t="s">
        <x:v>101</x:v>
      </x:c>
      <x:c r="S276" s="31" t="s">
        <x:v>1463</x:v>
      </x:c>
      <x:c r="T276" s="31" t="s">
        <x:v>1464</x:v>
      </x:c>
      <x:c r="U276" s="31" t="s">
        <x:v>276</x:v>
      </x:c>
      <x:c r="V276" s="33" t="s">
        <x:v>303</x:v>
      </x:c>
      <x:c r="W276" s="33" t="s">
        <x:v>1366</x:v>
      </x:c>
      <x:c r="X276" s="33" t="s">
        <x:v>240</x:v>
      </x:c>
      <x:c r="Y276" s="36">
        <x:v>46716</x:v>
      </x:c>
      <x:c r="Z276" s="36"/>
      <x:c r="AA276" s="33" t="s">
        <x:v>120</x:v>
      </x:c>
      <x:c r="AB276" s="37" t="n">
        <x:f>IFERROR(INDEX(Effort_Model!$J$6:$J$33,MATCH(K276&amp;"|"&amp;L276,Effort_Model!$B$6:$B$33,0)),"")</x:f>
        <x:v>42.4</x:v>
      </x:c>
      <x:c r="AC276" s="38">
        <x:v>410</x:v>
      </x:c>
      <x:c r="AD276" s="37">
        <x:f t="shared" si="4"/>
        <x:v>487</x:v>
      </x:c>
      <x:c r="AE276" s="37" t="n">
        <x:f>IFERROR(ROUND(IFERROR(INDEX(Scoring_Rules!$C$43:$C$44,MATCH(Q276,Scoring_Rules!$B$43:$B$44,0)),0)*Scoring_Rules!$C$6+IFERROR(INDEX(Scoring_Rules!$C$34:$C$40,MATCH(K276,Scoring_Rules!$B$34:$B$40,0)),0)*Scoring_Rules!$C$7+IFERROR(INDEX(Scoring_Rules!$C$16:$C$19,MATCH(P276,Scoring_Rules!$B$16:$B$19,0)),0)*Scoring_Rules!$C$8+IFERROR(INDEX(Scoring_Rules!$C$22:$C$25,MATCH(O276,Scoring_Rules!$B$22:$B$25,0)),0)*Scoring_Rules!$C$9+IFERROR(INDEX(Scoring_Rules!$C$47:$C$50,MATCH(X276,Scoring_Rules!$B$47:$B$50,0)),0)*Scoring_Rules!$C$10+IFERROR(INDEX(Scoring_Rules!$C$28:$C$31,MATCH(R276,Scoring_Rules!$B$28:$B$31,0)),0)*Scoring_Rules!$C$11,1),"")</x:f>
        <x:v>50.3</x:v>
      </x:c>
      <x:c r="AF276" s="35">
        <x:v>3</x:v>
      </x:c>
      <x:c r="AG276" s="33" t="s">
        <x:v>1371</x:v>
      </x:c>
      <x:c r="AH276" s="36">
        <x:v>46398</x:v>
      </x:c>
      <x:c r="AI276" s="33" t="s">
        <x:v>127</x:v>
      </x:c>
      <x:c r="AJ276" s="34" t="s">
        <x:v>336</x:v>
      </x:c>
    </x:row>
    <x:row r="277" ht="15" customHeight="1">
      <x:c r="A277" s="31" t="s">
        <x:v>1465</x:v>
      </x:c>
      <x:c r="B277" s="31" t="s">
        <x:v>1466</x:v>
      </x:c>
      <x:c r="C277" s="31" t="s">
        <x:v>1360</x:v>
      </x:c>
      <x:c r="D277" s="32" t="s">
        <x:v>320</x:v>
      </x:c>
      <x:c r="E277" s="32" t="str">
        <x:v>Functional Migration Only</x:v>
      </x:c>
      <x:c r="F277" s="33" t="s">
        <x:v>118</x:v>
      </x:c>
      <x:c r="G277" s="34" t="s">
        <x:v>1386</x:v>
      </x:c>
      <x:c r="H277" s="33" t="s">
        <x:v>87</x:v>
      </x:c>
      <x:c r="I277" s="33" t="s">
        <x:v>1362</x:v>
      </x:c>
      <x:c r="J277" s="33" t="s">
        <x:v>82</x:v>
      </x:c>
      <x:c r="K277" s="33" t="s">
        <x:v>62</x:v>
      </x:c>
      <x:c r="L277" s="33" t="s">
        <x:v>73</x:v>
      </x:c>
      <x:c r="M277" s="35">
        <x:v>68</x:v>
      </x:c>
      <x:c r="N277" s="35">
        <x:v>123436111</x:v>
      </x:c>
      <x:c r="O277" s="33" t="s">
        <x:v>73</x:v>
      </x:c>
      <x:c r="P277" s="33" t="s">
        <x:v>98</x:v>
      </x:c>
      <x:c r="Q277" s="33" t="s">
        <x:v>120</x:v>
      </x:c>
      <x:c r="R277" s="33" t="s">
        <x:v>101</x:v>
      </x:c>
      <x:c r="S277" s="31" t="s">
        <x:v>1467</x:v>
      </x:c>
      <x:c r="T277" s="31" t="s">
        <x:v>1468</x:v>
      </x:c>
      <x:c r="U277" s="31" t="s">
        <x:v>477</x:v>
      </x:c>
      <x:c r="V277" s="33" t="s">
        <x:v>444</x:v>
      </x:c>
      <x:c r="W277" s="33" t="s">
        <x:v>1469</x:v>
      </x:c>
      <x:c r="X277" s="33" t="s">
        <x:v>240</x:v>
      </x:c>
      <x:c r="Y277" s="36"/>
      <x:c r="Z277" s="36"/>
      <x:c r="AA277" s="33" t="s">
        <x:v>120</x:v>
      </x:c>
      <x:c r="AB277" s="37" t="n">
        <x:f>IFERROR(INDEX(Effort_Model!$J$6:$J$33,MATCH(K277&amp;"|"&amp;L277,Effort_Model!$B$6:$B$33,0)),"")</x:f>
        <x:v>74.4</x:v>
      </x:c>
      <x:c r="AC277" s="38">
        <x:v>739.8</x:v>
      </x:c>
      <x:c r="AD277" s="37">
        <x:f t="shared" si="4"/>
        <x:v>880.8</x:v>
      </x:c>
      <x:c r="AE277" s="37" t="n">
        <x:f>IFERROR(ROUND(IFERROR(INDEX(Scoring_Rules!$C$43:$C$44,MATCH(Q277,Scoring_Rules!$B$43:$B$44,0)),0)*Scoring_Rules!$C$6+IFERROR(INDEX(Scoring_Rules!$C$34:$C$40,MATCH(K277,Scoring_Rules!$B$34:$B$40,0)),0)*Scoring_Rules!$C$7+IFERROR(INDEX(Scoring_Rules!$C$16:$C$19,MATCH(P277,Scoring_Rules!$B$16:$B$19,0)),0)*Scoring_Rules!$C$8+IFERROR(INDEX(Scoring_Rules!$C$22:$C$25,MATCH(O277,Scoring_Rules!$B$22:$B$25,0)),0)*Scoring_Rules!$C$9+IFERROR(INDEX(Scoring_Rules!$C$47:$C$50,MATCH(X277,Scoring_Rules!$B$47:$B$50,0)),0)*Scoring_Rules!$C$10+IFERROR(INDEX(Scoring_Rules!$C$28:$C$31,MATCH(R277,Scoring_Rules!$B$28:$B$31,0)),0)*Scoring_Rules!$C$11,1),"")</x:f>
        <x:v>47.8</x:v>
      </x:c>
      <x:c r="AF277" s="35">
        <x:v>3</x:v>
      </x:c>
      <x:c r="AG277" s="33" t="s">
        <x:v>1377</x:v>
      </x:c>
      <x:c r="AH277" s="36">
        <x:v>46336</x:v>
      </x:c>
      <x:c r="AI277" s="33" t="s">
        <x:v>124</x:v>
      </x:c>
      <x:c r="AJ277" s="34" t="s">
        <x:v>395</x:v>
      </x:c>
    </x:row>
    <x:row r="278" ht="15" customHeight="1">
      <x:c r="A278" s="31" t="s">
        <x:v>1470</x:v>
      </x:c>
      <x:c r="B278" s="31" t="s">
        <x:v>1471</x:v>
      </x:c>
      <x:c r="C278" s="31" t="s">
        <x:v>1360</x:v>
      </x:c>
      <x:c r="D278" s="32" t="s">
        <x:v>760</x:v>
      </x:c>
      <x:c r="E278" s="32" t="str">
        <x:v>Functional Migration Only</x:v>
      </x:c>
      <x:c r="F278" s="33" t="s">
        <x:v>118</x:v>
      </x:c>
      <x:c r="G278" s="34" t="s">
        <x:v>1368</x:v>
      </x:c>
      <x:c r="H278" s="33" t="s">
        <x:v>87</x:v>
      </x:c>
      <x:c r="I278" s="33" t="s">
        <x:v>1362</x:v>
      </x:c>
      <x:c r="J278" s="33" t="s">
        <x:v>82</x:v>
      </x:c>
      <x:c r="K278" s="33" t="s">
        <x:v>60</x:v>
      </x:c>
      <x:c r="L278" s="33" t="s">
        <x:v>73</x:v>
      </x:c>
      <x:c r="M278" s="35">
        <x:v>46</x:v>
      </x:c>
      <x:c r="N278" s="35">
        <x:v>5731505</x:v>
      </x:c>
      <x:c r="O278" s="33" t="s">
        <x:v>73</x:v>
      </x:c>
      <x:c r="P278" s="33" t="s">
        <x:v>101</x:v>
      </x:c>
      <x:c r="Q278" s="33" t="s">
        <x:v>120</x:v>
      </x:c>
      <x:c r="R278" s="33" t="s">
        <x:v>101</x:v>
      </x:c>
      <x:c r="S278" s="31" t="s">
        <x:v>1369</x:v>
      </x:c>
      <x:c r="T278" s="31" t="s">
        <x:v>1370</x:v>
      </x:c>
      <x:c r="U278" s="31" t="s">
        <x:v>477</x:v>
      </x:c>
      <x:c r="V278" s="33" t="s">
        <x:v>365</x:v>
      </x:c>
      <x:c r="W278" s="33"/>
      <x:c r="X278" s="33" t="s">
        <x:v>238</x:v>
      </x:c>
      <x:c r="Y278" s="36"/>
      <x:c r="Z278" s="36">
        <x:v>46968</x:v>
      </x:c>
      <x:c r="AA278" s="33" t="s">
        <x:v>120</x:v>
      </x:c>
      <x:c r="AB278" s="37" t="n">
        <x:f>IFERROR(INDEX(Effort_Model!$J$6:$J$33,MATCH(K278&amp;"|"&amp;L278,Effort_Model!$B$6:$B$33,0)),"")</x:f>
        <x:v>42.4</x:v>
      </x:c>
      <x:c r="AC278" s="38">
        <x:v>406.6</x:v>
      </x:c>
      <x:c r="AD278" s="37">
        <x:f t="shared" si="4"/>
        <x:v>483.6</x:v>
      </x:c>
      <x:c r="AE278" s="37" t="n">
        <x:f>IFERROR(ROUND(IFERROR(INDEX(Scoring_Rules!$C$43:$C$44,MATCH(Q278,Scoring_Rules!$B$43:$B$44,0)),0)*Scoring_Rules!$C$6+IFERROR(INDEX(Scoring_Rules!$C$34:$C$40,MATCH(K278,Scoring_Rules!$B$34:$B$40,0)),0)*Scoring_Rules!$C$7+IFERROR(INDEX(Scoring_Rules!$C$16:$C$19,MATCH(P278,Scoring_Rules!$B$16:$B$19,0)),0)*Scoring_Rules!$C$8+IFERROR(INDEX(Scoring_Rules!$C$22:$C$25,MATCH(O278,Scoring_Rules!$B$22:$B$25,0)),0)*Scoring_Rules!$C$9+IFERROR(INDEX(Scoring_Rules!$C$47:$C$50,MATCH(X278,Scoring_Rules!$B$47:$B$50,0)),0)*Scoring_Rules!$C$10+IFERROR(INDEX(Scoring_Rules!$C$28:$C$31,MATCH(R278,Scoring_Rules!$B$28:$B$31,0)),0)*Scoring_Rules!$C$11,1),"")</x:f>
        <x:v>49.3</x:v>
      </x:c>
      <x:c r="AF278" s="35">
        <x:v>4</x:v>
      </x:c>
      <x:c r="AG278" s="33" t="s">
        <x:v>1381</x:v>
      </x:c>
      <x:c r="AH278" s="36">
        <x:v>46330</x:v>
      </x:c>
      <x:c r="AI278" s="33" t="s">
        <x:v>125</x:v>
      </x:c>
      <x:c r="AJ278" s="34"/>
    </x:row>
    <x:row r="279" ht="15" customHeight="1">
      <x:c r="A279" s="31" t="s">
        <x:v>1472</x:v>
      </x:c>
      <x:c r="B279" s="31" t="s">
        <x:v>1473</x:v>
      </x:c>
      <x:c r="C279" s="31" t="s">
        <x:v>1360</x:v>
      </x:c>
      <x:c r="D279" s="32" t="s">
        <x:v>760</x:v>
      </x:c>
      <x:c r="E279" s="32" t="str">
        <x:v>Data Migration Only</x:v>
      </x:c>
      <x:c r="F279" s="33" t="s">
        <x:v>118</x:v>
      </x:c>
      <x:c r="G279" s="34" t="s">
        <x:v>1361</x:v>
      </x:c>
      <x:c r="H279" s="33" t="s">
        <x:v>87</x:v>
      </x:c>
      <x:c r="I279" s="33" t="s">
        <x:v>1362</x:v>
      </x:c>
      <x:c r="J279" s="33" t="s">
        <x:v>80</x:v>
      </x:c>
      <x:c r="K279" s="33" t="s">
        <x:v>62</x:v>
      </x:c>
      <x:c r="L279" s="33" t="s">
        <x:v>75</x:v>
      </x:c>
      <x:c r="M279" s="35">
        <x:v>55</x:v>
      </x:c>
      <x:c r="N279" s="35">
        <x:v>81326982</x:v>
      </x:c>
      <x:c r="O279" s="33" t="s">
        <x:v>73</x:v>
      </x:c>
      <x:c r="P279" s="33" t="s">
        <x:v>73</x:v>
      </x:c>
      <x:c r="Q279" s="33" t="s">
        <x:v>120</x:v>
      </x:c>
      <x:c r="R279" s="33" t="s">
        <x:v>73</x:v>
      </x:c>
      <x:c r="S279" s="31" t="s">
        <x:v>1369</x:v>
      </x:c>
      <x:c r="T279" s="31" t="s">
        <x:v>1370</x:v>
      </x:c>
      <x:c r="U279" s="31" t="s">
        <x:v>477</x:v>
      </x:c>
      <x:c r="V279" s="33" t="s">
        <x:v>323</x:v>
      </x:c>
      <x:c r="W279" s="33"/>
      <x:c r="X279" s="33" t="s">
        <x:v>238</x:v>
      </x:c>
      <x:c r="Y279" s="36"/>
      <x:c r="Z279" s="36">
        <x:v>46662</x:v>
      </x:c>
      <x:c r="AA279" s="33" t="s">
        <x:v>120</x:v>
      </x:c>
      <x:c r="AB279" s="37" t="n">
        <x:f>IFERROR(INDEX(Effort_Model!$J$6:$J$33,MATCH(K279&amp;"|"&amp;L279,Effort_Model!$B$6:$B$33,0)),"")</x:f>
        <x:v>74.4</x:v>
      </x:c>
      <x:c r="AC279" s="38">
        <x:v>546.9</x:v>
      </x:c>
      <x:c r="AD279" s="37">
        <x:f t="shared" si="4"/>
        <x:v>756.23329999999999</x:v>
      </x:c>
      <x:c r="AE279" s="37" t="n">
        <x:f>IFERROR(ROUND(IFERROR(INDEX(Scoring_Rules!$C$43:$C$44,MATCH(Q279,Scoring_Rules!$B$43:$B$44,0)),0)*Scoring_Rules!$C$6+IFERROR(INDEX(Scoring_Rules!$C$34:$C$40,MATCH(K279,Scoring_Rules!$B$34:$B$40,0)),0)*Scoring_Rules!$C$7+IFERROR(INDEX(Scoring_Rules!$C$16:$C$19,MATCH(P279,Scoring_Rules!$B$16:$B$19,0)),0)*Scoring_Rules!$C$8+IFERROR(INDEX(Scoring_Rules!$C$22:$C$25,MATCH(O279,Scoring_Rules!$B$22:$B$25,0)),0)*Scoring_Rules!$C$9+IFERROR(INDEX(Scoring_Rules!$C$47:$C$50,MATCH(X279,Scoring_Rules!$B$47:$B$50,0)),0)*Scoring_Rules!$C$10+IFERROR(INDEX(Scoring_Rules!$C$28:$C$31,MATCH(R279,Scoring_Rules!$B$28:$B$31,0)),0)*Scoring_Rules!$C$11,1),"")</x:f>
        <x:v>54</x:v>
      </x:c>
      <x:c r="AF279" s="35">
        <x:v>5</x:v>
      </x:c>
      <x:c r="AG279" s="33" t="s">
        <x:v>1365</x:v>
      </x:c>
      <x:c r="AH279" s="36">
        <x:v>46406</x:v>
      </x:c>
      <x:c r="AI279" s="33" t="s">
        <x:v>127</x:v>
      </x:c>
      <x:c r="AJ279" s="34" t="s">
        <x:v>445</x:v>
      </x:c>
    </x:row>
    <x:row r="280" ht="15" customHeight="1">
      <x:c r="A280" s="31" t="s">
        <x:v>1474</x:v>
      </x:c>
      <x:c r="B280" s="31" t="s">
        <x:v>1475</x:v>
      </x:c>
      <x:c r="C280" s="31" t="s">
        <x:v>1360</x:v>
      </x:c>
      <x:c r="D280" s="32" t="s">
        <x:v>320</x:v>
      </x:c>
      <x:c r="E280" s="32" t="str">
        <x:v>Functional Migration Only</x:v>
      </x:c>
      <x:c r="F280" s="33" t="s">
        <x:v>118</x:v>
      </x:c>
      <x:c r="G280" s="34" t="s">
        <x:v>1361</x:v>
      </x:c>
      <x:c r="H280" s="33" t="s">
        <x:v>87</x:v>
      </x:c>
      <x:c r="I280" s="33" t="s">
        <x:v>1362</x:v>
      </x:c>
      <x:c r="J280" s="33" t="s">
        <x:v>82</x:v>
      </x:c>
      <x:c r="K280" s="33" t="s">
        <x:v>62</x:v>
      </x:c>
      <x:c r="L280" s="33" t="s">
        <x:v>71</x:v>
      </x:c>
      <x:c r="M280" s="35">
        <x:v>54</x:v>
      </x:c>
      <x:c r="N280" s="35">
        <x:v>87595844</x:v>
      </x:c>
      <x:c r="O280" s="33" t="s">
        <x:v>73</x:v>
      </x:c>
      <x:c r="P280" s="33" t="s">
        <x:v>98</x:v>
      </x:c>
      <x:c r="Q280" s="33" t="s">
        <x:v>120</x:v>
      </x:c>
      <x:c r="R280" s="33" t="s">
        <x:v>115</x:v>
      </x:c>
      <x:c r="S280" s="31" t="s">
        <x:v>604</x:v>
      </x:c>
      <x:c r="T280" s="31" t="s">
        <x:v>796</x:v>
      </x:c>
      <x:c r="U280" s="31" t="s">
        <x:v>276</x:v>
      </x:c>
      <x:c r="V280" s="33" t="s">
        <x:v>277</x:v>
      </x:c>
      <x:c r="W280" s="33" t="s">
        <x:v>1476</x:v>
      </x:c>
      <x:c r="X280" s="33" t="s">
        <x:v>240</x:v>
      </x:c>
      <x:c r="Y280" s="36"/>
      <x:c r="Z280" s="36"/>
      <x:c r="AA280" s="33" t="s">
        <x:v>120</x:v>
      </x:c>
      <x:c r="AB280" s="37" t="n">
        <x:f>IFERROR(INDEX(Effort_Model!$J$6:$J$33,MATCH(K280&amp;"|"&amp;L280,Effort_Model!$B$6:$B$33,0)),"")</x:f>
        <x:v>18.4</x:v>
      </x:c>
      <x:c r="AC280" s="38">
        <x:v>565.9</x:v>
      </x:c>
      <x:c r="AD280" s="37">
        <x:f t="shared" si="4"/>
        <x:v>640.29999999999995</x:v>
      </x:c>
      <x:c r="AE280" s="37" t="n">
        <x:f>IFERROR(ROUND(IFERROR(INDEX(Scoring_Rules!$C$43:$C$44,MATCH(Q280,Scoring_Rules!$B$43:$B$44,0)),0)*Scoring_Rules!$C$6+IFERROR(INDEX(Scoring_Rules!$C$34:$C$40,MATCH(K280,Scoring_Rules!$B$34:$B$40,0)),0)*Scoring_Rules!$C$7+IFERROR(INDEX(Scoring_Rules!$C$16:$C$19,MATCH(P280,Scoring_Rules!$B$16:$B$19,0)),0)*Scoring_Rules!$C$8+IFERROR(INDEX(Scoring_Rules!$C$22:$C$25,MATCH(O280,Scoring_Rules!$B$22:$B$25,0)),0)*Scoring_Rules!$C$9+IFERROR(INDEX(Scoring_Rules!$C$47:$C$50,MATCH(X280,Scoring_Rules!$B$47:$B$50,0)),0)*Scoring_Rules!$C$10+IFERROR(INDEX(Scoring_Rules!$C$28:$C$31,MATCH(R280,Scoring_Rules!$B$28:$B$31,0)),0)*Scoring_Rules!$C$11,1),"")</x:f>
        <x:v>46</x:v>
      </x:c>
      <x:c r="AF280" s="35">
        <x:v>2</x:v>
      </x:c>
      <x:c r="AG280" s="33" t="s">
        <x:v>1371</x:v>
      </x:c>
      <x:c r="AH280" s="36">
        <x:v>46332</x:v>
      </x:c>
      <x:c r="AI280" s="33" t="s">
        <x:v>127</x:v>
      </x:c>
      <x:c r="AJ280" s="34" t="s">
        <x:v>342</x:v>
      </x:c>
    </x:row>
    <x:row r="281" ht="15" customHeight="1">
      <x:c r="A281" s="31" t="s">
        <x:v>1477</x:v>
      </x:c>
      <x:c r="B281" s="31" t="s">
        <x:v>1478</x:v>
      </x:c>
      <x:c r="C281" s="31" t="s">
        <x:v>1360</x:v>
      </x:c>
      <x:c r="D281" s="32" t="s">
        <x:v>320</x:v>
      </x:c>
      <x:c r="E281" s="32" t="str">
        <x:v>Functional Migration Only</x:v>
      </x:c>
      <x:c r="F281" s="33" t="s">
        <x:v>118</x:v>
      </x:c>
      <x:c r="G281" s="34" t="s">
        <x:v>1380</x:v>
      </x:c>
      <x:c r="H281" s="33" t="s">
        <x:v>87</x:v>
      </x:c>
      <x:c r="I281" s="33" t="s">
        <x:v>1362</x:v>
      </x:c>
      <x:c r="J281" s="33" t="s">
        <x:v>82</x:v>
      </x:c>
      <x:c r="K281" s="33" t="s">
        <x:v>60</x:v>
      </x:c>
      <x:c r="L281" s="33" t="s">
        <x:v>71</x:v>
      </x:c>
      <x:c r="M281" s="35">
        <x:v>42</x:v>
      </x:c>
      <x:c r="N281" s="35">
        <x:v>4330618</x:v>
      </x:c>
      <x:c r="O281" s="33" t="s">
        <x:v>73</x:v>
      </x:c>
      <x:c r="P281" s="33" t="s">
        <x:v>98</x:v>
      </x:c>
      <x:c r="Q281" s="33" t="s">
        <x:v>120</x:v>
      </x:c>
      <x:c r="R281" s="33" t="s">
        <x:v>73</x:v>
      </x:c>
      <x:c r="S281" s="31" t="s">
        <x:v>1479</x:v>
      </x:c>
      <x:c r="T281" s="31" t="s">
        <x:v>1480</x:v>
      </x:c>
      <x:c r="U281" s="31" t="s">
        <x:v>522</x:v>
      </x:c>
      <x:c r="V281" s="33" t="s">
        <x:v>329</x:v>
      </x:c>
      <x:c r="W281" s="33" t="s">
        <x:v>1382</x:v>
      </x:c>
      <x:c r="X281" s="33" t="s">
        <x:v>239</x:v>
      </x:c>
      <x:c r="Y281" s="36"/>
      <x:c r="Z281" s="36">
        <x:v>47020</x:v>
      </x:c>
      <x:c r="AA281" s="33" t="s">
        <x:v>120</x:v>
      </x:c>
      <x:c r="AB281" s="37" t="n">
        <x:f>IFERROR(INDEX(Effort_Model!$J$6:$J$33,MATCH(K281&amp;"|"&amp;L281,Effort_Model!$B$6:$B$33,0)),"")</x:f>
        <x:v>18.4</x:v>
      </x:c>
      <x:c r="AC281" s="38">
        <x:v>319.7</x:v>
      </x:c>
      <x:c r="AD281" s="37">
        <x:f t="shared" si="4"/>
        <x:v>362.09999999999997</x:v>
      </x:c>
      <x:c r="AE281" s="37" t="n">
        <x:f>IFERROR(ROUND(IFERROR(INDEX(Scoring_Rules!$C$43:$C$44,MATCH(Q281,Scoring_Rules!$B$43:$B$44,0)),0)*Scoring_Rules!$C$6+IFERROR(INDEX(Scoring_Rules!$C$34:$C$40,MATCH(K281,Scoring_Rules!$B$34:$B$40,0)),0)*Scoring_Rules!$C$7+IFERROR(INDEX(Scoring_Rules!$C$16:$C$19,MATCH(P281,Scoring_Rules!$B$16:$B$19,0)),0)*Scoring_Rules!$C$8+IFERROR(INDEX(Scoring_Rules!$C$22:$C$25,MATCH(O281,Scoring_Rules!$B$22:$B$25,0)),0)*Scoring_Rules!$C$9+IFERROR(INDEX(Scoring_Rules!$C$47:$C$50,MATCH(X281,Scoring_Rules!$B$47:$B$50,0)),0)*Scoring_Rules!$C$10+IFERROR(INDEX(Scoring_Rules!$C$28:$C$31,MATCH(R281,Scoring_Rules!$B$28:$B$31,0)),0)*Scoring_Rules!$C$11,1),"")</x:f>
        <x:v>59.5</x:v>
      </x:c>
      <x:c r="AF281" s="35">
        <x:v>2</x:v>
      </x:c>
      <x:c r="AG281" s="33" t="s">
        <x:v>1377</x:v>
      </x:c>
      <x:c r="AH281" s="36">
        <x:v>46309</x:v>
      </x:c>
      <x:c r="AI281" s="33" t="s">
        <x:v>127</x:v>
      </x:c>
      <x:c r="AJ281" s="34" t="s">
        <x:v>445</x:v>
      </x:c>
    </x:row>
    <x:row r="282" ht="15" customHeight="1">
      <x:c r="A282" s="31" t="s">
        <x:v>1481</x:v>
      </x:c>
      <x:c r="B282" s="31" t="s">
        <x:v>1482</x:v>
      </x:c>
      <x:c r="C282" s="31" t="s">
        <x:v>1360</x:v>
      </x:c>
      <x:c r="D282" s="32" t="s">
        <x:v>1374</x:v>
      </x:c>
      <x:c r="E282" s="32" t="str">
        <x:v>Data Migration Only</x:v>
      </x:c>
      <x:c r="F282" s="33" t="s">
        <x:v>118</x:v>
      </x:c>
      <x:c r="G282" s="34" t="s">
        <x:v>1483</x:v>
      </x:c>
      <x:c r="H282" s="33" t="s">
        <x:v>89</x:v>
      </x:c>
      <x:c r="I282" s="33" t="s">
        <x:v>1362</x:v>
      </x:c>
      <x:c r="J282" s="33" t="s">
        <x:v>80</x:v>
      </x:c>
      <x:c r="K282" s="33" t="s">
        <x:v>62</x:v>
      </x:c>
      <x:c r="L282" s="33" t="s">
        <x:v>71</x:v>
      </x:c>
      <x:c r="M282" s="35">
        <x:v>70</x:v>
      </x:c>
      <x:c r="N282" s="35">
        <x:v>114033526</x:v>
      </x:c>
      <x:c r="O282" s="33" t="s">
        <x:v>101</x:v>
      </x:c>
      <x:c r="P282" s="33" t="s">
        <x:v>98</x:v>
      </x:c>
      <x:c r="Q282" s="33" t="s">
        <x:v>120</x:v>
      </x:c>
      <x:c r="R282" s="33" t="s">
        <x:v>101</x:v>
      </x:c>
      <x:c r="S282" s="31" t="s">
        <x:v>1484</x:v>
      </x:c>
      <x:c r="T282" s="31" t="s">
        <x:v>1485</x:v>
      </x:c>
      <x:c r="U282" s="31" t="s">
        <x:v>276</x:v>
      </x:c>
      <x:c r="V282" s="33" t="s">
        <x:v>365</x:v>
      </x:c>
      <x:c r="W282" s="33"/>
      <x:c r="X282" s="33" t="s">
        <x:v>238</x:v>
      </x:c>
      <x:c r="Y282" s="36"/>
      <x:c r="Z282" s="36"/>
      <x:c r="AA282" s="33" t="s">
        <x:v>120</x:v>
      </x:c>
      <x:c r="AB282" s="37" t="n">
        <x:f>IFERROR(INDEX(Effort_Model!$J$6:$J$33,MATCH(K282&amp;"|"&amp;L282,Effort_Model!$B$6:$B$33,0)),"")</x:f>
        <x:v>18.4</x:v>
      </x:c>
      <x:c r="AC282" s="38">
        <x:v>334.8</x:v>
      </x:c>
      <x:c r="AD282" s="37">
        <x:f t="shared" si="4"/>
        <x:v>409.20000000000005</x:v>
      </x:c>
      <x:c r="AE282" s="37" t="n">
        <x:f>IFERROR(ROUND(IFERROR(INDEX(Scoring_Rules!$C$43:$C$44,MATCH(Q282,Scoring_Rules!$B$43:$B$44,0)),0)*Scoring_Rules!$C$6+IFERROR(INDEX(Scoring_Rules!$C$34:$C$40,MATCH(K282,Scoring_Rules!$B$34:$B$40,0)),0)*Scoring_Rules!$C$7+IFERROR(INDEX(Scoring_Rules!$C$16:$C$19,MATCH(P282,Scoring_Rules!$B$16:$B$19,0)),0)*Scoring_Rules!$C$8+IFERROR(INDEX(Scoring_Rules!$C$22:$C$25,MATCH(O282,Scoring_Rules!$B$22:$B$25,0)),0)*Scoring_Rules!$C$9+IFERROR(INDEX(Scoring_Rules!$C$47:$C$50,MATCH(X282,Scoring_Rules!$B$47:$B$50,0)),0)*Scoring_Rules!$C$10+IFERROR(INDEX(Scoring_Rules!$C$28:$C$31,MATCH(R282,Scoring_Rules!$B$28:$B$31,0)),0)*Scoring_Rules!$C$11,1),"")</x:f>
        <x:v>53</x:v>
      </x:c>
      <x:c r="AF282" s="35"/>
      <x:c r="AG282" s="33" t="s">
        <x:v>1381</x:v>
      </x:c>
      <x:c r="AH282" s="36">
        <x:v>46399</x:v>
      </x:c>
      <x:c r="AI282" s="33" t="s">
        <x:v>125</x:v>
      </x:c>
      <x:c r="AJ282" s="34" t="s">
        <x:v>445</x:v>
      </x:c>
    </x:row>
    <x:row r="283" ht="15" customHeight="1">
      <x:c r="A283" s="31" t="s">
        <x:v>1486</x:v>
      </x:c>
      <x:c r="B283" s="31" t="s">
        <x:v>1487</x:v>
      </x:c>
      <x:c r="C283" s="31" t="s">
        <x:v>1360</x:v>
      </x:c>
      <x:c r="D283" s="32" t="s">
        <x:v>760</x:v>
      </x:c>
      <x:c r="E283" s="32" t="str">
        <x:v>Functional Migration Only</x:v>
      </x:c>
      <x:c r="F283" s="33" t="s">
        <x:v>118</x:v>
      </x:c>
      <x:c r="G283" s="34" t="s">
        <x:v>1368</x:v>
      </x:c>
      <x:c r="H283" s="33" t="s">
        <x:v>87</x:v>
      </x:c>
      <x:c r="I283" s="33" t="s">
        <x:v>1362</x:v>
      </x:c>
      <x:c r="J283" s="33" t="s">
        <x:v>82</x:v>
      </x:c>
      <x:c r="K283" s="33" t="s">
        <x:v>62</x:v>
      </x:c>
      <x:c r="L283" s="33" t="s">
        <x:v>71</x:v>
      </x:c>
      <x:c r="M283" s="35">
        <x:v>74</x:v>
      </x:c>
      <x:c r="N283" s="35">
        <x:v>98206634</x:v>
      </x:c>
      <x:c r="O283" s="33" t="s">
        <x:v>73</x:v>
      </x:c>
      <x:c r="P283" s="33" t="s">
        <x:v>73</x:v>
      </x:c>
      <x:c r="Q283" s="33" t="s">
        <x:v>120</x:v>
      </x:c>
      <x:c r="R283" s="33" t="s">
        <x:v>101</x:v>
      </x:c>
      <x:c r="S283" s="31" t="s">
        <x:v>1387</x:v>
      </x:c>
      <x:c r="T283" s="31" t="s">
        <x:v>1388</x:v>
      </x:c>
      <x:c r="U283" s="31" t="s">
        <x:v>276</x:v>
      </x:c>
      <x:c r="V283" s="33" t="s">
        <x:v>329</x:v>
      </x:c>
      <x:c r="W283" s="33"/>
      <x:c r="X283" s="33" t="s">
        <x:v>238</x:v>
      </x:c>
      <x:c r="Y283" s="36"/>
      <x:c r="Z283" s="36"/>
      <x:c r="AA283" s="33" t="s">
        <x:v>120</x:v>
      </x:c>
      <x:c r="AB283" s="37" t="n">
        <x:f>IFERROR(INDEX(Effort_Model!$J$6:$J$33,MATCH(K283&amp;"|"&amp;L283,Effort_Model!$B$6:$B$33,0)),"")</x:f>
        <x:v>18.4</x:v>
      </x:c>
      <x:c r="AC283" s="38">
        <x:v>489.2</x:v>
      </x:c>
      <x:c r="AD283" s="37">
        <x:f t="shared" si="4"/>
        <x:v>563.6</x:v>
      </x:c>
      <x:c r="AE283" s="37" t="n">
        <x:f>IFERROR(ROUND(IFERROR(INDEX(Scoring_Rules!$C$43:$C$44,MATCH(Q283,Scoring_Rules!$B$43:$B$44,0)),0)*Scoring_Rules!$C$6+IFERROR(INDEX(Scoring_Rules!$C$34:$C$40,MATCH(K283,Scoring_Rules!$B$34:$B$40,0)),0)*Scoring_Rules!$C$7+IFERROR(INDEX(Scoring_Rules!$C$16:$C$19,MATCH(P283,Scoring_Rules!$B$16:$B$19,0)),0)*Scoring_Rules!$C$8+IFERROR(INDEX(Scoring_Rules!$C$22:$C$25,MATCH(O283,Scoring_Rules!$B$22:$B$25,0)),0)*Scoring_Rules!$C$9+IFERROR(INDEX(Scoring_Rules!$C$47:$C$50,MATCH(X283,Scoring_Rules!$B$47:$B$50,0)),0)*Scoring_Rules!$C$10+IFERROR(INDEX(Scoring_Rules!$C$28:$C$31,MATCH(R283,Scoring_Rules!$B$28:$B$31,0)),0)*Scoring_Rules!$C$11,1),"")</x:f>
        <x:v>52.3</x:v>
      </x:c>
      <x:c r="AF283" s="35">
        <x:v>2</x:v>
      </x:c>
      <x:c r="AG283" s="33" t="s">
        <x:v>1365</x:v>
      </x:c>
      <x:c r="AH283" s="36">
        <x:v>46398</x:v>
      </x:c>
      <x:c r="AI283" s="33" t="s">
        <x:v>127</x:v>
      </x:c>
      <x:c r="AJ283" s="34"/>
    </x:row>
    <x:row r="284" ht="15" customHeight="1">
      <x:c r="A284" s="31" t="s">
        <x:v>1488</x:v>
      </x:c>
      <x:c r="B284" s="31" t="s">
        <x:v>1489</x:v>
      </x:c>
      <x:c r="C284" s="31" t="s">
        <x:v>1360</x:v>
      </x:c>
      <x:c r="D284" s="32" t="s">
        <x:v>320</x:v>
      </x:c>
      <x:c r="E284" s="32" t="str">
        <x:v>Data Migration Only</x:v>
      </x:c>
      <x:c r="F284" s="33" t="s">
        <x:v>120</x:v>
      </x:c>
      <x:c r="G284" s="34" t="s">
        <x:v>1361</x:v>
      </x:c>
      <x:c r="H284" s="33" t="s">
        <x:v>87</x:v>
      </x:c>
      <x:c r="I284" s="33" t="s">
        <x:v>1362</x:v>
      </x:c>
      <x:c r="J284" s="33" t="s">
        <x:v>80</x:v>
      </x:c>
      <x:c r="K284" s="33" t="s">
        <x:v>58</x:v>
      </x:c>
      <x:c r="L284" s="33" t="s">
        <x:v>71</x:v>
      </x:c>
      <x:c r="M284" s="35">
        <x:v>22</x:v>
      </x:c>
      <x:c r="N284" s="35">
        <x:v>1160734</x:v>
      </x:c>
      <x:c r="O284" s="33" t="s">
        <x:v>98</x:v>
      </x:c>
      <x:c r="P284" s="33" t="s">
        <x:v>73</x:v>
      </x:c>
      <x:c r="Q284" s="33" t="s">
        <x:v>120</x:v>
      </x:c>
      <x:c r="R284" s="33" t="s">
        <x:v>73</x:v>
      </x:c>
      <x:c r="S284" s="31" t="s">
        <x:v>1490</x:v>
      </x:c>
      <x:c r="T284" s="31" t="s">
        <x:v>1491</x:v>
      </x:c>
      <x:c r="U284" s="31" t="s">
        <x:v>522</x:v>
      </x:c>
      <x:c r="V284" s="33" t="s">
        <x:v>379</x:v>
      </x:c>
      <x:c r="W284" s="33" t="s">
        <x:v>1366</x:v>
      </x:c>
      <x:c r="X284" s="33" t="s">
        <x:v>240</x:v>
      </x:c>
      <x:c r="Y284" s="36"/>
      <x:c r="Z284" s="36">
        <x:v>46883</x:v>
      </x:c>
      <x:c r="AA284" s="33" t="s">
        <x:v>120</x:v>
      </x:c>
      <x:c r="AB284" s="37" t="n">
        <x:f>IFERROR(INDEX(Effort_Model!$J$6:$J$33,MATCH(K284&amp;"|"&amp;L284,Effort_Model!$B$6:$B$33,0)),"")</x:f>
        <x:v>18.4</x:v>
      </x:c>
      <x:c r="AC284" s="38">
        <x:v>110</x:v>
      </x:c>
      <x:c r="AD284" s="37">
        <x:f t="shared" si="4"/>
        <x:v>136.4</x:v>
      </x:c>
      <x:c r="AE284" s="37" t="n">
        <x:f>IFERROR(ROUND(IFERROR(INDEX(Scoring_Rules!$C$43:$C$44,MATCH(Q284,Scoring_Rules!$B$43:$B$44,0)),0)*Scoring_Rules!$C$6+IFERROR(INDEX(Scoring_Rules!$C$34:$C$40,MATCH(K284,Scoring_Rules!$B$34:$B$40,0)),0)*Scoring_Rules!$C$7+IFERROR(INDEX(Scoring_Rules!$C$16:$C$19,MATCH(P284,Scoring_Rules!$B$16:$B$19,0)),0)*Scoring_Rules!$C$8+IFERROR(INDEX(Scoring_Rules!$C$22:$C$25,MATCH(O284,Scoring_Rules!$B$22:$B$25,0)),0)*Scoring_Rules!$C$9+IFERROR(INDEX(Scoring_Rules!$C$47:$C$50,MATCH(X284,Scoring_Rules!$B$47:$B$50,0)),0)*Scoring_Rules!$C$10+IFERROR(INDEX(Scoring_Rules!$C$28:$C$31,MATCH(R284,Scoring_Rules!$B$28:$B$31,0)),0)*Scoring_Rules!$C$11,1),"")</x:f>
        <x:v>55</x:v>
      </x:c>
      <x:c r="AF284" s="35">
        <x:v>2</x:v>
      </x:c>
      <x:c r="AG284" s="33" t="s">
        <x:v>1371</x:v>
      </x:c>
      <x:c r="AH284" s="36">
        <x:v>46403</x:v>
      </x:c>
      <x:c r="AI284" s="33" t="s">
        <x:v>127</x:v>
      </x:c>
      <x:c r="AJ284" s="34" t="s">
        <x:v>445</x:v>
      </x:c>
    </x:row>
    <x:row r="285" ht="15" customHeight="1">
      <x:c r="A285" s="31" t="s">
        <x:v>1492</x:v>
      </x:c>
      <x:c r="B285" s="31" t="s">
        <x:v>1493</x:v>
      </x:c>
      <x:c r="C285" s="31" t="s">
        <x:v>1360</x:v>
      </x:c>
      <x:c r="D285" s="32" t="s">
        <x:v>799</x:v>
      </x:c>
      <x:c r="E285" s="32" t="str">
        <x:v>Functional Migration Only</x:v>
      </x:c>
      <x:c r="F285" s="33" t="s">
        <x:v>118</x:v>
      </x:c>
      <x:c r="G285" s="34" t="s">
        <x:v>1368</x:v>
      </x:c>
      <x:c r="H285" s="33" t="s">
        <x:v>87</x:v>
      </x:c>
      <x:c r="I285" s="33" t="s">
        <x:v>1362</x:v>
      </x:c>
      <x:c r="J285" s="33" t="s">
        <x:v>82</x:v>
      </x:c>
      <x:c r="K285" s="33" t="s">
        <x:v>56</x:v>
      </x:c>
      <x:c r="L285" s="33" t="s">
        <x:v>71</x:v>
      </x:c>
      <x:c r="M285" s="35">
        <x:v>5</x:v>
      </x:c>
      <x:c r="N285" s="35">
        <x:v>90550</x:v>
      </x:c>
      <x:c r="O285" s="33" t="s">
        <x:v>101</x:v>
      </x:c>
      <x:c r="P285" s="33" t="s">
        <x:v>101</x:v>
      </x:c>
      <x:c r="Q285" s="33" t="s">
        <x:v>120</x:v>
      </x:c>
      <x:c r="R285" s="33" t="s">
        <x:v>101</x:v>
      </x:c>
      <x:c r="S285" s="31" t="s">
        <x:v>1494</x:v>
      </x:c>
      <x:c r="T285" s="31" t="s">
        <x:v>1495</x:v>
      </x:c>
      <x:c r="U285" s="31" t="s">
        <x:v>276</x:v>
      </x:c>
      <x:c r="V285" s="33" t="s">
        <x:v>289</x:v>
      </x:c>
      <x:c r="W285" s="33"/>
      <x:c r="X285" s="33" t="s">
        <x:v>238</x:v>
      </x:c>
      <x:c r="Y285" s="36">
        <x:v>46672</x:v>
      </x:c>
      <x:c r="Z285" s="36"/>
      <x:c r="AA285" s="33" t="s">
        <x:v>120</x:v>
      </x:c>
      <x:c r="AB285" s="37" t="n">
        <x:f>IFERROR(INDEX(Effort_Model!$J$6:$J$33,MATCH(K285&amp;"|"&amp;L285,Effort_Model!$B$6:$B$33,0)),"")</x:f>
        <x:v>18.4</x:v>
      </x:c>
      <x:c r="AC285" s="38">
        <x:v>99.5</x:v>
      </x:c>
      <x:c r="AD285" s="37">
        <x:f t="shared" si="4"/>
        <x:v>117.9</x:v>
      </x:c>
      <x:c r="AE285" s="37" t="n">
        <x:f>IFERROR(ROUND(IFERROR(INDEX(Scoring_Rules!$C$43:$C$44,MATCH(Q285,Scoring_Rules!$B$43:$B$44,0)),0)*Scoring_Rules!$C$6+IFERROR(INDEX(Scoring_Rules!$C$34:$C$40,MATCH(K285,Scoring_Rules!$B$34:$B$40,0)),0)*Scoring_Rules!$C$7+IFERROR(INDEX(Scoring_Rules!$C$16:$C$19,MATCH(P285,Scoring_Rules!$B$16:$B$19,0)),0)*Scoring_Rules!$C$8+IFERROR(INDEX(Scoring_Rules!$C$22:$C$25,MATCH(O285,Scoring_Rules!$B$22:$B$25,0)),0)*Scoring_Rules!$C$9+IFERROR(INDEX(Scoring_Rules!$C$47:$C$50,MATCH(X285,Scoring_Rules!$B$47:$B$50,0)),0)*Scoring_Rules!$C$10+IFERROR(INDEX(Scoring_Rules!$C$28:$C$31,MATCH(R285,Scoring_Rules!$B$28:$B$31,0)),0)*Scoring_Rules!$C$11,1),"")</x:f>
        <x:v>49</x:v>
      </x:c>
      <x:c r="AF285" s="35">
        <x:v>3</x:v>
      </x:c>
      <x:c r="AG285" s="33" t="s">
        <x:v>1377</x:v>
      </x:c>
      <x:c r="AH285" s="36">
        <x:v>46379</x:v>
      </x:c>
      <x:c r="AI285" s="33" t="s">
        <x:v>127</x:v>
      </x:c>
      <x:c r="AJ285" s="34"/>
    </x:row>
    <x:row r="286" ht="15" customHeight="1">
      <x:c r="A286" s="31" t="s">
        <x:v>1496</x:v>
      </x:c>
      <x:c r="B286" s="31" t="s">
        <x:v>1497</x:v>
      </x:c>
      <x:c r="C286" s="31" t="s">
        <x:v>1360</x:v>
      </x:c>
      <x:c r="D286" s="32" t="s">
        <x:v>760</x:v>
      </x:c>
      <x:c r="E286" s="32" t="str">
        <x:v>Functional Migration Only</x:v>
      </x:c>
      <x:c r="F286" s="33" t="s">
        <x:v>120</x:v>
      </x:c>
      <x:c r="G286" s="34" t="s">
        <x:v>1361</x:v>
      </x:c>
      <x:c r="H286" s="33" t="s">
        <x:v>87</x:v>
      </x:c>
      <x:c r="I286" s="33" t="s">
        <x:v>1362</x:v>
      </x:c>
      <x:c r="J286" s="33" t="s">
        <x:v>82</x:v>
      </x:c>
      <x:c r="K286" s="33" t="s">
        <x:v>56</x:v>
      </x:c>
      <x:c r="L286" s="33" t="s">
        <x:v>75</x:v>
      </x:c>
      <x:c r="M286" s="35">
        <x:v>7</x:v>
      </x:c>
      <x:c r="N286" s="35">
        <x:v>132073</x:v>
      </x:c>
      <x:c r="O286" s="33" t="s">
        <x:v>101</x:v>
      </x:c>
      <x:c r="P286" s="33" t="s">
        <x:v>73</x:v>
      </x:c>
      <x:c r="Q286" s="33" t="s">
        <x:v>120</x:v>
      </x:c>
      <x:c r="R286" s="33" t="s">
        <x:v>115</x:v>
      </x:c>
      <x:c r="S286" s="31" t="s">
        <x:v>1498</x:v>
      </x:c>
      <x:c r="T286" s="31" t="s">
        <x:v>1499</x:v>
      </x:c>
      <x:c r="U286" s="31" t="s">
        <x:v>276</x:v>
      </x:c>
      <x:c r="V286" s="33" t="s">
        <x:v>277</x:v>
      </x:c>
      <x:c r="W286" s="33"/>
      <x:c r="X286" s="33" t="s">
        <x:v>238</x:v>
      </x:c>
      <x:c r="Y286" s="36">
        <x:v>46399</x:v>
      </x:c>
      <x:c r="Z286" s="36"/>
      <x:c r="AA286" s="33" t="s">
        <x:v>120</x:v>
      </x:c>
      <x:c r="AB286" s="37" t="n">
        <x:f>IFERROR(INDEX(Effort_Model!$J$6:$J$33,MATCH(K286&amp;"|"&amp;L286,Effort_Model!$B$6:$B$33,0)),"")</x:f>
        <x:v>18.4</x:v>
      </x:c>
      <x:c r="AC286" s="38">
        <x:v>185.7</x:v>
      </x:c>
      <x:c r="AD286" s="37">
        <x:f t="shared" si="4"/>
        <x:v>227.0333</x:v>
      </x:c>
      <x:c r="AE286" s="37" t="n">
        <x:f>IFERROR(ROUND(IFERROR(INDEX(Scoring_Rules!$C$43:$C$44,MATCH(Q286,Scoring_Rules!$B$43:$B$44,0)),0)*Scoring_Rules!$C$6+IFERROR(INDEX(Scoring_Rules!$C$34:$C$40,MATCH(K286,Scoring_Rules!$B$34:$B$40,0)),0)*Scoring_Rules!$C$7+IFERROR(INDEX(Scoring_Rules!$C$16:$C$19,MATCH(P286,Scoring_Rules!$B$16:$B$19,0)),0)*Scoring_Rules!$C$8+IFERROR(INDEX(Scoring_Rules!$C$22:$C$25,MATCH(O286,Scoring_Rules!$B$22:$B$25,0)),0)*Scoring_Rules!$C$9+IFERROR(INDEX(Scoring_Rules!$C$47:$C$50,MATCH(X286,Scoring_Rules!$B$47:$B$50,0)),0)*Scoring_Rules!$C$10+IFERROR(INDEX(Scoring_Rules!$C$28:$C$31,MATCH(R286,Scoring_Rules!$B$28:$B$31,0)),0)*Scoring_Rules!$C$11,1),"")</x:f>
        <x:v>54.3</x:v>
      </x:c>
      <x:c r="AF286" s="35">
        <x:v>5</x:v>
      </x:c>
      <x:c r="AG286" s="33" t="s">
        <x:v>1381</x:v>
      </x:c>
      <x:c r="AH286" s="36">
        <x:v>46386</x:v>
      </x:c>
      <x:c r="AI286" s="33" t="s">
        <x:v>127</x:v>
      </x:c>
      <x:c r="AJ286" s="34" t="s">
        <x:v>445</x:v>
      </x:c>
    </x:row>
    <x:row r="287" ht="15" customHeight="1">
      <x:c r="A287" s="31" t="s">
        <x:v>1500</x:v>
      </x:c>
      <x:c r="B287" s="31" t="s">
        <x:v>1501</x:v>
      </x:c>
      <x:c r="C287" s="31" t="s">
        <x:v>1360</x:v>
      </x:c>
      <x:c r="D287" s="32" t="s">
        <x:v>824</x:v>
      </x:c>
      <x:c r="E287" s="32" t="str">
        <x:v>Data Migration Only</x:v>
      </x:c>
      <x:c r="F287" s="33" t="s">
        <x:v>118</x:v>
      </x:c>
      <x:c r="G287" s="34" t="s">
        <x:v>1483</x:v>
      </x:c>
      <x:c r="H287" s="33" t="s">
        <x:v>89</x:v>
      </x:c>
      <x:c r="I287" s="33" t="s">
        <x:v>1362</x:v>
      </x:c>
      <x:c r="J287" s="33" t="s">
        <x:v>80</x:v>
      </x:c>
      <x:c r="K287" s="33" t="s">
        <x:v>66</x:v>
      </x:c>
      <x:c r="L287" s="33" t="s">
        <x:v>75</x:v>
      </x:c>
      <x:c r="M287" s="35">
        <x:v>158</x:v>
      </x:c>
      <x:c r="N287" s="35">
        <x:v>8215898859</x:v>
      </x:c>
      <x:c r="O287" s="33" t="s">
        <x:v>73</x:v>
      </x:c>
      <x:c r="P287" s="33" t="s">
        <x:v>98</x:v>
      </x:c>
      <x:c r="Q287" s="33" t="s">
        <x:v>120</x:v>
      </x:c>
      <x:c r="R287" s="33" t="s">
        <x:v>73</x:v>
      </x:c>
      <x:c r="S287" s="31" t="s">
        <x:v>1502</x:v>
      </x:c>
      <x:c r="T287" s="31" t="s">
        <x:v>1503</x:v>
      </x:c>
      <x:c r="U287" s="31" t="s">
        <x:v>276</x:v>
      </x:c>
      <x:c r="V287" s="33" t="s">
        <x:v>277</x:v>
      </x:c>
      <x:c r="W287" s="33" t="s">
        <x:v>1504</x:v>
      </x:c>
      <x:c r="X287" s="33" t="s">
        <x:v>239</x:v>
      </x:c>
      <x:c r="Y287" s="36"/>
      <x:c r="Z287" s="36">
        <x:v>46670</x:v>
      </x:c>
      <x:c r="AA287" s="33" t="s">
        <x:v>120</x:v>
      </x:c>
      <x:c r="AB287" s="37" t="n">
        <x:f>IFERROR(INDEX(Effort_Model!$J$6:$J$33,MATCH(K287&amp;"|"&amp;L287,Effort_Model!$B$6:$B$33,0)),"")</x:f>
        <x:v>138.4</x:v>
      </x:c>
      <x:c r="AC287" s="38">
        <x:v>1579.1</x:v>
      </x:c>
      <x:c r="AD287" s="37">
        <x:f t="shared" si="4"/>
        <x:v>1980.4332999999999</x:v>
      </x:c>
      <x:c r="AE287" s="37" t="n">
        <x:f>IFERROR(ROUND(IFERROR(INDEX(Scoring_Rules!$C$43:$C$44,MATCH(Q287,Scoring_Rules!$B$43:$B$44,0)),0)*Scoring_Rules!$C$6+IFERROR(INDEX(Scoring_Rules!$C$34:$C$40,MATCH(K287,Scoring_Rules!$B$34:$B$40,0)),0)*Scoring_Rules!$C$7+IFERROR(INDEX(Scoring_Rules!$C$16:$C$19,MATCH(P287,Scoring_Rules!$B$16:$B$19,0)),0)*Scoring_Rules!$C$8+IFERROR(INDEX(Scoring_Rules!$C$22:$C$25,MATCH(O287,Scoring_Rules!$B$22:$B$25,0)),0)*Scoring_Rules!$C$9+IFERROR(INDEX(Scoring_Rules!$C$47:$C$50,MATCH(X287,Scoring_Rules!$B$47:$B$50,0)),0)*Scoring_Rules!$C$10+IFERROR(INDEX(Scoring_Rules!$C$28:$C$31,MATCH(R287,Scoring_Rules!$B$28:$B$31,0)),0)*Scoring_Rules!$C$11,1),"")</x:f>
        <x:v>48.5</x:v>
      </x:c>
      <x:c r="AF287" s="35"/>
      <x:c r="AG287" s="33" t="s">
        <x:v>1365</x:v>
      </x:c>
      <x:c r="AH287" s="36">
        <x:v>46348</x:v>
      </x:c>
      <x:c r="AI287" s="33" t="s">
        <x:v>125</x:v>
      </x:c>
      <x:c r="AJ287" s="34" t="s">
        <x:v>336</x:v>
      </x:c>
    </x:row>
    <x:row r="288" ht="23.25" customHeight="1">
      <x:c r="A288" s="31" t="s">
        <x:v>1505</x:v>
      </x:c>
      <x:c r="B288" s="31" t="s">
        <x:v>1506</x:v>
      </x:c>
      <x:c r="C288" s="31" t="s">
        <x:v>1360</x:v>
      </x:c>
      <x:c r="D288" s="32" t="s">
        <x:v>1507</x:v>
      </x:c>
      <x:c r="E288" s="32" t="str">
        <x:v>Data Migration Only</x:v>
      </x:c>
      <x:c r="F288" s="33" t="s">
        <x:v>118</x:v>
      </x:c>
      <x:c r="G288" s="34" t="s">
        <x:v>1380</x:v>
      </x:c>
      <x:c r="H288" s="33" t="s">
        <x:v>87</x:v>
      </x:c>
      <x:c r="I288" s="33" t="s">
        <x:v>1362</x:v>
      </x:c>
      <x:c r="J288" s="33" t="s">
        <x:v>80</x:v>
      </x:c>
      <x:c r="K288" s="33" t="s">
        <x:v>64</x:v>
      </x:c>
      <x:c r="L288" s="33" t="s">
        <x:v>73</x:v>
      </x:c>
      <x:c r="M288" s="35">
        <x:v>86</x:v>
      </x:c>
      <x:c r="N288" s="35">
        <x:v>1206741248</x:v>
      </x:c>
      <x:c r="O288" s="33" t="s">
        <x:v>101</x:v>
      </x:c>
      <x:c r="P288" s="33" t="s">
        <x:v>101</x:v>
      </x:c>
      <x:c r="Q288" s="33" t="s">
        <x:v>120</x:v>
      </x:c>
      <x:c r="R288" s="33" t="s">
        <x:v>101</x:v>
      </x:c>
      <x:c r="S288" s="31" t="s">
        <x:v>1508</x:v>
      </x:c>
      <x:c r="T288" s="31" t="s">
        <x:v>1509</x:v>
      </x:c>
      <x:c r="U288" s="31" t="s">
        <x:v>276</x:v>
      </x:c>
      <x:c r="V288" s="33" t="s">
        <x:v>277</x:v>
      </x:c>
      <x:c r="W288" s="33" t="s">
        <x:v>1472</x:v>
      </x:c>
      <x:c r="X288" s="33" t="s">
        <x:v>239</x:v>
      </x:c>
      <x:c r="Y288" s="36"/>
      <x:c r="Z288" s="36">
        <x:v>46752</x:v>
      </x:c>
      <x:c r="AA288" s="33" t="s">
        <x:v>120</x:v>
      </x:c>
      <x:c r="AB288" s="37" t="n">
        <x:f>IFERROR(INDEX(Effort_Model!$J$6:$J$33,MATCH(K288&amp;"|"&amp;L288,Effort_Model!$B$6:$B$33,0)),"")</x:f>
        <x:v>106.4</x:v>
      </x:c>
      <x:c r="AC288" s="38">
        <x:v>795.4</x:v>
      </x:c>
      <x:c r="AD288" s="37">
        <x:f t="shared" si="4"/>
        <x:v>1000.4</x:v>
      </x:c>
      <x:c r="AE288" s="37" t="n">
        <x:f>IFERROR(ROUND(IFERROR(INDEX(Scoring_Rules!$C$43:$C$44,MATCH(Q288,Scoring_Rules!$B$43:$B$44,0)),0)*Scoring_Rules!$C$6+IFERROR(INDEX(Scoring_Rules!$C$34:$C$40,MATCH(K288,Scoring_Rules!$B$34:$B$40,0)),0)*Scoring_Rules!$C$7+IFERROR(INDEX(Scoring_Rules!$C$16:$C$19,MATCH(P288,Scoring_Rules!$B$16:$B$19,0)),0)*Scoring_Rules!$C$8+IFERROR(INDEX(Scoring_Rules!$C$22:$C$25,MATCH(O288,Scoring_Rules!$B$22:$B$25,0)),0)*Scoring_Rules!$C$9+IFERROR(INDEX(Scoring_Rules!$C$47:$C$50,MATCH(X288,Scoring_Rules!$B$47:$B$50,0)),0)*Scoring_Rules!$C$10+IFERROR(INDEX(Scoring_Rules!$C$28:$C$31,MATCH(R288,Scoring_Rules!$B$28:$B$31,0)),0)*Scoring_Rules!$C$11,1),"")</x:f>
        <x:v>31.5</x:v>
      </x:c>
      <x:c r="AF288" s="35">
        <x:v>6</x:v>
      </x:c>
      <x:c r="AG288" s="33" t="s">
        <x:v>1371</x:v>
      </x:c>
      <x:c r="AH288" s="36">
        <x:v>46311</x:v>
      </x:c>
      <x:c r="AI288" s="33" t="s">
        <x:v>126</x:v>
      </x:c>
      <x:c r="AJ288" s="34" t="s">
        <x:v>383</x:v>
      </x:c>
    </x:row>
    <x:row r="289" ht="15" customHeight="1">
      <x:c r="A289" s="31" t="s">
        <x:v>1510</x:v>
      </x:c>
      <x:c r="B289" s="31" t="s">
        <x:v>1511</x:v>
      </x:c>
      <x:c r="C289" s="31" t="s">
        <x:v>1360</x:v>
      </x:c>
      <x:c r="D289" s="32" t="s">
        <x:v>760</x:v>
      </x:c>
      <x:c r="E289" s="32" t="str">
        <x:v>Data Migration Only</x:v>
      </x:c>
      <x:c r="F289" s="33" t="s">
        <x:v>118</x:v>
      </x:c>
      <x:c r="G289" s="34" t="s">
        <x:v>864</x:v>
      </x:c>
      <x:c r="H289" s="33" t="s">
        <x:v>89</x:v>
      </x:c>
      <x:c r="I289" s="33" t="s">
        <x:v>1362</x:v>
      </x:c>
      <x:c r="J289" s="33" t="s">
        <x:v>80</x:v>
      </x:c>
      <x:c r="K289" s="33" t="s">
        <x:v>60</x:v>
      </x:c>
      <x:c r="L289" s="33" t="s">
        <x:v>71</x:v>
      </x:c>
      <x:c r="M289" s="35">
        <x:v>37</x:v>
      </x:c>
      <x:c r="N289" s="35">
        <x:v>3767611</x:v>
      </x:c>
      <x:c r="O289" s="33" t="s">
        <x:v>101</x:v>
      </x:c>
      <x:c r="P289" s="33" t="s">
        <x:v>101</x:v>
      </x:c>
      <x:c r="Q289" s="33" t="s">
        <x:v>120</x:v>
      </x:c>
      <x:c r="R289" s="33" t="s">
        <x:v>115</x:v>
      </x:c>
      <x:c r="S289" s="31" t="s">
        <x:v>1512</x:v>
      </x:c>
      <x:c r="T289" s="31" t="s">
        <x:v>1513</x:v>
      </x:c>
      <x:c r="U289" s="31" t="s">
        <x:v>1514</x:v>
      </x:c>
      <x:c r="V289" s="33" t="s">
        <x:v>365</x:v>
      </x:c>
      <x:c r="W289" s="33"/>
      <x:c r="X289" s="33" t="s">
        <x:v>238</x:v>
      </x:c>
      <x:c r="Y289" s="36"/>
      <x:c r="Z289" s="36"/>
      <x:c r="AA289" s="33" t="s">
        <x:v>120</x:v>
      </x:c>
      <x:c r="AB289" s="37" t="n">
        <x:f>IFERROR(INDEX(Effort_Model!$J$6:$J$33,MATCH(K289&amp;"|"&amp;L289,Effort_Model!$B$6:$B$33,0)),"")</x:f>
        <x:v>18.4</x:v>
      </x:c>
      <x:c r="AC289" s="38">
        <x:v>169.6</x:v>
      </x:c>
      <x:c r="AD289" s="37">
        <x:f t="shared" si="4"/>
        <x:v>212</x:v>
      </x:c>
      <x:c r="AE289" s="37" t="n">
        <x:f>IFERROR(ROUND(IFERROR(INDEX(Scoring_Rules!$C$43:$C$44,MATCH(Q289,Scoring_Rules!$B$43:$B$44,0)),0)*Scoring_Rules!$C$6+IFERROR(INDEX(Scoring_Rules!$C$34:$C$40,MATCH(K289,Scoring_Rules!$B$34:$B$40,0)),0)*Scoring_Rules!$C$7+IFERROR(INDEX(Scoring_Rules!$C$16:$C$19,MATCH(P289,Scoring_Rules!$B$16:$B$19,0)),0)*Scoring_Rules!$C$8+IFERROR(INDEX(Scoring_Rules!$C$22:$C$25,MATCH(O289,Scoring_Rules!$B$22:$B$25,0)),0)*Scoring_Rules!$C$9+IFERROR(INDEX(Scoring_Rules!$C$47:$C$50,MATCH(X289,Scoring_Rules!$B$47:$B$50,0)),0)*Scoring_Rules!$C$10+IFERROR(INDEX(Scoring_Rules!$C$28:$C$31,MATCH(R289,Scoring_Rules!$B$28:$B$31,0)),0)*Scoring_Rules!$C$11,1),"")</x:f>
        <x:v>42.3</x:v>
      </x:c>
      <x:c r="AF289" s="35"/>
      <x:c r="AG289" s="33" t="s">
        <x:v>1377</x:v>
      </x:c>
      <x:c r="AH289" s="36">
        <x:v>46319</x:v>
      </x:c>
      <x:c r="AI289" s="33" t="s">
        <x:v>126</x:v>
      </x:c>
      <x:c r="AJ289" s="34"/>
    </x:row>
    <x:row r="290" ht="34.5" customHeight="1">
      <x:c r="A290" s="31" t="s">
        <x:v>1515</x:v>
      </x:c>
      <x:c r="B290" s="31" t="s">
        <x:v>1516</x:v>
      </x:c>
      <x:c r="C290" s="31" t="s">
        <x:v>1360</x:v>
      </x:c>
      <x:c r="D290" s="32" t="s">
        <x:v>1517</x:v>
      </x:c>
      <x:c r="E290" s="32" t="str">
        <x:v>Data Migration Only</x:v>
      </x:c>
      <x:c r="F290" s="33" t="s">
        <x:v>118</x:v>
      </x:c>
      <x:c r="G290" s="34" t="s">
        <x:v>1380</x:v>
      </x:c>
      <x:c r="H290" s="33" t="s">
        <x:v>87</x:v>
      </x:c>
      <x:c r="I290" s="33" t="s">
        <x:v>1362</x:v>
      </x:c>
      <x:c r="J290" s="33" t="s">
        <x:v>80</x:v>
      </x:c>
      <x:c r="K290" s="33" t="s">
        <x:v>62</x:v>
      </x:c>
      <x:c r="L290" s="33" t="s">
        <x:v>71</x:v>
      </x:c>
      <x:c r="M290" s="35">
        <x:v>51</x:v>
      </x:c>
      <x:c r="N290" s="35">
        <x:v>55402761</x:v>
      </x:c>
      <x:c r="O290" s="33" t="s">
        <x:v>101</x:v>
      </x:c>
      <x:c r="P290" s="33" t="s">
        <x:v>73</x:v>
      </x:c>
      <x:c r="Q290" s="33" t="s">
        <x:v>120</x:v>
      </x:c>
      <x:c r="R290" s="33" t="s">
        <x:v>73</x:v>
      </x:c>
      <x:c r="S290" s="31" t="s">
        <x:v>520</x:v>
      </x:c>
      <x:c r="T290" s="31" t="s">
        <x:v>1518</x:v>
      </x:c>
      <x:c r="U290" s="31" t="s">
        <x:v>522</x:v>
      </x:c>
      <x:c r="V290" s="33" t="s">
        <x:v>379</x:v>
      </x:c>
      <x:c r="W290" s="33" t="s">
        <x:v>1492</x:v>
      </x:c>
      <x:c r="X290" s="33" t="s">
        <x:v>239</x:v>
      </x:c>
      <x:c r="Y290" s="36"/>
      <x:c r="Z290" s="36">
        <x:v>46808</x:v>
      </x:c>
      <x:c r="AA290" s="33" t="s">
        <x:v>120</x:v>
      </x:c>
      <x:c r="AB290" s="37" t="n">
        <x:f>IFERROR(INDEX(Effort_Model!$J$6:$J$33,MATCH(K290&amp;"|"&amp;L290,Effort_Model!$B$6:$B$33,0)),"")</x:f>
        <x:v>18.4</x:v>
      </x:c>
      <x:c r="AC290" s="38">
        <x:v>358.1</x:v>
      </x:c>
      <x:c r="AD290" s="37">
        <x:f t="shared" si="4"/>
        <x:v>432.5</x:v>
      </x:c>
      <x:c r="AE290" s="37" t="n">
        <x:f>IFERROR(ROUND(IFERROR(INDEX(Scoring_Rules!$C$43:$C$44,MATCH(Q290,Scoring_Rules!$B$43:$B$44,0)),0)*Scoring_Rules!$C$6+IFERROR(INDEX(Scoring_Rules!$C$34:$C$40,MATCH(K290,Scoring_Rules!$B$34:$B$40,0)),0)*Scoring_Rules!$C$7+IFERROR(INDEX(Scoring_Rules!$C$16:$C$19,MATCH(P290,Scoring_Rules!$B$16:$B$19,0)),0)*Scoring_Rules!$C$8+IFERROR(INDEX(Scoring_Rules!$C$22:$C$25,MATCH(O290,Scoring_Rules!$B$22:$B$25,0)),0)*Scoring_Rules!$C$9+IFERROR(INDEX(Scoring_Rules!$C$47:$C$50,MATCH(X290,Scoring_Rules!$B$47:$B$50,0)),0)*Scoring_Rules!$C$10+IFERROR(INDEX(Scoring_Rules!$C$28:$C$31,MATCH(R290,Scoring_Rules!$B$28:$B$31,0)),0)*Scoring_Rules!$C$11,1),"")</x:f>
        <x:v>44.3</x:v>
      </x:c>
      <x:c r="AF290" s="35">
        <x:v>4</x:v>
      </x:c>
      <x:c r="AG290" s="33" t="s">
        <x:v>1381</x:v>
      </x:c>
      <x:c r="AH290" s="36">
        <x:v>46341</x:v>
      </x:c>
      <x:c r="AI290" s="33" t="s">
        <x:v>127</x:v>
      </x:c>
      <x:c r="AJ290" s="34" t="s">
        <x:v>395</x:v>
      </x:c>
    </x:row>
    <x:row r="291" ht="15" customHeight="1">
      <x:c r="A291" s="31" t="s">
        <x:v>1519</x:v>
      </x:c>
      <x:c r="B291" s="31" t="s">
        <x:v>1520</x:v>
      </x:c>
      <x:c r="C291" s="31" t="s">
        <x:v>1360</x:v>
      </x:c>
      <x:c r="D291" s="32" t="s">
        <x:v>493</x:v>
      </x:c>
      <x:c r="E291" s="32" t="str">
        <x:v>Data Migration Only</x:v>
      </x:c>
      <x:c r="F291" s="33" t="s">
        <x:v>120</x:v>
      </x:c>
      <x:c r="G291" s="34" t="s">
        <x:v>1361</x:v>
      </x:c>
      <x:c r="H291" s="33" t="s">
        <x:v>87</x:v>
      </x:c>
      <x:c r="I291" s="33" t="s">
        <x:v>1362</x:v>
      </x:c>
      <x:c r="J291" s="33" t="s">
        <x:v>80</x:v>
      </x:c>
      <x:c r="K291" s="33" t="s">
        <x:v>60</x:v>
      </x:c>
      <x:c r="L291" s="33" t="s">
        <x:v>73</x:v>
      </x:c>
      <x:c r="M291" s="35">
        <x:v>37</x:v>
      </x:c>
      <x:c r="N291" s="35">
        <x:v>5950991</x:v>
      </x:c>
      <x:c r="O291" s="33" t="s">
        <x:v>73</x:v>
      </x:c>
      <x:c r="P291" s="33" t="s">
        <x:v>73</x:v>
      </x:c>
      <x:c r="Q291" s="33" t="s">
        <x:v>120</x:v>
      </x:c>
      <x:c r="R291" s="33" t="s">
        <x:v>73</x:v>
      </x:c>
      <x:c r="S291" s="31" t="s">
        <x:v>1521</x:v>
      </x:c>
      <x:c r="T291" s="31" t="s">
        <x:v>1522</x:v>
      </x:c>
      <x:c r="U291" s="31" t="s">
        <x:v>276</x:v>
      </x:c>
      <x:c r="V291" s="33" t="s">
        <x:v>277</x:v>
      </x:c>
      <x:c r="W291" s="33"/>
      <x:c r="X291" s="33" t="s">
        <x:v>238</x:v>
      </x:c>
      <x:c r="Y291" s="36"/>
      <x:c r="Z291" s="36">
        <x:v>46766</x:v>
      </x:c>
      <x:c r="AA291" s="33" t="s">
        <x:v>120</x:v>
      </x:c>
      <x:c r="AB291" s="37" t="n">
        <x:f>IFERROR(INDEX(Effort_Model!$J$6:$J$33,MATCH(K291&amp;"|"&amp;L291,Effort_Model!$B$6:$B$33,0)),"")</x:f>
        <x:v>42.4</x:v>
      </x:c>
      <x:c r="AC291" s="38">
        <x:v>264.60000000000002</x:v>
      </x:c>
      <x:c r="AD291" s="37">
        <x:f t="shared" si="4"/>
        <x:v>341.6</x:v>
      </x:c>
      <x:c r="AE291" s="37" t="n">
        <x:f>IFERROR(ROUND(IFERROR(INDEX(Scoring_Rules!$C$43:$C$44,MATCH(Q291,Scoring_Rules!$B$43:$B$44,0)),0)*Scoring_Rules!$C$6+IFERROR(INDEX(Scoring_Rules!$C$34:$C$40,MATCH(K291,Scoring_Rules!$B$34:$B$40,0)),0)*Scoring_Rules!$C$7+IFERROR(INDEX(Scoring_Rules!$C$16:$C$19,MATCH(P291,Scoring_Rules!$B$16:$B$19,0)),0)*Scoring_Rules!$C$8+IFERROR(INDEX(Scoring_Rules!$C$22:$C$25,MATCH(O291,Scoring_Rules!$B$22:$B$25,0)),0)*Scoring_Rules!$C$9+IFERROR(INDEX(Scoring_Rules!$C$47:$C$50,MATCH(X291,Scoring_Rules!$B$47:$B$50,0)),0)*Scoring_Rules!$C$10+IFERROR(INDEX(Scoring_Rules!$C$28:$C$31,MATCH(R291,Scoring_Rules!$B$28:$B$31,0)),0)*Scoring_Rules!$C$11,1),"")</x:f>
        <x:v>58</x:v>
      </x:c>
      <x:c r="AF291" s="35">
        <x:v>3</x:v>
      </x:c>
      <x:c r="AG291" s="33" t="s">
        <x:v>1365</x:v>
      </x:c>
      <x:c r="AH291" s="36">
        <x:v>46325</x:v>
      </x:c>
      <x:c r="AI291" s="33" t="s">
        <x:v>127</x:v>
      </x:c>
      <x:c r="AJ291" s="34"/>
    </x:row>
    <x:row r="292" ht="23.25" customHeight="1">
      <x:c r="A292" s="31" t="s">
        <x:v>1523</x:v>
      </x:c>
      <x:c r="B292" s="31" t="s">
        <x:v>1524</x:v>
      </x:c>
      <x:c r="C292" s="31" t="s">
        <x:v>1360</x:v>
      </x:c>
      <x:c r="D292" s="32" t="s">
        <x:v>1525</x:v>
      </x:c>
      <x:c r="E292" s="32" t="str">
        <x:v>Data Migration Only</x:v>
      </x:c>
      <x:c r="F292" s="33" t="s">
        <x:v>120</x:v>
      </x:c>
      <x:c r="G292" s="34" t="s">
        <x:v>1368</x:v>
      </x:c>
      <x:c r="H292" s="33" t="s">
        <x:v>87</x:v>
      </x:c>
      <x:c r="I292" s="33" t="s">
        <x:v>1362</x:v>
      </x:c>
      <x:c r="J292" s="33" t="s">
        <x:v>80</x:v>
      </x:c>
      <x:c r="K292" s="33" t="s">
        <x:v>62</x:v>
      </x:c>
      <x:c r="L292" s="33" t="s">
        <x:v>73</x:v>
      </x:c>
      <x:c r="M292" s="35">
        <x:v>64</x:v>
      </x:c>
      <x:c r="N292" s="35">
        <x:v>95857892</x:v>
      </x:c>
      <x:c r="O292" s="33" t="s">
        <x:v>101</x:v>
      </x:c>
      <x:c r="P292" s="33" t="s">
        <x:v>101</x:v>
      </x:c>
      <x:c r="Q292" s="33" t="s">
        <x:v>120</x:v>
      </x:c>
      <x:c r="R292" s="33" t="s">
        <x:v>115</x:v>
      </x:c>
      <x:c r="S292" s="31" t="s">
        <x:v>879</x:v>
      </x:c>
      <x:c r="T292" s="31" t="s">
        <x:v>1526</x:v>
      </x:c>
      <x:c r="U292" s="31" t="s">
        <x:v>276</x:v>
      </x:c>
      <x:c r="V292" s="33" t="s">
        <x:v>329</x:v>
      </x:c>
      <x:c r="W292" s="33"/>
      <x:c r="X292" s="33" t="s">
        <x:v>238</x:v>
      </x:c>
      <x:c r="Y292" s="36"/>
      <x:c r="Z292" s="36"/>
      <x:c r="AA292" s="33" t="s">
        <x:v>120</x:v>
      </x:c>
      <x:c r="AB292" s="37" t="n">
        <x:f>IFERROR(INDEX(Effort_Model!$J$6:$J$33,MATCH(K292&amp;"|"&amp;L292,Effort_Model!$B$6:$B$33,0)),"")</x:f>
        <x:v>74.4</x:v>
      </x:c>
      <x:c r="AC292" s="38">
        <x:v>413.4</x:v>
      </x:c>
      <x:c r="AD292" s="37">
        <x:f t="shared" si="4"/>
        <x:v>554.4</x:v>
      </x:c>
      <x:c r="AE292" s="37" t="n">
        <x:f>IFERROR(ROUND(IFERROR(INDEX(Scoring_Rules!$C$43:$C$44,MATCH(Q292,Scoring_Rules!$B$43:$B$44,0)),0)*Scoring_Rules!$C$6+IFERROR(INDEX(Scoring_Rules!$C$34:$C$40,MATCH(K292,Scoring_Rules!$B$34:$B$40,0)),0)*Scoring_Rules!$C$7+IFERROR(INDEX(Scoring_Rules!$C$16:$C$19,MATCH(P292,Scoring_Rules!$B$16:$B$19,0)),0)*Scoring_Rules!$C$8+IFERROR(INDEX(Scoring_Rules!$C$22:$C$25,MATCH(O292,Scoring_Rules!$B$22:$B$25,0)),0)*Scoring_Rules!$C$9+IFERROR(INDEX(Scoring_Rules!$C$47:$C$50,MATCH(X292,Scoring_Rules!$B$47:$B$50,0)),0)*Scoring_Rules!$C$10+IFERROR(INDEX(Scoring_Rules!$C$28:$C$31,MATCH(R292,Scoring_Rules!$B$28:$B$31,0)),0)*Scoring_Rules!$C$11,1),"")</x:f>
        <x:v>38.3</x:v>
      </x:c>
      <x:c r="AF292" s="35">
        <x:v>5</x:v>
      </x:c>
      <x:c r="AG292" s="33" t="s">
        <x:v>1371</x:v>
      </x:c>
      <x:c r="AH292" s="36">
        <x:v>46362</x:v>
      </x:c>
      <x:c r="AI292" s="33" t="s">
        <x:v>124</x:v>
      </x:c>
      <x:c r="AJ292" s="34"/>
    </x:row>
    <x:row r="293" ht="15" customHeight="1">
      <x:c r="A293" s="31" t="s">
        <x:v>1527</x:v>
      </x:c>
      <x:c r="B293" s="31" t="s">
        <x:v>1528</x:v>
      </x:c>
      <x:c r="C293" s="31" t="s">
        <x:v>1360</x:v>
      </x:c>
      <x:c r="D293" s="32" t="s">
        <x:v>1374</x:v>
      </x:c>
      <x:c r="E293" s="32" t="str">
        <x:v>Functional Migration Only</x:v>
      </x:c>
      <x:c r="F293" s="33" t="s">
        <x:v>120</x:v>
      </x:c>
      <x:c r="G293" s="34" t="s">
        <x:v>1361</x:v>
      </x:c>
      <x:c r="H293" s="33" t="s">
        <x:v>87</x:v>
      </x:c>
      <x:c r="I293" s="33" t="s">
        <x:v>1362</x:v>
      </x:c>
      <x:c r="J293" s="33" t="s">
        <x:v>82</x:v>
      </x:c>
      <x:c r="K293" s="33" t="s">
        <x:v>62</x:v>
      </x:c>
      <x:c r="L293" s="33" t="s">
        <x:v>75</x:v>
      </x:c>
      <x:c r="M293" s="35">
        <x:v>58</x:v>
      </x:c>
      <x:c r="N293" s="35">
        <x:v>51450385</x:v>
      </x:c>
      <x:c r="O293" s="33" t="s">
        <x:v>73</x:v>
      </x:c>
      <x:c r="P293" s="33" t="s">
        <x:v>73</x:v>
      </x:c>
      <x:c r="Q293" s="33" t="s">
        <x:v>120</x:v>
      </x:c>
      <x:c r="R293" s="33" t="s">
        <x:v>73</x:v>
      </x:c>
      <x:c r="S293" s="31" t="s">
        <x:v>1529</x:v>
      </x:c>
      <x:c r="T293" s="31" t="s">
        <x:v>1530</x:v>
      </x:c>
      <x:c r="U293" s="31" t="s">
        <x:v>276</x:v>
      </x:c>
      <x:c r="V293" s="33" t="s">
        <x:v>365</x:v>
      </x:c>
      <x:c r="W293" s="33"/>
      <x:c r="X293" s="33" t="s">
        <x:v>238</x:v>
      </x:c>
      <x:c r="Y293" s="36"/>
      <x:c r="Z293" s="36"/>
      <x:c r="AA293" s="33" t="s">
        <x:v>120</x:v>
      </x:c>
      <x:c r="AB293" s="37" t="n">
        <x:f>IFERROR(INDEX(Effort_Model!$J$6:$J$33,MATCH(K293&amp;"|"&amp;L293,Effort_Model!$B$6:$B$33,0)),"")</x:f>
        <x:v>74.4</x:v>
      </x:c>
      <x:c r="AC293" s="38">
        <x:v>872.1</x:v>
      </x:c>
      <x:c r="AD293" s="37">
        <x:f t="shared" si="4"/>
        <x:v>1081.4333000000001</x:v>
      </x:c>
      <x:c r="AE293" s="37" t="n">
        <x:f>IFERROR(ROUND(IFERROR(INDEX(Scoring_Rules!$C$43:$C$44,MATCH(Q293,Scoring_Rules!$B$43:$B$44,0)),0)*Scoring_Rules!$C$6+IFERROR(INDEX(Scoring_Rules!$C$34:$C$40,MATCH(K293,Scoring_Rules!$B$34:$B$40,0)),0)*Scoring_Rules!$C$7+IFERROR(INDEX(Scoring_Rules!$C$16:$C$19,MATCH(P293,Scoring_Rules!$B$16:$B$19,0)),0)*Scoring_Rules!$C$8+IFERROR(INDEX(Scoring_Rules!$C$22:$C$25,MATCH(O293,Scoring_Rules!$B$22:$B$25,0)),0)*Scoring_Rules!$C$9+IFERROR(INDEX(Scoring_Rules!$C$47:$C$50,MATCH(X293,Scoring_Rules!$B$47:$B$50,0)),0)*Scoring_Rules!$C$10+IFERROR(INDEX(Scoring_Rules!$C$28:$C$31,MATCH(R293,Scoring_Rules!$B$28:$B$31,0)),0)*Scoring_Rules!$C$11,1),"")</x:f>
        <x:v>54</x:v>
      </x:c>
      <x:c r="AF293" s="35">
        <x:v>5</x:v>
      </x:c>
      <x:c r="AG293" s="33" t="s">
        <x:v>1377</x:v>
      </x:c>
      <x:c r="AH293" s="36">
        <x:v>46393</x:v>
      </x:c>
      <x:c r="AI293" s="33" t="s">
        <x:v>125</x:v>
      </x:c>
      <x:c r="AJ293" s="34" t="s">
        <x:v>354</x:v>
      </x:c>
    </x:row>
    <x:row r="294" ht="15" customHeight="1">
      <x:c r="A294" s="31" t="s">
        <x:v>1531</x:v>
      </x:c>
      <x:c r="B294" s="31" t="s">
        <x:v>1532</x:v>
      </x:c>
      <x:c r="C294" s="31" t="s">
        <x:v>1360</x:v>
      </x:c>
      <x:c r="D294" s="32" t="s">
        <x:v>1374</x:v>
      </x:c>
      <x:c r="E294" s="32" t="str">
        <x:v>Functional Migration Only</x:v>
      </x:c>
      <x:c r="F294" s="33" t="s">
        <x:v>120</x:v>
      </x:c>
      <x:c r="G294" s="34" t="s">
        <x:v>1386</x:v>
      </x:c>
      <x:c r="H294" s="33" t="s">
        <x:v>87</x:v>
      </x:c>
      <x:c r="I294" s="33" t="s">
        <x:v>1362</x:v>
      </x:c>
      <x:c r="J294" s="33" t="s">
        <x:v>82</x:v>
      </x:c>
      <x:c r="K294" s="33" t="s">
        <x:v>60</x:v>
      </x:c>
      <x:c r="L294" s="33" t="s">
        <x:v>73</x:v>
      </x:c>
      <x:c r="M294" s="35">
        <x:v>33</x:v>
      </x:c>
      <x:c r="N294" s="35">
        <x:v>4809765</x:v>
      </x:c>
      <x:c r="O294" s="33" t="s">
        <x:v>101</x:v>
      </x:c>
      <x:c r="P294" s="33" t="s">
        <x:v>73</x:v>
      </x:c>
      <x:c r="Q294" s="33" t="s">
        <x:v>118</x:v>
      </x:c>
      <x:c r="R294" s="33" t="s">
        <x:v>98</x:v>
      </x:c>
      <x:c r="S294" s="31" t="s">
        <x:v>1484</x:v>
      </x:c>
      <x:c r="T294" s="31" t="s">
        <x:v>1533</x:v>
      </x:c>
      <x:c r="U294" s="31" t="s">
        <x:v>522</x:v>
      </x:c>
      <x:c r="V294" s="33" t="s">
        <x:v>303</x:v>
      </x:c>
      <x:c r="W294" s="33"/>
      <x:c r="X294" s="33" t="s">
        <x:v>238</x:v>
      </x:c>
      <x:c r="Y294" s="36"/>
      <x:c r="Z294" s="36"/>
      <x:c r="AA294" s="33" t="s">
        <x:v>120</x:v>
      </x:c>
      <x:c r="AB294" s="37" t="n">
        <x:f>IFERROR(INDEX(Effort_Model!$J$6:$J$33,MATCH(K294&amp;"|"&amp;L294,Effort_Model!$B$6:$B$33,0)),"")</x:f>
        <x:v>42.4</x:v>
      </x:c>
      <x:c r="AC294" s="38">
        <x:v>430.4</x:v>
      </x:c>
      <x:c r="AD294" s="37">
        <x:f t="shared" si="4"/>
        <x:v>507.4</x:v>
      </x:c>
      <x:c r="AE294" s="37" t="n">
        <x:f>IFERROR(ROUND(IFERROR(INDEX(Scoring_Rules!$C$43:$C$44,MATCH(Q294,Scoring_Rules!$B$43:$B$44,0)),0)*Scoring_Rules!$C$6+IFERROR(INDEX(Scoring_Rules!$C$34:$C$40,MATCH(K294,Scoring_Rules!$B$34:$B$40,0)),0)*Scoring_Rules!$C$7+IFERROR(INDEX(Scoring_Rules!$C$16:$C$19,MATCH(P294,Scoring_Rules!$B$16:$B$19,0)),0)*Scoring_Rules!$C$8+IFERROR(INDEX(Scoring_Rules!$C$22:$C$25,MATCH(O294,Scoring_Rules!$B$22:$B$25,0)),0)*Scoring_Rules!$C$9+IFERROR(INDEX(Scoring_Rules!$C$47:$C$50,MATCH(X294,Scoring_Rules!$B$47:$B$50,0)),0)*Scoring_Rules!$C$10+IFERROR(INDEX(Scoring_Rules!$C$28:$C$31,MATCH(R294,Scoring_Rules!$B$28:$B$31,0)),0)*Scoring_Rules!$C$11,1),"")</x:f>
        <x:v>79.3</x:v>
      </x:c>
      <x:c r="AF294" s="35">
        <x:v>2</x:v>
      </x:c>
      <x:c r="AG294" s="33" t="s">
        <x:v>1381</x:v>
      </x:c>
      <x:c r="AH294" s="36">
        <x:v>46395</x:v>
      </x:c>
      <x:c r="AI294" s="33" t="s">
        <x:v>126</x:v>
      </x:c>
      <x:c r="AJ294" s="34"/>
    </x:row>
    <x:row r="295" ht="15" customHeight="1">
      <x:c r="A295" s="31" t="s">
        <x:v>1534</x:v>
      </x:c>
      <x:c r="B295" s="31" t="s">
        <x:v>1535</x:v>
      </x:c>
      <x:c r="C295" s="31" t="s">
        <x:v>1360</x:v>
      </x:c>
      <x:c r="D295" s="32" t="s">
        <x:v>1374</x:v>
      </x:c>
      <x:c r="E295" s="32" t="str">
        <x:v>Data Migration Only</x:v>
      </x:c>
      <x:c r="F295" s="33" t="s">
        <x:v>118</x:v>
      </x:c>
      <x:c r="G295" s="34" t="s">
        <x:v>1361</x:v>
      </x:c>
      <x:c r="H295" s="33" t="s">
        <x:v>87</x:v>
      </x:c>
      <x:c r="I295" s="33" t="s">
        <x:v>1362</x:v>
      </x:c>
      <x:c r="J295" s="33" t="s">
        <x:v>80</x:v>
      </x:c>
      <x:c r="K295" s="33" t="s">
        <x:v>60</x:v>
      </x:c>
      <x:c r="L295" s="33" t="s">
        <x:v>71</x:v>
      </x:c>
      <x:c r="M295" s="35">
        <x:v>35</x:v>
      </x:c>
      <x:c r="N295" s="35">
        <x:v>6159434</x:v>
      </x:c>
      <x:c r="O295" s="33" t="s">
        <x:v>98</x:v>
      </x:c>
      <x:c r="P295" s="33" t="s">
        <x:v>73</x:v>
      </x:c>
      <x:c r="Q295" s="33" t="s">
        <x:v>120</x:v>
      </x:c>
      <x:c r="R295" s="33" t="s">
        <x:v>101</x:v>
      </x:c>
      <x:c r="S295" s="31" t="s">
        <x:v>1536</x:v>
      </x:c>
      <x:c r="T295" s="31" t="s">
        <x:v>1537</x:v>
      </x:c>
      <x:c r="U295" s="31" t="s">
        <x:v>276</x:v>
      </x:c>
      <x:c r="V295" s="33" t="s">
        <x:v>303</x:v>
      </x:c>
      <x:c r="W295" s="33" t="s">
        <x:v>1432</x:v>
      </x:c>
      <x:c r="X295" s="33" t="s">
        <x:v>240</x:v>
      </x:c>
      <x:c r="Y295" s="36"/>
      <x:c r="Z295" s="36"/>
      <x:c r="AA295" s="33" t="s">
        <x:v>120</x:v>
      </x:c>
      <x:c r="AB295" s="37" t="n">
        <x:f>IFERROR(INDEX(Effort_Model!$J$6:$J$33,MATCH(K295&amp;"|"&amp;L295,Effort_Model!$B$6:$B$33,0)),"")</x:f>
        <x:v>18.4</x:v>
      </x:c>
      <x:c r="AC295" s="38">
        <x:v>198.4</x:v>
      </x:c>
      <x:c r="AD295" s="37">
        <x:f t="shared" si="4"/>
        <x:v>240.8</x:v>
      </x:c>
      <x:c r="AE295" s="37" t="n">
        <x:f>IFERROR(ROUND(IFERROR(INDEX(Scoring_Rules!$C$43:$C$44,MATCH(Q295,Scoring_Rules!$B$43:$B$44,0)),0)*Scoring_Rules!$C$6+IFERROR(INDEX(Scoring_Rules!$C$34:$C$40,MATCH(K295,Scoring_Rules!$B$34:$B$40,0)),0)*Scoring_Rules!$C$7+IFERROR(INDEX(Scoring_Rules!$C$16:$C$19,MATCH(P295,Scoring_Rules!$B$16:$B$19,0)),0)*Scoring_Rules!$C$8+IFERROR(INDEX(Scoring_Rules!$C$22:$C$25,MATCH(O295,Scoring_Rules!$B$22:$B$25,0)),0)*Scoring_Rules!$C$9+IFERROR(INDEX(Scoring_Rules!$C$47:$C$50,MATCH(X295,Scoring_Rules!$B$47:$B$50,0)),0)*Scoring_Rules!$C$10+IFERROR(INDEX(Scoring_Rules!$C$28:$C$31,MATCH(R295,Scoring_Rules!$B$28:$B$31,0)),0)*Scoring_Rules!$C$11,1),"")</x:f>
        <x:v>50.3</x:v>
      </x:c>
      <x:c r="AF295" s="35">
        <x:v>2</x:v>
      </x:c>
      <x:c r="AG295" s="33" t="s">
        <x:v>1365</x:v>
      </x:c>
      <x:c r="AH295" s="36">
        <x:v>46342</x:v>
      </x:c>
      <x:c r="AI295" s="33" t="s">
        <x:v>125</x:v>
      </x:c>
      <x:c r="AJ295" s="34"/>
    </x:row>
    <x:row r="296" ht="15" customHeight="1">
      <x:c r="A296" s="31" t="s">
        <x:v>1538</x:v>
      </x:c>
      <x:c r="B296" s="31" t="s">
        <x:v>1539</x:v>
      </x:c>
      <x:c r="C296" s="31" t="s">
        <x:v>1360</x:v>
      </x:c>
      <x:c r="D296" s="32" t="s">
        <x:v>760</x:v>
      </x:c>
      <x:c r="E296" s="32" t="str">
        <x:v>Functional Migration Only</x:v>
      </x:c>
      <x:c r="F296" s="33" t="s">
        <x:v>120</x:v>
      </x:c>
      <x:c r="G296" s="34" t="s">
        <x:v>1368</x:v>
      </x:c>
      <x:c r="H296" s="33" t="s">
        <x:v>87</x:v>
      </x:c>
      <x:c r="I296" s="33" t="s">
        <x:v>1362</x:v>
      </x:c>
      <x:c r="J296" s="33" t="s">
        <x:v>82</x:v>
      </x:c>
      <x:c r="K296" s="33" t="s">
        <x:v>62</x:v>
      </x:c>
      <x:c r="L296" s="33" t="s">
        <x:v>77</x:v>
      </x:c>
      <x:c r="M296" s="35">
        <x:v>61</x:v>
      </x:c>
      <x:c r="N296" s="35">
        <x:v>138797790</x:v>
      </x:c>
      <x:c r="O296" s="33" t="s">
        <x:v>73</x:v>
      </x:c>
      <x:c r="P296" s="33" t="s">
        <x:v>101</x:v>
      </x:c>
      <x:c r="Q296" s="33" t="s">
        <x:v>120</x:v>
      </x:c>
      <x:c r="R296" s="33" t="s">
        <x:v>101</x:v>
      </x:c>
      <x:c r="S296" s="31" t="s">
        <x:v>1540</x:v>
      </x:c>
      <x:c r="T296" s="31" t="s">
        <x:v>1541</x:v>
      </x:c>
      <x:c r="U296" s="31" t="s">
        <x:v>276</x:v>
      </x:c>
      <x:c r="V296" s="33" t="s">
        <x:v>289</x:v>
      </x:c>
      <x:c r="W296" s="33" t="s">
        <x:v>1542</x:v>
      </x:c>
      <x:c r="X296" s="33" t="s">
        <x:v>239</x:v>
      </x:c>
      <x:c r="Y296" s="36">
        <x:v>46540</x:v>
      </x:c>
      <x:c r="Z296" s="36"/>
      <x:c r="AA296" s="33" t="s">
        <x:v>120</x:v>
      </x:c>
      <x:c r="AB296" s="37" t="n">
        <x:f>IFERROR(INDEX(Effort_Model!$J$6:$J$33,MATCH(K296&amp;"|"&amp;L296,Effort_Model!$B$6:$B$33,0)),"")</x:f>
        <x:v>74.4</x:v>
      </x:c>
      <x:c r="AC296" s="38">
        <x:v>1327</x:v>
      </x:c>
      <x:c r="AD296" s="37">
        <x:f t="shared" si="4"/>
        <x:v>1600.3333</x:v>
      </x:c>
      <x:c r="AE296" s="37" t="n">
        <x:f>IFERROR(ROUND(IFERROR(INDEX(Scoring_Rules!$C$43:$C$44,MATCH(Q296,Scoring_Rules!$B$43:$B$44,0)),0)*Scoring_Rules!$C$6+IFERROR(INDEX(Scoring_Rules!$C$34:$C$40,MATCH(K296,Scoring_Rules!$B$34:$B$40,0)),0)*Scoring_Rules!$C$7+IFERROR(INDEX(Scoring_Rules!$C$16:$C$19,MATCH(P296,Scoring_Rules!$B$16:$B$19,0)),0)*Scoring_Rules!$C$8+IFERROR(INDEX(Scoring_Rules!$C$22:$C$25,MATCH(O296,Scoring_Rules!$B$22:$B$25,0)),0)*Scoring_Rules!$C$9+IFERROR(INDEX(Scoring_Rules!$C$47:$C$50,MATCH(X296,Scoring_Rules!$B$47:$B$50,0)),0)*Scoring_Rules!$C$10+IFERROR(INDEX(Scoring_Rules!$C$28:$C$31,MATCH(R296,Scoring_Rules!$B$28:$B$31,0)),0)*Scoring_Rules!$C$11,1),"")</x:f>
        <x:v>40.8</x:v>
      </x:c>
      <x:c r="AF296" s="35">
        <x:v>8</x:v>
      </x:c>
      <x:c r="AG296" s="33" t="s">
        <x:v>1371</x:v>
      </x:c>
      <x:c r="AH296" s="36">
        <x:v>46389</x:v>
      </x:c>
      <x:c r="AI296" s="33" t="s">
        <x:v>127</x:v>
      </x:c>
      <x:c r="AJ296" s="34" t="s">
        <x:v>383</x:v>
      </x:c>
    </x:row>
    <x:row r="297" ht="15" customHeight="1">
      <x:c r="A297" s="31" t="s">
        <x:v>1543</x:v>
      </x:c>
      <x:c r="B297" s="31" t="s">
        <x:v>1544</x:v>
      </x:c>
      <x:c r="C297" s="31" t="s">
        <x:v>1360</x:v>
      </x:c>
      <x:c r="D297" s="32" t="s">
        <x:v>1374</x:v>
      </x:c>
      <x:c r="E297" s="32" t="str">
        <x:v>Data Migration Only</x:v>
      </x:c>
      <x:c r="F297" s="33" t="s">
        <x:v>120</x:v>
      </x:c>
      <x:c r="G297" s="34" t="s">
        <x:v>1361</x:v>
      </x:c>
      <x:c r="H297" s="33" t="s">
        <x:v>87</x:v>
      </x:c>
      <x:c r="I297" s="33" t="s">
        <x:v>1362</x:v>
      </x:c>
      <x:c r="J297" s="33" t="s">
        <x:v>80</x:v>
      </x:c>
      <x:c r="K297" s="33" t="s">
        <x:v>60</x:v>
      </x:c>
      <x:c r="L297" s="33" t="s">
        <x:v>77</x:v>
      </x:c>
      <x:c r="M297" s="35">
        <x:v>43</x:v>
      </x:c>
      <x:c r="N297" s="35">
        <x:v>4108581</x:v>
      </x:c>
      <x:c r="O297" s="33" t="s">
        <x:v>98</x:v>
      </x:c>
      <x:c r="P297" s="33" t="s">
        <x:v>101</x:v>
      </x:c>
      <x:c r="Q297" s="33" t="s">
        <x:v>120</x:v>
      </x:c>
      <x:c r="R297" s="33" t="s">
        <x:v>101</x:v>
      </x:c>
      <x:c r="S297" s="31" t="s">
        <x:v>1545</x:v>
      </x:c>
      <x:c r="T297" s="31" t="s">
        <x:v>1546</x:v>
      </x:c>
      <x:c r="U297" s="31" t="s">
        <x:v>522</x:v>
      </x:c>
      <x:c r="V297" s="33" t="s">
        <x:v>323</x:v>
      </x:c>
      <x:c r="W297" s="33"/>
      <x:c r="X297" s="33" t="s">
        <x:v>238</x:v>
      </x:c>
      <x:c r="Y297" s="36"/>
      <x:c r="Z297" s="36"/>
      <x:c r="AA297" s="33" t="s">
        <x:v>120</x:v>
      </x:c>
      <x:c r="AB297" s="37" t="n">
        <x:f>IFERROR(INDEX(Effort_Model!$J$6:$J$33,MATCH(K297&amp;"|"&amp;L297,Effort_Model!$B$6:$B$33,0)),"")</x:f>
        <x:v>42.4</x:v>
      </x:c>
      <x:c r="AC297" s="38">
        <x:v>468.5</x:v>
      </x:c>
      <x:c r="AD297" s="37">
        <x:f t="shared" si="4"/>
        <x:v>613.83330000000001</x:v>
      </x:c>
      <x:c r="AE297" s="37" t="n">
        <x:f>IFERROR(ROUND(IFERROR(INDEX(Scoring_Rules!$C$43:$C$44,MATCH(Q297,Scoring_Rules!$B$43:$B$44,0)),0)*Scoring_Rules!$C$6+IFERROR(INDEX(Scoring_Rules!$C$34:$C$40,MATCH(K297,Scoring_Rules!$B$34:$B$40,0)),0)*Scoring_Rules!$C$7+IFERROR(INDEX(Scoring_Rules!$C$16:$C$19,MATCH(P297,Scoring_Rules!$B$16:$B$19,0)),0)*Scoring_Rules!$C$8+IFERROR(INDEX(Scoring_Rules!$C$22:$C$25,MATCH(O297,Scoring_Rules!$B$22:$B$25,0)),0)*Scoring_Rules!$C$9+IFERROR(INDEX(Scoring_Rules!$C$47:$C$50,MATCH(X297,Scoring_Rules!$B$47:$B$50,0)),0)*Scoring_Rules!$C$10+IFERROR(INDEX(Scoring_Rules!$C$28:$C$31,MATCH(R297,Scoring_Rules!$B$28:$B$31,0)),0)*Scoring_Rules!$C$11,1),"")</x:f>
        <x:v>53.8</x:v>
      </x:c>
      <x:c r="AF297" s="35">
        <x:v>7</x:v>
      </x:c>
      <x:c r="AG297" s="33" t="s">
        <x:v>1377</x:v>
      </x:c>
      <x:c r="AH297" s="36">
        <x:v>46403</x:v>
      </x:c>
      <x:c r="AI297" s="33" t="s">
        <x:v>128</x:v>
      </x:c>
      <x:c r="AJ297" s="34" t="s">
        <x:v>354</x:v>
      </x:c>
    </x:row>
    <x:row r="298" ht="15" customHeight="1">
      <x:c r="A298" s="31" t="s">
        <x:v>1547</x:v>
      </x:c>
      <x:c r="B298" s="31" t="s">
        <x:v>1548</x:v>
      </x:c>
      <x:c r="C298" s="31" t="s">
        <x:v>1360</x:v>
      </x:c>
      <x:c r="D298" s="32" t="s">
        <x:v>824</x:v>
      </x:c>
      <x:c r="E298" s="32" t="str">
        <x:v>Functional Migration Only</x:v>
      </x:c>
      <x:c r="F298" s="33" t="s">
        <x:v>118</x:v>
      </x:c>
      <x:c r="G298" s="34" t="s">
        <x:v>1386</x:v>
      </x:c>
      <x:c r="H298" s="33" t="s">
        <x:v>87</x:v>
      </x:c>
      <x:c r="I298" s="33" t="s">
        <x:v>1362</x:v>
      </x:c>
      <x:c r="J298" s="33" t="s">
        <x:v>82</x:v>
      </x:c>
      <x:c r="K298" s="33" t="s">
        <x:v>58</x:v>
      </x:c>
      <x:c r="L298" s="33" t="s">
        <x:v>75</x:v>
      </x:c>
      <x:c r="M298" s="35">
        <x:v>22</x:v>
      </x:c>
      <x:c r="N298" s="35">
        <x:v>1397945</x:v>
      </x:c>
      <x:c r="O298" s="33" t="s">
        <x:v>73</x:v>
      </x:c>
      <x:c r="P298" s="33" t="s">
        <x:v>73</x:v>
      </x:c>
      <x:c r="Q298" s="33" t="s">
        <x:v>120</x:v>
      </x:c>
      <x:c r="R298" s="33" t="s">
        <x:v>73</x:v>
      </x:c>
      <x:c r="S298" s="31" t="s">
        <x:v>630</x:v>
      </x:c>
      <x:c r="T298" s="31" t="s">
        <x:v>1400</x:v>
      </x:c>
      <x:c r="U298" s="31" t="s">
        <x:v>522</x:v>
      </x:c>
      <x:c r="V298" s="33" t="s">
        <x:v>379</x:v>
      </x:c>
      <x:c r="W298" s="33"/>
      <x:c r="X298" s="33" t="s">
        <x:v>238</x:v>
      </x:c>
      <x:c r="Y298" s="36"/>
      <x:c r="Z298" s="36"/>
      <x:c r="AA298" s="33" t="s">
        <x:v>120</x:v>
      </x:c>
      <x:c r="AB298" s="37" t="n">
        <x:f>IFERROR(INDEX(Effort_Model!$J$6:$J$33,MATCH(K298&amp;"|"&amp;L298,Effort_Model!$B$6:$B$33,0)),"")</x:f>
        <x:v>26.4</x:v>
      </x:c>
      <x:c r="AC298" s="38">
        <x:v>352.5</x:v>
      </x:c>
      <x:c r="AD298" s="37">
        <x:f t="shared" si="4"/>
        <x:v>417.83330000000001</x:v>
      </x:c>
      <x:c r="AE298" s="37" t="n">
        <x:f>IFERROR(ROUND(IFERROR(INDEX(Scoring_Rules!$C$43:$C$44,MATCH(Q298,Scoring_Rules!$B$43:$B$44,0)),0)*Scoring_Rules!$C$6+IFERROR(INDEX(Scoring_Rules!$C$34:$C$40,MATCH(K298,Scoring_Rules!$B$34:$B$40,0)),0)*Scoring_Rules!$C$7+IFERROR(INDEX(Scoring_Rules!$C$16:$C$19,MATCH(P298,Scoring_Rules!$B$16:$B$19,0)),0)*Scoring_Rules!$C$8+IFERROR(INDEX(Scoring_Rules!$C$22:$C$25,MATCH(O298,Scoring_Rules!$B$22:$B$25,0)),0)*Scoring_Rules!$C$9+IFERROR(INDEX(Scoring_Rules!$C$47:$C$50,MATCH(X298,Scoring_Rules!$B$47:$B$50,0)),0)*Scoring_Rules!$C$10+IFERROR(INDEX(Scoring_Rules!$C$28:$C$31,MATCH(R298,Scoring_Rules!$B$28:$B$31,0)),0)*Scoring_Rules!$C$11,1),"")</x:f>
        <x:v>61</x:v>
      </x:c>
      <x:c r="AF298" s="35">
        <x:v>4</x:v>
      </x:c>
      <x:c r="AG298" s="33" t="s">
        <x:v>1381</x:v>
      </x:c>
      <x:c r="AH298" s="36">
        <x:v>46316</x:v>
      </x:c>
      <x:c r="AI298" s="33" t="s">
        <x:v>126</x:v>
      </x:c>
      <x:c r="AJ298" s="34"/>
    </x:row>
    <x:row r="299" ht="15" customHeight="1">
      <x:c r="A299" s="31" t="s">
        <x:v>1549</x:v>
      </x:c>
      <x:c r="B299" s="31" t="s">
        <x:v>1550</x:v>
      </x:c>
      <x:c r="C299" s="31" t="s">
        <x:v>1360</x:v>
      </x:c>
      <x:c r="D299" s="32" t="s">
        <x:v>824</x:v>
      </x:c>
      <x:c r="E299" s="32" t="str">
        <x:v>Functional Migration Only</x:v>
      </x:c>
      <x:c r="F299" s="33" t="s">
        <x:v>118</x:v>
      </x:c>
      <x:c r="G299" s="34" t="s">
        <x:v>1368</x:v>
      </x:c>
      <x:c r="H299" s="33" t="s">
        <x:v>87</x:v>
      </x:c>
      <x:c r="I299" s="33" t="s">
        <x:v>1362</x:v>
      </x:c>
      <x:c r="J299" s="33" t="s">
        <x:v>82</x:v>
      </x:c>
      <x:c r="K299" s="33" t="s">
        <x:v>60</x:v>
      </x:c>
      <x:c r="L299" s="33" t="s">
        <x:v>75</x:v>
      </x:c>
      <x:c r="M299" s="35">
        <x:v>39</x:v>
      </x:c>
      <x:c r="N299" s="35">
        <x:v>3756242</x:v>
      </x:c>
      <x:c r="O299" s="33" t="s">
        <x:v>73</x:v>
      </x:c>
      <x:c r="P299" s="33" t="s">
        <x:v>101</x:v>
      </x:c>
      <x:c r="Q299" s="33" t="s">
        <x:v>120</x:v>
      </x:c>
      <x:c r="R299" s="33" t="s">
        <x:v>115</x:v>
      </x:c>
      <x:c r="S299" s="31" t="s">
        <x:v>1551</x:v>
      </x:c>
      <x:c r="T299" s="31" t="s">
        <x:v>1552</x:v>
      </x:c>
      <x:c r="U299" s="31" t="s">
        <x:v>276</x:v>
      </x:c>
      <x:c r="V299" s="33" t="s">
        <x:v>289</x:v>
      </x:c>
      <x:c r="W299" s="33"/>
      <x:c r="X299" s="33" t="s">
        <x:v>238</x:v>
      </x:c>
      <x:c r="Y299" s="36"/>
      <x:c r="Z299" s="36"/>
      <x:c r="AA299" s="33" t="s">
        <x:v>120</x:v>
      </x:c>
      <x:c r="AB299" s="37" t="n">
        <x:f>IFERROR(INDEX(Effort_Model!$J$6:$J$33,MATCH(K299&amp;"|"&amp;L299,Effort_Model!$B$6:$B$33,0)),"")</x:f>
        <x:v>42.4</x:v>
      </x:c>
      <x:c r="AC299" s="38">
        <x:v>551.20000000000005</x:v>
      </x:c>
      <x:c r="AD299" s="37">
        <x:f t="shared" si="4"/>
        <x:v>664.53330000000005</x:v>
      </x:c>
      <x:c r="AE299" s="37" t="n">
        <x:f>IFERROR(ROUND(IFERROR(INDEX(Scoring_Rules!$C$43:$C$44,MATCH(Q299,Scoring_Rules!$B$43:$B$44,0)),0)*Scoring_Rules!$C$6+IFERROR(INDEX(Scoring_Rules!$C$34:$C$40,MATCH(K299,Scoring_Rules!$B$34:$B$40,0)),0)*Scoring_Rules!$C$7+IFERROR(INDEX(Scoring_Rules!$C$16:$C$19,MATCH(P299,Scoring_Rules!$B$16:$B$19,0)),0)*Scoring_Rules!$C$8+IFERROR(INDEX(Scoring_Rules!$C$22:$C$25,MATCH(O299,Scoring_Rules!$B$22:$B$25,0)),0)*Scoring_Rules!$C$9+IFERROR(INDEX(Scoring_Rules!$C$47:$C$50,MATCH(X299,Scoring_Rules!$B$47:$B$50,0)),0)*Scoring_Rules!$C$10+IFERROR(INDEX(Scoring_Rules!$C$28:$C$31,MATCH(R299,Scoring_Rules!$B$28:$B$31,0)),0)*Scoring_Rules!$C$11,1),"")</x:f>
        <x:v>47.5</x:v>
      </x:c>
      <x:c r="AF299" s="35">
        <x:v>6</x:v>
      </x:c>
      <x:c r="AG299" s="33" t="s">
        <x:v>1365</x:v>
      </x:c>
      <x:c r="AH299" s="36">
        <x:v>46358</x:v>
      </x:c>
      <x:c r="AI299" s="33" t="s">
        <x:v>127</x:v>
      </x:c>
      <x:c r="AJ299" s="34"/>
    </x:row>
    <x:row r="300" ht="15" customHeight="1">
      <x:c r="A300" s="31" t="s">
        <x:v>1553</x:v>
      </x:c>
      <x:c r="B300" s="31" t="s">
        <x:v>1554</x:v>
      </x:c>
      <x:c r="C300" s="31" t="s">
        <x:v>1360</x:v>
      </x:c>
      <x:c r="D300" s="32" t="s">
        <x:v>760</x:v>
      </x:c>
      <x:c r="E300" s="32" t="str">
        <x:v>Data Migration Only</x:v>
      </x:c>
      <x:c r="F300" s="33" t="s">
        <x:v>118</x:v>
      </x:c>
      <x:c r="G300" s="34" t="s">
        <x:v>1368</x:v>
      </x:c>
      <x:c r="H300" s="33" t="s">
        <x:v>87</x:v>
      </x:c>
      <x:c r="I300" s="33" t="s">
        <x:v>1362</x:v>
      </x:c>
      <x:c r="J300" s="33" t="s">
        <x:v>80</x:v>
      </x:c>
      <x:c r="K300" s="33" t="s">
        <x:v>64</x:v>
      </x:c>
      <x:c r="L300" s="33" t="s">
        <x:v>73</x:v>
      </x:c>
      <x:c r="M300" s="35">
        <x:v>108</x:v>
      </x:c>
      <x:c r="N300" s="35">
        <x:v>726781938</x:v>
      </x:c>
      <x:c r="O300" s="33" t="s">
        <x:v>73</x:v>
      </x:c>
      <x:c r="P300" s="33" t="s">
        <x:v>73</x:v>
      </x:c>
      <x:c r="Q300" s="33" t="s">
        <x:v>120</x:v>
      </x:c>
      <x:c r="R300" s="33" t="s">
        <x:v>115</x:v>
      </x:c>
      <x:c r="S300" s="31" t="s">
        <x:v>879</x:v>
      </x:c>
      <x:c r="T300" s="31" t="s">
        <x:v>1555</x:v>
      </x:c>
      <x:c r="U300" s="31" t="s">
        <x:v>276</x:v>
      </x:c>
      <x:c r="V300" s="33" t="s">
        <x:v>365</x:v>
      </x:c>
      <x:c r="W300" s="33"/>
      <x:c r="X300" s="33" t="s">
        <x:v>238</x:v>
      </x:c>
      <x:c r="Y300" s="36"/>
      <x:c r="Z300" s="36"/>
      <x:c r="AA300" s="33" t="s">
        <x:v>120</x:v>
      </x:c>
      <x:c r="AB300" s="37" t="n">
        <x:f>IFERROR(INDEX(Effort_Model!$J$6:$J$33,MATCH(K300&amp;"|"&amp;L300,Effort_Model!$B$6:$B$33,0)),"")</x:f>
        <x:v>106.4</x:v>
      </x:c>
      <x:c r="AC300" s="38">
        <x:v>697.1</x:v>
      </x:c>
      <x:c r="AD300" s="37">
        <x:f t="shared" si="4"/>
        <x:v>902.1</x:v>
      </x:c>
      <x:c r="AE300" s="37" t="n">
        <x:f>IFERROR(ROUND(IFERROR(INDEX(Scoring_Rules!$C$43:$C$44,MATCH(Q300,Scoring_Rules!$B$43:$B$44,0)),0)*Scoring_Rules!$C$6+IFERROR(INDEX(Scoring_Rules!$C$34:$C$40,MATCH(K300,Scoring_Rules!$B$34:$B$40,0)),0)*Scoring_Rules!$C$7+IFERROR(INDEX(Scoring_Rules!$C$16:$C$19,MATCH(P300,Scoring_Rules!$B$16:$B$19,0)),0)*Scoring_Rules!$C$8+IFERROR(INDEX(Scoring_Rules!$C$22:$C$25,MATCH(O300,Scoring_Rules!$B$22:$B$25,0)),0)*Scoring_Rules!$C$9+IFERROR(INDEX(Scoring_Rules!$C$47:$C$50,MATCH(X300,Scoring_Rules!$B$47:$B$50,0)),0)*Scoring_Rules!$C$10+IFERROR(INDEX(Scoring_Rules!$C$28:$C$31,MATCH(R300,Scoring_Rules!$B$28:$B$31,0)),0)*Scoring_Rules!$C$11,1),"")</x:f>
        <x:v>46.5</x:v>
      </x:c>
      <x:c r="AF300" s="35">
        <x:v>4</x:v>
      </x:c>
      <x:c r="AG300" s="33" t="s">
        <x:v>1371</x:v>
      </x:c>
      <x:c r="AH300" s="36">
        <x:v>46385</x:v>
      </x:c>
      <x:c r="AI300" s="33" t="s">
        <x:v>125</x:v>
      </x:c>
      <x:c r="AJ300" s="34" t="s">
        <x:v>336</x:v>
      </x:c>
    </x:row>
    <x:row r="301" ht="15" customHeight="1">
      <x:c r="A301" s="31" t="s">
        <x:v>1556</x:v>
      </x:c>
      <x:c r="B301" s="31" t="s">
        <x:v>1557</x:v>
      </x:c>
      <x:c r="C301" s="31" t="s">
        <x:v>1360</x:v>
      </x:c>
      <x:c r="D301" s="32" t="s">
        <x:v>1374</x:v>
      </x:c>
      <x:c r="E301" s="32" t="str">
        <x:v>Data Migration Only</x:v>
      </x:c>
      <x:c r="F301" s="33" t="s">
        <x:v>118</x:v>
      </x:c>
      <x:c r="G301" s="34" t="s">
        <x:v>1368</x:v>
      </x:c>
      <x:c r="H301" s="33" t="s">
        <x:v>87</x:v>
      </x:c>
      <x:c r="I301" s="33" t="s">
        <x:v>1362</x:v>
      </x:c>
      <x:c r="J301" s="33" t="s">
        <x:v>80</x:v>
      </x:c>
      <x:c r="K301" s="33" t="s">
        <x:v>60</x:v>
      </x:c>
      <x:c r="L301" s="33" t="s">
        <x:v>71</x:v>
      </x:c>
      <x:c r="M301" s="35">
        <x:v>34</x:v>
      </x:c>
      <x:c r="N301" s="35">
        <x:v>4763554</x:v>
      </x:c>
      <x:c r="O301" s="33" t="s">
        <x:v>103</x:v>
      </x:c>
      <x:c r="P301" s="33" t="s">
        <x:v>73</x:v>
      </x:c>
      <x:c r="Q301" s="33" t="s">
        <x:v>118</x:v>
      </x:c>
      <x:c r="R301" s="33" t="s">
        <x:v>101</x:v>
      </x:c>
      <x:c r="S301" s="31" t="s">
        <x:v>1558</x:v>
      </x:c>
      <x:c r="T301" s="31" t="s">
        <x:v>1559</x:v>
      </x:c>
      <x:c r="U301" s="31" t="s">
        <x:v>276</x:v>
      </x:c>
      <x:c r="V301" s="33" t="s">
        <x:v>379</x:v>
      </x:c>
      <x:c r="W301" s="33"/>
      <x:c r="X301" s="33" t="s">
        <x:v>238</x:v>
      </x:c>
      <x:c r="Y301" s="36">
        <x:v>46308</x:v>
      </x:c>
      <x:c r="Z301" s="36"/>
      <x:c r="AA301" s="33" t="s">
        <x:v>120</x:v>
      </x:c>
      <x:c r="AB301" s="37" t="n">
        <x:f>IFERROR(INDEX(Effort_Model!$J$6:$J$33,MATCH(K301&amp;"|"&amp;L301,Effort_Model!$B$6:$B$33,0)),"")</x:f>
        <x:v>18.4</x:v>
      </x:c>
      <x:c r="AC301" s="38">
        <x:v>190</x:v>
      </x:c>
      <x:c r="AD301" s="37">
        <x:f t="shared" si="4"/>
        <x:v>232.4</x:v>
      </x:c>
      <x:c r="AE301" s="37" t="n">
        <x:f>IFERROR(ROUND(IFERROR(INDEX(Scoring_Rules!$C$43:$C$44,MATCH(Q301,Scoring_Rules!$B$43:$B$44,0)),0)*Scoring_Rules!$C$6+IFERROR(INDEX(Scoring_Rules!$C$34:$C$40,MATCH(K301,Scoring_Rules!$B$34:$B$40,0)),0)*Scoring_Rules!$C$7+IFERROR(INDEX(Scoring_Rules!$C$16:$C$19,MATCH(P301,Scoring_Rules!$B$16:$B$19,0)),0)*Scoring_Rules!$C$8+IFERROR(INDEX(Scoring_Rules!$C$22:$C$25,MATCH(O301,Scoring_Rules!$B$22:$B$25,0)),0)*Scoring_Rules!$C$9+IFERROR(INDEX(Scoring_Rules!$C$47:$C$50,MATCH(X301,Scoring_Rules!$B$47:$B$50,0)),0)*Scoring_Rules!$C$10+IFERROR(INDEX(Scoring_Rules!$C$28:$C$31,MATCH(R301,Scoring_Rules!$B$28:$B$31,0)),0)*Scoring_Rules!$C$11,1),"")</x:f>
        <x:v>70.8</x:v>
      </x:c>
      <x:c r="AF301" s="35">
        <x:v>1</x:v>
      </x:c>
      <x:c r="AG301" s="33" t="s">
        <x:v>1377</x:v>
      </x:c>
      <x:c r="AH301" s="36">
        <x:v>46358</x:v>
      </x:c>
      <x:c r="AI301" s="33" t="s">
        <x:v>124</x:v>
      </x:c>
      <x:c r="AJ301" s="34"/>
    </x:row>
    <x:row r="302" ht="15" customHeight="1">
      <x:c r="A302" s="31" t="s">
        <x:v>1560</x:v>
      </x:c>
      <x:c r="B302" s="31" t="s">
        <x:v>1561</x:v>
      </x:c>
      <x:c r="C302" s="31" t="s">
        <x:v>1360</x:v>
      </x:c>
      <x:c r="D302" s="32" t="s">
        <x:v>824</x:v>
      </x:c>
      <x:c r="E302" s="32" t="str">
        <x:v>Functional Migration Only</x:v>
      </x:c>
      <x:c r="F302" s="33" t="s">
        <x:v>118</x:v>
      </x:c>
      <x:c r="G302" s="34" t="s">
        <x:v>1380</x:v>
      </x:c>
      <x:c r="H302" s="33" t="s">
        <x:v>87</x:v>
      </x:c>
      <x:c r="I302" s="33" t="s">
        <x:v>1362</x:v>
      </x:c>
      <x:c r="J302" s="33" t="s">
        <x:v>82</x:v>
      </x:c>
      <x:c r="K302" s="33" t="s">
        <x:v>56</x:v>
      </x:c>
      <x:c r="L302" s="33" t="s">
        <x:v>75</x:v>
      </x:c>
      <x:c r="M302" s="35">
        <x:v>9</x:v>
      </x:c>
      <x:c r="N302" s="35">
        <x:v>83128</x:v>
      </x:c>
      <x:c r="O302" s="33" t="s">
        <x:v>103</x:v>
      </x:c>
      <x:c r="P302" s="33" t="s">
        <x:v>109</x:v>
      </x:c>
      <x:c r="Q302" s="33" t="s">
        <x:v>120</x:v>
      </x:c>
      <x:c r="R302" s="33" t="s">
        <x:v>73</x:v>
      </x:c>
      <x:c r="S302" s="31" t="s">
        <x:v>1562</x:v>
      </x:c>
      <x:c r="T302" s="31" t="s">
        <x:v>1563</x:v>
      </x:c>
      <x:c r="U302" s="31" t="s">
        <x:v>522</x:v>
      </x:c>
      <x:c r="V302" s="33" t="s">
        <x:v>289</x:v>
      </x:c>
      <x:c r="W302" s="33" t="s">
        <x:v>1472</x:v>
      </x:c>
      <x:c r="X302" s="33" t="s">
        <x:v>239</x:v>
      </x:c>
      <x:c r="Y302" s="36"/>
      <x:c r="Z302" s="36">
        <x:v>46687</x:v>
      </x:c>
      <x:c r="AA302" s="33" t="s">
        <x:v>120</x:v>
      </x:c>
      <x:c r="AB302" s="37" t="n">
        <x:f>IFERROR(INDEX(Effort_Model!$J$6:$J$33,MATCH(K302&amp;"|"&amp;L302,Effort_Model!$B$6:$B$33,0)),"")</x:f>
        <x:v>18.4</x:v>
      </x:c>
      <x:c r="AC302" s="38">
        <x:v>164.8</x:v>
      </x:c>
      <x:c r="AD302" s="37">
        <x:f t="shared" si="4"/>
        <x:v>206.13330000000002</x:v>
      </x:c>
      <x:c r="AE302" s="37" t="n">
        <x:f>IFERROR(ROUND(IFERROR(INDEX(Scoring_Rules!$C$43:$C$44,MATCH(Q302,Scoring_Rules!$B$43:$B$44,0)),0)*Scoring_Rules!$C$6+IFERROR(INDEX(Scoring_Rules!$C$34:$C$40,MATCH(K302,Scoring_Rules!$B$34:$B$40,0)),0)*Scoring_Rules!$C$7+IFERROR(INDEX(Scoring_Rules!$C$16:$C$19,MATCH(P302,Scoring_Rules!$B$16:$B$19,0)),0)*Scoring_Rules!$C$8+IFERROR(INDEX(Scoring_Rules!$C$22:$C$25,MATCH(O302,Scoring_Rules!$B$22:$B$25,0)),0)*Scoring_Rules!$C$9+IFERROR(INDEX(Scoring_Rules!$C$47:$C$50,MATCH(X302,Scoring_Rules!$B$47:$B$50,0)),0)*Scoring_Rules!$C$10+IFERROR(INDEX(Scoring_Rules!$C$28:$C$31,MATCH(R302,Scoring_Rules!$B$28:$B$31,0)),0)*Scoring_Rules!$C$11,1),"")</x:f>
        <x:v>34</x:v>
      </x:c>
      <x:c r="AF302" s="35">
        <x:v>7</x:v>
      </x:c>
      <x:c r="AG302" s="33" t="s">
        <x:v>1381</x:v>
      </x:c>
      <x:c r="AH302" s="36">
        <x:v>46407</x:v>
      </x:c>
      <x:c r="AI302" s="33" t="s">
        <x:v>127</x:v>
      </x:c>
      <x:c r="AJ302" s="34" t="s">
        <x:v>336</x:v>
      </x:c>
    </x:row>
    <x:row r="303" ht="15" customHeight="1">
      <x:c r="A303" s="31" t="s">
        <x:v>1564</x:v>
      </x:c>
      <x:c r="B303" s="31" t="s">
        <x:v>1565</x:v>
      </x:c>
      <x:c r="C303" s="31" t="s">
        <x:v>1360</x:v>
      </x:c>
      <x:c r="D303" s="32" t="s">
        <x:v>320</x:v>
      </x:c>
      <x:c r="E303" s="32" t="str">
        <x:v>Functional Migration Only</x:v>
      </x:c>
      <x:c r="F303" s="33" t="s">
        <x:v>118</x:v>
      </x:c>
      <x:c r="G303" s="34" t="s">
        <x:v>1380</x:v>
      </x:c>
      <x:c r="H303" s="33" t="s">
        <x:v>87</x:v>
      </x:c>
      <x:c r="I303" s="33" t="s">
        <x:v>1362</x:v>
      </x:c>
      <x:c r="J303" s="33" t="s">
        <x:v>82</x:v>
      </x:c>
      <x:c r="K303" s="33" t="s">
        <x:v>58</x:v>
      </x:c>
      <x:c r="L303" s="33" t="s">
        <x:v>71</x:v>
      </x:c>
      <x:c r="M303" s="35">
        <x:v>30</x:v>
      </x:c>
      <x:c r="N303" s="35">
        <x:v>695149</x:v>
      </x:c>
      <x:c r="O303" s="33" t="s">
        <x:v>98</x:v>
      </x:c>
      <x:c r="P303" s="33" t="s">
        <x:v>98</x:v>
      </x:c>
      <x:c r="Q303" s="33" t="s">
        <x:v>120</x:v>
      </x:c>
      <x:c r="R303" s="33" t="s">
        <x:v>101</x:v>
      </x:c>
      <x:c r="S303" s="31" t="s">
        <x:v>1566</x:v>
      </x:c>
      <x:c r="T303" s="31" t="s">
        <x:v>1567</x:v>
      </x:c>
      <x:c r="U303" s="31" t="s">
        <x:v>522</x:v>
      </x:c>
      <x:c r="V303" s="33" t="s">
        <x:v>323</x:v>
      </x:c>
      <x:c r="W303" s="33"/>
      <x:c r="X303" s="33" t="s">
        <x:v>238</x:v>
      </x:c>
      <x:c r="Y303" s="36"/>
      <x:c r="Z303" s="36"/>
      <x:c r="AA303" s="33" t="s">
        <x:v>120</x:v>
      </x:c>
      <x:c r="AB303" s="37" t="n">
        <x:f>IFERROR(INDEX(Effort_Model!$J$6:$J$33,MATCH(K303&amp;"|"&amp;L303,Effort_Model!$B$6:$B$33,0)),"")</x:f>
        <x:v>18.4</x:v>
      </x:c>
      <x:c r="AC303" s="38">
        <x:v>180.4</x:v>
      </x:c>
      <x:c r="AD303" s="37">
        <x:f t="shared" si="4"/>
        <x:v>206.8</x:v>
      </x:c>
      <x:c r="AE303" s="37" t="n">
        <x:f>IFERROR(ROUND(IFERROR(INDEX(Scoring_Rules!$C$43:$C$44,MATCH(Q303,Scoring_Rules!$B$43:$B$44,0)),0)*Scoring_Rules!$C$6+IFERROR(INDEX(Scoring_Rules!$C$34:$C$40,MATCH(K303,Scoring_Rules!$B$34:$B$40,0)),0)*Scoring_Rules!$C$7+IFERROR(INDEX(Scoring_Rules!$C$16:$C$19,MATCH(P303,Scoring_Rules!$B$16:$B$19,0)),0)*Scoring_Rules!$C$8+IFERROR(INDEX(Scoring_Rules!$C$22:$C$25,MATCH(O303,Scoring_Rules!$B$22:$B$25,0)),0)*Scoring_Rules!$C$9+IFERROR(INDEX(Scoring_Rules!$C$47:$C$50,MATCH(X303,Scoring_Rules!$B$47:$B$50,0)),0)*Scoring_Rules!$C$10+IFERROR(INDEX(Scoring_Rules!$C$28:$C$31,MATCH(R303,Scoring_Rules!$B$28:$B$31,0)),0)*Scoring_Rules!$C$11,1),"")</x:f>
        <x:v>69.8</x:v>
      </x:c>
      <x:c r="AF303" s="35">
        <x:v>2</x:v>
      </x:c>
      <x:c r="AG303" s="33" t="s">
        <x:v>1365</x:v>
      </x:c>
      <x:c r="AH303" s="36">
        <x:v>46307</x:v>
      </x:c>
      <x:c r="AI303" s="33" t="s">
        <x:v>124</x:v>
      </x:c>
      <x:c r="AJ303" s="34" t="s">
        <x:v>445</x:v>
      </x:c>
    </x:row>
    <x:row r="304" ht="15" customHeight="1">
      <x:c r="A304" s="31" t="s">
        <x:v>1568</x:v>
      </x:c>
      <x:c r="B304" s="31" t="s">
        <x:v>1569</x:v>
      </x:c>
      <x:c r="C304" s="31" t="s">
        <x:v>1360</x:v>
      </x:c>
      <x:c r="D304" s="32" t="s">
        <x:v>1374</x:v>
      </x:c>
      <x:c r="E304" s="32" t="str">
        <x:v>Data Migration Only</x:v>
      </x:c>
      <x:c r="F304" s="33" t="s">
        <x:v>118</x:v>
      </x:c>
      <x:c r="G304" s="34" t="s">
        <x:v>1386</x:v>
      </x:c>
      <x:c r="H304" s="33" t="s">
        <x:v>87</x:v>
      </x:c>
      <x:c r="I304" s="33" t="s">
        <x:v>1362</x:v>
      </x:c>
      <x:c r="J304" s="33" t="s">
        <x:v>80</x:v>
      </x:c>
      <x:c r="K304" s="33" t="s">
        <x:v>60</x:v>
      </x:c>
      <x:c r="L304" s="33" t="s">
        <x:v>75</x:v>
      </x:c>
      <x:c r="M304" s="35">
        <x:v>43</x:v>
      </x:c>
      <x:c r="N304" s="35">
        <x:v>4478519</x:v>
      </x:c>
      <x:c r="O304" s="33" t="s">
        <x:v>101</x:v>
      </x:c>
      <x:c r="P304" s="33" t="s">
        <x:v>109</x:v>
      </x:c>
      <x:c r="Q304" s="33" t="s">
        <x:v>120</x:v>
      </x:c>
      <x:c r="R304" s="33" t="s">
        <x:v>101</x:v>
      </x:c>
      <x:c r="S304" s="31" t="s">
        <x:v>1570</x:v>
      </x:c>
      <x:c r="T304" s="31" t="s">
        <x:v>1571</x:v>
      </x:c>
      <x:c r="U304" s="31" t="s">
        <x:v>522</x:v>
      </x:c>
      <x:c r="V304" s="33" t="s">
        <x:v>277</x:v>
      </x:c>
      <x:c r="W304" s="33"/>
      <x:c r="X304" s="33" t="s">
        <x:v>238</x:v>
      </x:c>
      <x:c r="Y304" s="36"/>
      <x:c r="Z304" s="36"/>
      <x:c r="AA304" s="33" t="s">
        <x:v>120</x:v>
      </x:c>
      <x:c r="AB304" s="37" t="n">
        <x:f>IFERROR(INDEX(Effort_Model!$J$6:$J$33,MATCH(K304&amp;"|"&amp;L304,Effort_Model!$B$6:$B$33,0)),"")</x:f>
        <x:v>42.4</x:v>
      </x:c>
      <x:c r="AC304" s="38">
        <x:v>324.7</x:v>
      </x:c>
      <x:c r="AD304" s="37">
        <x:f t="shared" si="4"/>
        <x:v>438.0333</x:v>
      </x:c>
      <x:c r="AE304" s="37" t="n">
        <x:f>IFERROR(ROUND(IFERROR(INDEX(Scoring_Rules!$C$43:$C$44,MATCH(Q304,Scoring_Rules!$B$43:$B$44,0)),0)*Scoring_Rules!$C$6+IFERROR(INDEX(Scoring_Rules!$C$34:$C$40,MATCH(K304,Scoring_Rules!$B$34:$B$40,0)),0)*Scoring_Rules!$C$7+IFERROR(INDEX(Scoring_Rules!$C$16:$C$19,MATCH(P304,Scoring_Rules!$B$16:$B$19,0)),0)*Scoring_Rules!$C$8+IFERROR(INDEX(Scoring_Rules!$C$22:$C$25,MATCH(O304,Scoring_Rules!$B$22:$B$25,0)),0)*Scoring_Rules!$C$9+IFERROR(INDEX(Scoring_Rules!$C$47:$C$50,MATCH(X304,Scoring_Rules!$B$47:$B$50,0)),0)*Scoring_Rules!$C$10+IFERROR(INDEX(Scoring_Rules!$C$28:$C$31,MATCH(R304,Scoring_Rules!$B$28:$B$31,0)),0)*Scoring_Rules!$C$11,1),"")</x:f>
        <x:v>37</x:v>
      </x:c>
      <x:c r="AF304" s="35">
        <x:v>7</x:v>
      </x:c>
      <x:c r="AG304" s="33" t="s">
        <x:v>1371</x:v>
      </x:c>
      <x:c r="AH304" s="36">
        <x:v>46354</x:v>
      </x:c>
      <x:c r="AI304" s="33" t="s">
        <x:v>125</x:v>
      </x:c>
      <x:c r="AJ304" s="34" t="s">
        <x:v>445</x:v>
      </x:c>
    </x:row>
    <x:row r="305" ht="15" customHeight="1">
      <x:c r="A305" s="31" t="s">
        <x:v>1572</x:v>
      </x:c>
      <x:c r="B305" s="31" t="s">
        <x:v>1573</x:v>
      </x:c>
      <x:c r="C305" s="31" t="s">
        <x:v>1360</x:v>
      </x:c>
      <x:c r="D305" s="32" t="s">
        <x:v>824</x:v>
      </x:c>
      <x:c r="E305" s="32" t="str">
        <x:v>Functional Migration Only</x:v>
      </x:c>
      <x:c r="F305" s="33" t="s">
        <x:v>118</x:v>
      </x:c>
      <x:c r="G305" s="34" t="s">
        <x:v>1368</x:v>
      </x:c>
      <x:c r="H305" s="33" t="s">
        <x:v>87</x:v>
      </x:c>
      <x:c r="I305" s="33" t="s">
        <x:v>1362</x:v>
      </x:c>
      <x:c r="J305" s="33" t="s">
        <x:v>82</x:v>
      </x:c>
      <x:c r="K305" s="33" t="s">
        <x:v>58</x:v>
      </x:c>
      <x:c r="L305" s="33" t="s">
        <x:v>75</x:v>
      </x:c>
      <x:c r="M305" s="35">
        <x:v>12</x:v>
      </x:c>
      <x:c r="N305" s="35">
        <x:v>643639</x:v>
      </x:c>
      <x:c r="O305" s="33" t="s">
        <x:v>103</x:v>
      </x:c>
      <x:c r="P305" s="33" t="s">
        <x:v>73</x:v>
      </x:c>
      <x:c r="Q305" s="33" t="s">
        <x:v>120</x:v>
      </x:c>
      <x:c r="R305" s="33" t="s">
        <x:v>101</x:v>
      </x:c>
      <x:c r="S305" s="31" t="s">
        <x:v>562</x:v>
      </x:c>
      <x:c r="T305" s="31" t="s">
        <x:v>1574</x:v>
      </x:c>
      <x:c r="U305" s="31" t="s">
        <x:v>522</x:v>
      </x:c>
      <x:c r="V305" s="33" t="s">
        <x:v>289</x:v>
      </x:c>
      <x:c r="W305" s="33"/>
      <x:c r="X305" s="33" t="s">
        <x:v>238</x:v>
      </x:c>
      <x:c r="Y305" s="36"/>
      <x:c r="Z305" s="36"/>
      <x:c r="AA305" s="33" t="s">
        <x:v>118</x:v>
      </x:c>
      <x:c r="AB305" s="37" t="n">
        <x:f>IFERROR(INDEX(Effort_Model!$J$6:$J$33,MATCH(K305&amp;"|"&amp;L305,Effort_Model!$B$6:$B$33,0)),"")</x:f>
        <x:v>26.4</x:v>
      </x:c>
      <x:c r="AC305" s="38">
        <x:v>292.10000000000002</x:v>
      </x:c>
      <x:c r="AD305" s="37">
        <x:f t="shared" si="4"/>
        <x:v>357.43330000000003</x:v>
      </x:c>
      <x:c r="AE305" s="37" t="n">
        <x:f>IFERROR(ROUND(IFERROR(INDEX(Scoring_Rules!$C$43:$C$44,MATCH(Q305,Scoring_Rules!$B$43:$B$44,0)),0)*Scoring_Rules!$C$6+IFERROR(INDEX(Scoring_Rules!$C$34:$C$40,MATCH(K305,Scoring_Rules!$B$34:$B$40,0)),0)*Scoring_Rules!$C$7+IFERROR(INDEX(Scoring_Rules!$C$16:$C$19,MATCH(P305,Scoring_Rules!$B$16:$B$19,0)),0)*Scoring_Rules!$C$8+IFERROR(INDEX(Scoring_Rules!$C$22:$C$25,MATCH(O305,Scoring_Rules!$B$22:$B$25,0)),0)*Scoring_Rules!$C$9+IFERROR(INDEX(Scoring_Rules!$C$47:$C$50,MATCH(X305,Scoring_Rules!$B$47:$B$50,0)),0)*Scoring_Rules!$C$10+IFERROR(INDEX(Scoring_Rules!$C$28:$C$31,MATCH(R305,Scoring_Rules!$B$28:$B$31,0)),0)*Scoring_Rules!$C$11,1),"")</x:f>
        <x:v>48.8</x:v>
      </x:c>
      <x:c r="AF305" s="35"/>
      <x:c r="AG305" s="33" t="s">
        <x:v>1377</x:v>
      </x:c>
      <x:c r="AH305" s="36">
        <x:v>46372</x:v>
      </x:c>
      <x:c r="AI305" s="33" t="s">
        <x:v>125</x:v>
      </x:c>
      <x:c r="AJ305" s="34" t="s">
        <x:v>336</x:v>
      </x:c>
    </x:row>
    <x:row r="306" ht="23.25" customHeight="1">
      <x:c r="A306" s="31" t="s">
        <x:v>1575</x:v>
      </x:c>
      <x:c r="B306" s="31" t="s">
        <x:v>1576</x:v>
      </x:c>
      <x:c r="C306" s="31" t="s">
        <x:v>1360</x:v>
      </x:c>
      <x:c r="D306" s="32" t="s">
        <x:v>1577</x:v>
      </x:c>
      <x:c r="E306" s="32" t="str">
        <x:v>Functional Migration Only</x:v>
      </x:c>
      <x:c r="F306" s="33" t="s">
        <x:v>118</x:v>
      </x:c>
      <x:c r="G306" s="34" t="s">
        <x:v>1361</x:v>
      </x:c>
      <x:c r="H306" s="33" t="s">
        <x:v>87</x:v>
      </x:c>
      <x:c r="I306" s="33" t="s">
        <x:v>1362</x:v>
      </x:c>
      <x:c r="J306" s="33" t="s">
        <x:v>82</x:v>
      </x:c>
      <x:c r="K306" s="33" t="s">
        <x:v>58</x:v>
      </x:c>
      <x:c r="L306" s="33" t="s">
        <x:v>75</x:v>
      </x:c>
      <x:c r="M306" s="35">
        <x:v>19</x:v>
      </x:c>
      <x:c r="N306" s="35">
        <x:v>1053866</x:v>
      </x:c>
      <x:c r="O306" s="33" t="s">
        <x:v>73</x:v>
      </x:c>
      <x:c r="P306" s="33" t="s">
        <x:v>73</x:v>
      </x:c>
      <x:c r="Q306" s="33" t="s">
        <x:v>120</x:v>
      </x:c>
      <x:c r="R306" s="33" t="s">
        <x:v>115</x:v>
      </x:c>
      <x:c r="S306" s="31" t="s">
        <x:v>1578</x:v>
      </x:c>
      <x:c r="T306" s="31" t="s">
        <x:v>1579</x:v>
      </x:c>
      <x:c r="U306" s="31" t="s">
        <x:v>276</x:v>
      </x:c>
      <x:c r="V306" s="33" t="s">
        <x:v>379</x:v>
      </x:c>
      <x:c r="W306" s="33" t="s">
        <x:v>1429</x:v>
      </x:c>
      <x:c r="X306" s="33" t="s">
        <x:v>239</x:v>
      </x:c>
      <x:c r="Y306" s="36"/>
      <x:c r="Z306" s="36">
        <x:v>46862</x:v>
      </x:c>
      <x:c r="AA306" s="33" t="s">
        <x:v>120</x:v>
      </x:c>
      <x:c r="AB306" s="37" t="n">
        <x:f>IFERROR(INDEX(Effort_Model!$J$6:$J$33,MATCH(K306&amp;"|"&amp;L306,Effort_Model!$B$6:$B$33,0)),"")</x:f>
        <x:v>26.4</x:v>
      </x:c>
      <x:c r="AC306" s="38">
        <x:v>310.5</x:v>
      </x:c>
      <x:c r="AD306" s="37">
        <x:f t="shared" si="4"/>
        <x:v>375.83330000000001</x:v>
      </x:c>
      <x:c r="AE306" s="37" t="n">
        <x:f>IFERROR(ROUND(IFERROR(INDEX(Scoring_Rules!$C$43:$C$44,MATCH(Q306,Scoring_Rules!$B$43:$B$44,0)),0)*Scoring_Rules!$C$6+IFERROR(INDEX(Scoring_Rules!$C$34:$C$40,MATCH(K306,Scoring_Rules!$B$34:$B$40,0)),0)*Scoring_Rules!$C$7+IFERROR(INDEX(Scoring_Rules!$C$16:$C$19,MATCH(P306,Scoring_Rules!$B$16:$B$19,0)),0)*Scoring_Rules!$C$8+IFERROR(INDEX(Scoring_Rules!$C$22:$C$25,MATCH(O306,Scoring_Rules!$B$22:$B$25,0)),0)*Scoring_Rules!$C$9+IFERROR(INDEX(Scoring_Rules!$C$47:$C$50,MATCH(X306,Scoring_Rules!$B$47:$B$50,0)),0)*Scoring_Rules!$C$10+IFERROR(INDEX(Scoring_Rules!$C$28:$C$31,MATCH(R306,Scoring_Rules!$B$28:$B$31,0)),0)*Scoring_Rules!$C$11,1),"")</x:f>
        <x:v>53</x:v>
      </x:c>
      <x:c r="AF306" s="35">
        <x:v>4</x:v>
      </x:c>
      <x:c r="AG306" s="33" t="s">
        <x:v>1381</x:v>
      </x:c>
      <x:c r="AH306" s="36">
        <x:v>46388</x:v>
      </x:c>
      <x:c r="AI306" s="33" t="s">
        <x:v>126</x:v>
      </x:c>
      <x:c r="AJ306" s="34" t="s">
        <x:v>312</x:v>
      </x:c>
    </x:row>
    <x:row r="307" ht="15" customHeight="1">
      <x:c r="A307" s="31" t="s">
        <x:v>1580</x:v>
      </x:c>
      <x:c r="B307" s="31" t="s">
        <x:v>1581</x:v>
      </x:c>
      <x:c r="C307" s="31" t="s">
        <x:v>1360</x:v>
      </x:c>
      <x:c r="D307" s="32" t="s">
        <x:v>824</x:v>
      </x:c>
      <x:c r="E307" s="32" t="str">
        <x:v>Data Migration Only</x:v>
      </x:c>
      <x:c r="F307" s="33" t="s">
        <x:v>118</x:v>
      </x:c>
      <x:c r="G307" s="34" t="s">
        <x:v>1368</x:v>
      </x:c>
      <x:c r="H307" s="33" t="s">
        <x:v>87</x:v>
      </x:c>
      <x:c r="I307" s="33" t="s">
        <x:v>1362</x:v>
      </x:c>
      <x:c r="J307" s="33" t="s">
        <x:v>80</x:v>
      </x:c>
      <x:c r="K307" s="33" t="s">
        <x:v>58</x:v>
      </x:c>
      <x:c r="L307" s="33" t="s">
        <x:v>73</x:v>
      </x:c>
      <x:c r="M307" s="35">
        <x:v>12</x:v>
      </x:c>
      <x:c r="N307" s="35">
        <x:v>1098891</x:v>
      </x:c>
      <x:c r="O307" s="33" t="s">
        <x:v>101</x:v>
      </x:c>
      <x:c r="P307" s="33" t="s">
        <x:v>98</x:v>
      </x:c>
      <x:c r="Q307" s="33" t="s">
        <x:v>120</x:v>
      </x:c>
      <x:c r="R307" s="33" t="s">
        <x:v>101</x:v>
      </x:c>
      <x:c r="S307" s="31" t="s">
        <x:v>1582</x:v>
      </x:c>
      <x:c r="T307" s="31" t="s">
        <x:v>1583</x:v>
      </x:c>
      <x:c r="U307" s="31" t="s">
        <x:v>276</x:v>
      </x:c>
      <x:c r="V307" s="33" t="s">
        <x:v>451</x:v>
      </x:c>
      <x:c r="W307" s="33"/>
      <x:c r="X307" s="33" t="s">
        <x:v>238</x:v>
      </x:c>
      <x:c r="Y307" s="36">
        <x:v>46428</x:v>
      </x:c>
      <x:c r="Z307" s="36"/>
      <x:c r="AA307" s="33" t="s">
        <x:v>120</x:v>
      </x:c>
      <x:c r="AB307" s="37" t="n">
        <x:f>IFERROR(INDEX(Effort_Model!$J$6:$J$33,MATCH(K307&amp;"|"&amp;L307,Effort_Model!$B$6:$B$33,0)),"")</x:f>
        <x:v>26.4</x:v>
      </x:c>
      <x:c r="AC307" s="38">
        <x:v>132.80000000000001</x:v>
      </x:c>
      <x:c r="AD307" s="37">
        <x:f t="shared" si="4"/>
        <x:v>177.8</x:v>
      </x:c>
      <x:c r="AE307" s="37" t="n">
        <x:f>IFERROR(ROUND(IFERROR(INDEX(Scoring_Rules!$C$43:$C$44,MATCH(Q307,Scoring_Rules!$B$43:$B$44,0)),0)*Scoring_Rules!$C$6+IFERROR(INDEX(Scoring_Rules!$C$34:$C$40,MATCH(K307,Scoring_Rules!$B$34:$B$40,0)),0)*Scoring_Rules!$C$7+IFERROR(INDEX(Scoring_Rules!$C$16:$C$19,MATCH(P307,Scoring_Rules!$B$16:$B$19,0)),0)*Scoring_Rules!$C$8+IFERROR(INDEX(Scoring_Rules!$C$22:$C$25,MATCH(O307,Scoring_Rules!$B$22:$B$25,0)),0)*Scoring_Rules!$C$9+IFERROR(INDEX(Scoring_Rules!$C$47:$C$50,MATCH(X307,Scoring_Rules!$B$47:$B$50,0)),0)*Scoring_Rules!$C$10+IFERROR(INDEX(Scoring_Rules!$C$28:$C$31,MATCH(R307,Scoring_Rules!$B$28:$B$31,0)),0)*Scoring_Rules!$C$11,1),"")</x:f>
        <x:v>60</x:v>
      </x:c>
      <x:c r="AF307" s="35">
        <x:v>2</x:v>
      </x:c>
      <x:c r="AG307" s="33" t="s">
        <x:v>1365</x:v>
      </x:c>
      <x:c r="AH307" s="36">
        <x:v>46388</x:v>
      </x:c>
      <x:c r="AI307" s="33" t="s">
        <x:v>127</x:v>
      </x:c>
      <x:c r="AJ307" s="34" t="s">
        <x:v>312</x:v>
      </x:c>
    </x:row>
    <x:row r="308" ht="15" customHeight="1">
      <x:c r="A308" s="31" t="s">
        <x:v>1584</x:v>
      </x:c>
      <x:c r="B308" s="31" t="s">
        <x:v>1585</x:v>
      </x:c>
      <x:c r="C308" s="31" t="s">
        <x:v>1360</x:v>
      </x:c>
      <x:c r="D308" s="32" t="s">
        <x:v>760</x:v>
      </x:c>
      <x:c r="E308" s="32" t="str">
        <x:v>Data Migration Only</x:v>
      </x:c>
      <x:c r="F308" s="33" t="s">
        <x:v>118</x:v>
      </x:c>
      <x:c r="G308" s="34" t="s">
        <x:v>1361</x:v>
      </x:c>
      <x:c r="H308" s="33" t="s">
        <x:v>87</x:v>
      </x:c>
      <x:c r="I308" s="33" t="s">
        <x:v>1362</x:v>
      </x:c>
      <x:c r="J308" s="33" t="s">
        <x:v>80</x:v>
      </x:c>
      <x:c r="K308" s="33" t="s">
        <x:v>56</x:v>
      </x:c>
      <x:c r="L308" s="33" t="s">
        <x:v>73</x:v>
      </x:c>
      <x:c r="M308" s="35">
        <x:v>10</x:v>
      </x:c>
      <x:c r="N308" s="35">
        <x:v>141210</x:v>
      </x:c>
      <x:c r="O308" s="33" t="s">
        <x:v>73</x:v>
      </x:c>
      <x:c r="P308" s="33" t="s">
        <x:v>101</x:v>
      </x:c>
      <x:c r="Q308" s="33" t="s">
        <x:v>120</x:v>
      </x:c>
      <x:c r="R308" s="33" t="s">
        <x:v>101</x:v>
      </x:c>
      <x:c r="S308" s="31" t="s">
        <x:v>1586</x:v>
      </x:c>
      <x:c r="T308" s="31" t="s">
        <x:v>1587</x:v>
      </x:c>
      <x:c r="U308" s="31" t="s">
        <x:v>471</x:v>
      </x:c>
      <x:c r="V308" s="33" t="s">
        <x:v>347</x:v>
      </x:c>
      <x:c r="W308" s="33" t="s">
        <x:v>1549</x:v>
      </x:c>
      <x:c r="X308" s="33" t="s">
        <x:v>240</x:v>
      </x:c>
      <x:c r="Y308" s="36"/>
      <x:c r="Z308" s="36"/>
      <x:c r="AA308" s="33" t="s">
        <x:v>120</x:v>
      </x:c>
      <x:c r="AB308" s="37" t="n">
        <x:f>IFERROR(INDEX(Effort_Model!$J$6:$J$33,MATCH(K308&amp;"|"&amp;L308,Effort_Model!$B$6:$B$33,0)),"")</x:f>
        <x:v>18.4</x:v>
      </x:c>
      <x:c r="AC308" s="38">
        <x:v>86.8</x:v>
      </x:c>
      <x:c r="AD308" s="37">
        <x:f t="shared" si="4"/>
        <x:v>115.8</x:v>
      </x:c>
      <x:c r="AE308" s="37" t="n">
        <x:f>IFERROR(ROUND(IFERROR(INDEX(Scoring_Rules!$C$43:$C$44,MATCH(Q308,Scoring_Rules!$B$43:$B$44,0)),0)*Scoring_Rules!$C$6+IFERROR(INDEX(Scoring_Rules!$C$34:$C$40,MATCH(K308,Scoring_Rules!$B$34:$B$40,0)),0)*Scoring_Rules!$C$7+IFERROR(INDEX(Scoring_Rules!$C$16:$C$19,MATCH(P308,Scoring_Rules!$B$16:$B$19,0)),0)*Scoring_Rules!$C$8+IFERROR(INDEX(Scoring_Rules!$C$22:$C$25,MATCH(O308,Scoring_Rules!$B$22:$B$25,0)),0)*Scoring_Rules!$C$9+IFERROR(INDEX(Scoring_Rules!$C$47:$C$50,MATCH(X308,Scoring_Rules!$B$47:$B$50,0)),0)*Scoring_Rules!$C$10+IFERROR(INDEX(Scoring_Rules!$C$28:$C$31,MATCH(R308,Scoring_Rules!$B$28:$B$31,0)),0)*Scoring_Rules!$C$11,1),"")</x:f>
        <x:v>43.8</x:v>
      </x:c>
      <x:c r="AF308" s="35">
        <x:v>3</x:v>
      </x:c>
      <x:c r="AG308" s="33" t="s">
        <x:v>1371</x:v>
      </x:c>
      <x:c r="AH308" s="36">
        <x:v>46389</x:v>
      </x:c>
      <x:c r="AI308" s="33" t="s">
        <x:v>126</x:v>
      </x:c>
      <x:c r="AJ308" s="34" t="s">
        <x:v>354</x:v>
      </x:c>
    </x:row>
    <x:row r="309" ht="15" customHeight="1">
      <x:c r="A309" s="31" t="s">
        <x:v>1588</x:v>
      </x:c>
      <x:c r="B309" s="31" t="s">
        <x:v>1589</x:v>
      </x:c>
      <x:c r="C309" s="31" t="s">
        <x:v>1360</x:v>
      </x:c>
      <x:c r="D309" s="32" t="s">
        <x:v>1374</x:v>
      </x:c>
      <x:c r="E309" s="32" t="str">
        <x:v>Data Migration Only</x:v>
      </x:c>
      <x:c r="F309" s="33" t="s">
        <x:v>118</x:v>
      </x:c>
      <x:c r="G309" s="34" t="s">
        <x:v>1361</x:v>
      </x:c>
      <x:c r="H309" s="33" t="s">
        <x:v>87</x:v>
      </x:c>
      <x:c r="I309" s="33" t="s">
        <x:v>1362</x:v>
      </x:c>
      <x:c r="J309" s="33" t="s">
        <x:v>80</x:v>
      </x:c>
      <x:c r="K309" s="33" t="s">
        <x:v>62</x:v>
      </x:c>
      <x:c r="L309" s="33" t="s">
        <x:v>73</x:v>
      </x:c>
      <x:c r="M309" s="35">
        <x:v>54</x:v>
      </x:c>
      <x:c r="N309" s="35">
        <x:v>51289766</x:v>
      </x:c>
      <x:c r="O309" s="33" t="s">
        <x:v>103</x:v>
      </x:c>
      <x:c r="P309" s="33" t="s">
        <x:v>73</x:v>
      </x:c>
      <x:c r="Q309" s="33" t="s">
        <x:v>120</x:v>
      </x:c>
      <x:c r="R309" s="33" t="s">
        <x:v>101</x:v>
      </x:c>
      <x:c r="S309" s="31" t="s">
        <x:v>1590</x:v>
      </x:c>
      <x:c r="T309" s="31" t="s">
        <x:v>1591</x:v>
      </x:c>
      <x:c r="U309" s="31" t="s">
        <x:v>276</x:v>
      </x:c>
      <x:c r="V309" s="33" t="s">
        <x:v>277</x:v>
      </x:c>
      <x:c r="W309" s="33" t="s">
        <x:v>1410</x:v>
      </x:c>
      <x:c r="X309" s="33" t="s">
        <x:v>239</x:v>
      </x:c>
      <x:c r="Y309" s="36"/>
      <x:c r="Z309" s="36"/>
      <x:c r="AA309" s="33" t="s">
        <x:v>120</x:v>
      </x:c>
      <x:c r="AB309" s="37" t="n">
        <x:f>IFERROR(INDEX(Effort_Model!$J$6:$J$33,MATCH(K309&amp;"|"&amp;L309,Effort_Model!$B$6:$B$33,0)),"")</x:f>
        <x:v>74.4</x:v>
      </x:c>
      <x:c r="AC309" s="38">
        <x:v>497.1</x:v>
      </x:c>
      <x:c r="AD309" s="37">
        <x:f t="shared" si="4"/>
        <x:v>638.1</x:v>
      </x:c>
      <x:c r="AE309" s="37" t="n">
        <x:f>IFERROR(ROUND(IFERROR(INDEX(Scoring_Rules!$C$43:$C$44,MATCH(Q309,Scoring_Rules!$B$43:$B$44,0)),0)*Scoring_Rules!$C$6+IFERROR(INDEX(Scoring_Rules!$C$34:$C$40,MATCH(K309,Scoring_Rules!$B$34:$B$40,0)),0)*Scoring_Rules!$C$7+IFERROR(INDEX(Scoring_Rules!$C$16:$C$19,MATCH(P309,Scoring_Rules!$B$16:$B$19,0)),0)*Scoring_Rules!$C$8+IFERROR(INDEX(Scoring_Rules!$C$22:$C$25,MATCH(O309,Scoring_Rules!$B$22:$B$25,0)),0)*Scoring_Rules!$C$9+IFERROR(INDEX(Scoring_Rules!$C$47:$C$50,MATCH(X309,Scoring_Rules!$B$47:$B$50,0)),0)*Scoring_Rules!$C$10+IFERROR(INDEX(Scoring_Rules!$C$28:$C$31,MATCH(R309,Scoring_Rules!$B$28:$B$31,0)),0)*Scoring_Rules!$C$11,1),"")</x:f>
        <x:v>37.3</x:v>
      </x:c>
      <x:c r="AF309" s="35">
        <x:v>5</x:v>
      </x:c>
      <x:c r="AG309" s="33" t="s">
        <x:v>1377</x:v>
      </x:c>
      <x:c r="AH309" s="36">
        <x:v>46389</x:v>
      </x:c>
      <x:c r="AI309" s="33" t="s">
        <x:v>125</x:v>
      </x:c>
      <x:c r="AJ309" s="34"/>
    </x:row>
    <x:row r="310" ht="15" customHeight="1">
      <x:c r="A310" s="31" t="s">
        <x:v>1592</x:v>
      </x:c>
      <x:c r="B310" s="31" t="s">
        <x:v>1593</x:v>
      </x:c>
      <x:c r="C310" s="31" t="s">
        <x:v>1360</x:v>
      </x:c>
      <x:c r="D310" s="32" t="s">
        <x:v>799</x:v>
      </x:c>
      <x:c r="E310" s="32" t="str">
        <x:v>Functional Migration Only</x:v>
      </x:c>
      <x:c r="F310" s="33" t="s">
        <x:v>118</x:v>
      </x:c>
      <x:c r="G310" s="34" t="s">
        <x:v>1368</x:v>
      </x:c>
      <x:c r="H310" s="33" t="s">
        <x:v>87</x:v>
      </x:c>
      <x:c r="I310" s="33" t="s">
        <x:v>1362</x:v>
      </x:c>
      <x:c r="J310" s="33" t="s">
        <x:v>82</x:v>
      </x:c>
      <x:c r="K310" s="33" t="s">
        <x:v>60</x:v>
      </x:c>
      <x:c r="L310" s="33" t="s">
        <x:v>77</x:v>
      </x:c>
      <x:c r="M310" s="35">
        <x:v>33</x:v>
      </x:c>
      <x:c r="N310" s="35">
        <x:v>6275378</x:v>
      </x:c>
      <x:c r="O310" s="33" t="s">
        <x:v>101</x:v>
      </x:c>
      <x:c r="P310" s="33" t="s">
        <x:v>101</x:v>
      </x:c>
      <x:c r="Q310" s="33" t="s">
        <x:v>120</x:v>
      </x:c>
      <x:c r="R310" s="33" t="s">
        <x:v>73</x:v>
      </x:c>
      <x:c r="S310" s="31" t="s">
        <x:v>1494</x:v>
      </x:c>
      <x:c r="T310" s="31" t="s">
        <x:v>1495</x:v>
      </x:c>
      <x:c r="U310" s="31" t="s">
        <x:v>276</x:v>
      </x:c>
      <x:c r="V310" s="33" t="s">
        <x:v>365</x:v>
      </x:c>
      <x:c r="W310" s="33"/>
      <x:c r="X310" s="33" t="s">
        <x:v>238</x:v>
      </x:c>
      <x:c r="Y310" s="36"/>
      <x:c r="Z310" s="36"/>
      <x:c r="AA310" s="33" t="s">
        <x:v>120</x:v>
      </x:c>
      <x:c r="AB310" s="37" t="n">
        <x:f>IFERROR(INDEX(Effort_Model!$J$6:$J$33,MATCH(K310&amp;"|"&amp;L310,Effort_Model!$B$6:$B$33,0)),"")</x:f>
        <x:v>42.4</x:v>
      </x:c>
      <x:c r="AC310" s="38">
        <x:v>620.1</x:v>
      </x:c>
      <x:c r="AD310" s="37">
        <x:f t="shared" si="4"/>
        <x:v>765.43330000000003</x:v>
      </x:c>
      <x:c r="AE310" s="37" t="n">
        <x:f>IFERROR(ROUND(IFERROR(INDEX(Scoring_Rules!$C$43:$C$44,MATCH(Q310,Scoring_Rules!$B$43:$B$44,0)),0)*Scoring_Rules!$C$6+IFERROR(INDEX(Scoring_Rules!$C$34:$C$40,MATCH(K310,Scoring_Rules!$B$34:$B$40,0)),0)*Scoring_Rules!$C$7+IFERROR(INDEX(Scoring_Rules!$C$16:$C$19,MATCH(P310,Scoring_Rules!$B$16:$B$19,0)),0)*Scoring_Rules!$C$8+IFERROR(INDEX(Scoring_Rules!$C$22:$C$25,MATCH(O310,Scoring_Rules!$B$22:$B$25,0)),0)*Scoring_Rules!$C$9+IFERROR(INDEX(Scoring_Rules!$C$47:$C$50,MATCH(X310,Scoring_Rules!$B$47:$B$50,0)),0)*Scoring_Rules!$C$10+IFERROR(INDEX(Scoring_Rules!$C$28:$C$31,MATCH(R310,Scoring_Rules!$B$28:$B$31,0)),0)*Scoring_Rules!$C$11,1),"")</x:f>
        <x:v>45.8</x:v>
      </x:c>
      <x:c r="AF310" s="35">
        <x:v>7</x:v>
      </x:c>
      <x:c r="AG310" s="33" t="s">
        <x:v>1381</x:v>
      </x:c>
      <x:c r="AH310" s="36">
        <x:v>46328</x:v>
      </x:c>
      <x:c r="AI310" s="33" t="s">
        <x:v>127</x:v>
      </x:c>
      <x:c r="AJ310" s="34"/>
    </x:row>
    <x:row r="311" ht="15" customHeight="1">
      <x:c r="A311" s="31" t="s">
        <x:v>1594</x:v>
      </x:c>
      <x:c r="B311" s="31" t="s">
        <x:v>1595</x:v>
      </x:c>
      <x:c r="C311" s="31" t="s">
        <x:v>1360</x:v>
      </x:c>
      <x:c r="D311" s="32" t="s">
        <x:v>799</x:v>
      </x:c>
      <x:c r="E311" s="32" t="str">
        <x:v>Functional Migration Only</x:v>
      </x:c>
      <x:c r="F311" s="33" t="s">
        <x:v>118</x:v>
      </x:c>
      <x:c r="G311" s="34" t="s">
        <x:v>1361</x:v>
      </x:c>
      <x:c r="H311" s="33" t="s">
        <x:v>87</x:v>
      </x:c>
      <x:c r="I311" s="33" t="s">
        <x:v>1362</x:v>
      </x:c>
      <x:c r="J311" s="33" t="s">
        <x:v>82</x:v>
      </x:c>
      <x:c r="K311" s="33" t="s">
        <x:v>62</x:v>
      </x:c>
      <x:c r="L311" s="33" t="s">
        <x:v>73</x:v>
      </x:c>
      <x:c r="M311" s="35">
        <x:v>56</x:v>
      </x:c>
      <x:c r="N311" s="35">
        <x:v>63021825</x:v>
      </x:c>
      <x:c r="O311" s="33" t="s">
        <x:v>101</x:v>
      </x:c>
      <x:c r="P311" s="33" t="s">
        <x:v>98</x:v>
      </x:c>
      <x:c r="Q311" s="33" t="s">
        <x:v>120</x:v>
      </x:c>
      <x:c r="R311" s="33" t="s">
        <x:v>101</x:v>
      </x:c>
      <x:c r="S311" s="31" t="s">
        <x:v>1494</x:v>
      </x:c>
      <x:c r="T311" s="31" t="s">
        <x:v>1495</x:v>
      </x:c>
      <x:c r="U311" s="31" t="s">
        <x:v>276</x:v>
      </x:c>
      <x:c r="V311" s="33" t="s">
        <x:v>347</x:v>
      </x:c>
      <x:c r="W311" s="33" t="s">
        <x:v>1556</x:v>
      </x:c>
      <x:c r="X311" s="33" t="s">
        <x:v>239</x:v>
      </x:c>
      <x:c r="Y311" s="36"/>
      <x:c r="Z311" s="36"/>
      <x:c r="AA311" s="33" t="s">
        <x:v>120</x:v>
      </x:c>
      <x:c r="AB311" s="37" t="n">
        <x:f>IFERROR(INDEX(Effort_Model!$J$6:$J$33,MATCH(K311&amp;"|"&amp;L311,Effort_Model!$B$6:$B$33,0)),"")</x:f>
        <x:v>74.4</x:v>
      </x:c>
      <x:c r="AC311" s="38">
        <x:v>653.9</x:v>
      </x:c>
      <x:c r="AD311" s="37">
        <x:f t="shared" si="4"/>
        <x:v>794.9</x:v>
      </x:c>
      <x:c r="AE311" s="37" t="n">
        <x:f>IFERROR(ROUND(IFERROR(INDEX(Scoring_Rules!$C$43:$C$44,MATCH(Q311,Scoring_Rules!$B$43:$B$44,0)),0)*Scoring_Rules!$C$6+IFERROR(INDEX(Scoring_Rules!$C$34:$C$40,MATCH(K311,Scoring_Rules!$B$34:$B$40,0)),0)*Scoring_Rules!$C$7+IFERROR(INDEX(Scoring_Rules!$C$16:$C$19,MATCH(P311,Scoring_Rules!$B$16:$B$19,0)),0)*Scoring_Rules!$C$8+IFERROR(INDEX(Scoring_Rules!$C$22:$C$25,MATCH(O311,Scoring_Rules!$B$22:$B$25,0)),0)*Scoring_Rules!$C$9+IFERROR(INDEX(Scoring_Rules!$C$47:$C$50,MATCH(X311,Scoring_Rules!$B$47:$B$50,0)),0)*Scoring_Rules!$C$10+IFERROR(INDEX(Scoring_Rules!$C$28:$C$31,MATCH(R311,Scoring_Rules!$B$28:$B$31,0)),0)*Scoring_Rules!$C$11,1),"")</x:f>
        <x:v>48.5</x:v>
      </x:c>
      <x:c r="AF311" s="35">
        <x:v>3</x:v>
      </x:c>
      <x:c r="AG311" s="33" t="s">
        <x:v>1365</x:v>
      </x:c>
      <x:c r="AH311" s="36">
        <x:v>46301</x:v>
      </x:c>
      <x:c r="AI311" s="33" t="s">
        <x:v>125</x:v>
      </x:c>
      <x:c r="AJ311" s="34" t="s">
        <x:v>342</x:v>
      </x:c>
    </x:row>
    <x:row r="312" ht="15" customHeight="1">
      <x:c r="A312" s="31" t="s">
        <x:v>1596</x:v>
      </x:c>
      <x:c r="B312" s="31" t="s">
        <x:v>1597</x:v>
      </x:c>
      <x:c r="C312" s="31" t="s">
        <x:v>1360</x:v>
      </x:c>
      <x:c r="D312" s="32" t="s">
        <x:v>1113</x:v>
      </x:c>
      <x:c r="E312" s="32" t="str">
        <x:v>Data Migration Only</x:v>
      </x:c>
      <x:c r="F312" s="33" t="s">
        <x:v>118</x:v>
      </x:c>
      <x:c r="G312" s="34" t="s">
        <x:v>1368</x:v>
      </x:c>
      <x:c r="H312" s="33" t="s">
        <x:v>87</x:v>
      </x:c>
      <x:c r="I312" s="33" t="s">
        <x:v>1362</x:v>
      </x:c>
      <x:c r="J312" s="33" t="s">
        <x:v>80</x:v>
      </x:c>
      <x:c r="K312" s="33" t="s">
        <x:v>64</x:v>
      </x:c>
      <x:c r="L312" s="33" t="s">
        <x:v>73</x:v>
      </x:c>
      <x:c r="M312" s="35">
        <x:v>100</x:v>
      </x:c>
      <x:c r="N312" s="35">
        <x:v>684781824</x:v>
      </x:c>
      <x:c r="O312" s="33" t="s">
        <x:v>103</x:v>
      </x:c>
      <x:c r="P312" s="33" t="s">
        <x:v>109</x:v>
      </x:c>
      <x:c r="Q312" s="33" t="s">
        <x:v>120</x:v>
      </x:c>
      <x:c r="R312" s="33" t="s">
        <x:v>115</x:v>
      </x:c>
      <x:c r="S312" s="31" t="s">
        <x:v>1551</x:v>
      </x:c>
      <x:c r="T312" s="31" t="s">
        <x:v>1598</x:v>
      </x:c>
      <x:c r="U312" s="31" t="s">
        <x:v>471</x:v>
      </x:c>
      <x:c r="V312" s="33" t="s">
        <x:v>444</x:v>
      </x:c>
      <x:c r="W312" s="33" t="s">
        <x:v>1543</x:v>
      </x:c>
      <x:c r="X312" s="33" t="s">
        <x:v>239</x:v>
      </x:c>
      <x:c r="Y312" s="36">
        <x:v>46715</x:v>
      </x:c>
      <x:c r="Z312" s="36"/>
      <x:c r="AA312" s="33" t="s">
        <x:v>120</x:v>
      </x:c>
      <x:c r="AB312" s="37" t="n">
        <x:f>IFERROR(INDEX(Effort_Model!$J$6:$J$33,MATCH(K312&amp;"|"&amp;L312,Effort_Model!$B$6:$B$33,0)),"")</x:f>
        <x:v>106.4</x:v>
      </x:c>
      <x:c r="AC312" s="38">
        <x:v>667.8</x:v>
      </x:c>
      <x:c r="AD312" s="37">
        <x:f t="shared" si="4"/>
        <x:v>872.8</x:v>
      </x:c>
      <x:c r="AE312" s="37" t="n">
        <x:f>IFERROR(ROUND(IFERROR(INDEX(Scoring_Rules!$C$43:$C$44,MATCH(Q312,Scoring_Rules!$B$43:$B$44,0)),0)*Scoring_Rules!$C$6+IFERROR(INDEX(Scoring_Rules!$C$34:$C$40,MATCH(K312,Scoring_Rules!$B$34:$B$40,0)),0)*Scoring_Rules!$C$7+IFERROR(INDEX(Scoring_Rules!$C$16:$C$19,MATCH(P312,Scoring_Rules!$B$16:$B$19,0)),0)*Scoring_Rules!$C$8+IFERROR(INDEX(Scoring_Rules!$C$22:$C$25,MATCH(O312,Scoring_Rules!$B$22:$B$25,0)),0)*Scoring_Rules!$C$9+IFERROR(INDEX(Scoring_Rules!$C$47:$C$50,MATCH(X312,Scoring_Rules!$B$47:$B$50,0)),0)*Scoring_Rules!$C$10+IFERROR(INDEX(Scoring_Rules!$C$28:$C$31,MATCH(R312,Scoring_Rules!$B$28:$B$31,0)),0)*Scoring_Rules!$C$11,1),"")</x:f>
        <x:v>17.5</x:v>
      </x:c>
      <x:c r="AF312" s="35">
        <x:v>8</x:v>
      </x:c>
      <x:c r="AG312" s="33" t="s">
        <x:v>1371</x:v>
      </x:c>
      <x:c r="AH312" s="36">
        <x:v>46324</x:v>
      </x:c>
      <x:c r="AI312" s="33" t="s">
        <x:v>124</x:v>
      </x:c>
      <x:c r="AJ312" s="34" t="s">
        <x:v>312</x:v>
      </x:c>
    </x:row>
    <x:row r="313" ht="15" customHeight="1">
      <x:c r="A313" s="31" t="s">
        <x:v>1599</x:v>
      </x:c>
      <x:c r="B313" s="31" t="s">
        <x:v>1600</x:v>
      </x:c>
      <x:c r="C313" s="31" t="s">
        <x:v>1360</x:v>
      </x:c>
      <x:c r="D313" s="32" t="s">
        <x:v>760</x:v>
      </x:c>
      <x:c r="E313" s="32" t="str">
        <x:v>Functional Migration Only</x:v>
      </x:c>
      <x:c r="F313" s="33" t="s">
        <x:v>118</x:v>
      </x:c>
      <x:c r="G313" s="34" t="s">
        <x:v>1361</x:v>
      </x:c>
      <x:c r="H313" s="33" t="s">
        <x:v>87</x:v>
      </x:c>
      <x:c r="I313" s="33" t="s">
        <x:v>1362</x:v>
      </x:c>
      <x:c r="J313" s="33" t="s">
        <x:v>82</x:v>
      </x:c>
      <x:c r="K313" s="33" t="s">
        <x:v>64</x:v>
      </x:c>
      <x:c r="L313" s="33" t="s">
        <x:v>73</x:v>
      </x:c>
      <x:c r="M313" s="35">
        <x:v>87</x:v>
      </x:c>
      <x:c r="N313" s="35">
        <x:v>1424232097</x:v>
      </x:c>
      <x:c r="O313" s="33" t="s">
        <x:v>73</x:v>
      </x:c>
      <x:c r="P313" s="33" t="s">
        <x:v>73</x:v>
      </x:c>
      <x:c r="Q313" s="33" t="s">
        <x:v>120</x:v>
      </x:c>
      <x:c r="R313" s="33" t="s">
        <x:v>101</x:v>
      </x:c>
      <x:c r="S313" s="31" t="s">
        <x:v>1601</x:v>
      </x:c>
      <x:c r="T313" s="31" t="s">
        <x:v>1602</x:v>
      </x:c>
      <x:c r="U313" s="31" t="s">
        <x:v>477</x:v>
      </x:c>
      <x:c r="V313" s="33" t="s">
        <x:v>323</x:v>
      </x:c>
      <x:c r="W313" s="33" t="s">
        <x:v>1603</x:v>
      </x:c>
      <x:c r="X313" s="33" t="s">
        <x:v>240</x:v>
      </x:c>
      <x:c r="Y313" s="36">
        <x:v>46456</x:v>
      </x:c>
      <x:c r="Z313" s="36">
        <x:v>46680</x:v>
      </x:c>
      <x:c r="AA313" s="33" t="s">
        <x:v>120</x:v>
      </x:c>
      <x:c r="AB313" s="37" t="n">
        <x:f>IFERROR(INDEX(Effort_Model!$J$6:$J$33,MATCH(K313&amp;"|"&amp;L313,Effort_Model!$B$6:$B$33,0)),"")</x:f>
        <x:v>106.4</x:v>
      </x:c>
      <x:c r="AC313" s="38">
        <x:v>1215.3</x:v>
      </x:c>
      <x:c r="AD313" s="37">
        <x:f t="shared" si="4"/>
        <x:v>1420.3</x:v>
      </x:c>
      <x:c r="AE313" s="37" t="n">
        <x:f>IFERROR(ROUND(IFERROR(INDEX(Scoring_Rules!$C$43:$C$44,MATCH(Q313,Scoring_Rules!$B$43:$B$44,0)),0)*Scoring_Rules!$C$6+IFERROR(INDEX(Scoring_Rules!$C$34:$C$40,MATCH(K313,Scoring_Rules!$B$34:$B$40,0)),0)*Scoring_Rules!$C$7+IFERROR(INDEX(Scoring_Rules!$C$16:$C$19,MATCH(P313,Scoring_Rules!$B$16:$B$19,0)),0)*Scoring_Rules!$C$8+IFERROR(INDEX(Scoring_Rules!$C$22:$C$25,MATCH(O313,Scoring_Rules!$B$22:$B$25,0)),0)*Scoring_Rules!$C$9+IFERROR(INDEX(Scoring_Rules!$C$47:$C$50,MATCH(X313,Scoring_Rules!$B$47:$B$50,0)),0)*Scoring_Rules!$C$10+IFERROR(INDEX(Scoring_Rules!$C$28:$C$31,MATCH(R313,Scoring_Rules!$B$28:$B$31,0)),0)*Scoring_Rules!$C$11,1),"")</x:f>
        <x:v>37.8</x:v>
      </x:c>
      <x:c r="AF313" s="35">
        <x:v>5</x:v>
      </x:c>
      <x:c r="AG313" s="33" t="s">
        <x:v>1377</x:v>
      </x:c>
      <x:c r="AH313" s="36">
        <x:v>46346</x:v>
      </x:c>
      <x:c r="AI313" s="33" t="s">
        <x:v>125</x:v>
      </x:c>
      <x:c r="AJ313" s="34" t="s">
        <x:v>395</x:v>
      </x:c>
    </x:row>
    <x:row r="314" ht="15" customHeight="1">
      <x:c r="A314" s="31" t="s">
        <x:v>1604</x:v>
      </x:c>
      <x:c r="B314" s="31" t="s">
        <x:v>1605</x:v>
      </x:c>
      <x:c r="C314" s="31" t="s">
        <x:v>1360</x:v>
      </x:c>
      <x:c r="D314" s="32" t="s">
        <x:v>824</x:v>
      </x:c>
      <x:c r="E314" s="32" t="str">
        <x:v>Data Migration Only</x:v>
      </x:c>
      <x:c r="F314" s="33" t="s">
        <x:v>118</x:v>
      </x:c>
      <x:c r="G314" s="34" t="s">
        <x:v>1361</x:v>
      </x:c>
      <x:c r="H314" s="33" t="s">
        <x:v>87</x:v>
      </x:c>
      <x:c r="I314" s="33" t="s">
        <x:v>1362</x:v>
      </x:c>
      <x:c r="J314" s="33" t="s">
        <x:v>80</x:v>
      </x:c>
      <x:c r="K314" s="33" t="s">
        <x:v>58</x:v>
      </x:c>
      <x:c r="L314" s="33" t="s">
        <x:v>73</x:v>
      </x:c>
      <x:c r="M314" s="35">
        <x:v>22</x:v>
      </x:c>
      <x:c r="N314" s="35">
        <x:v>783611</x:v>
      </x:c>
      <x:c r="O314" s="33" t="s">
        <x:v>73</x:v>
      </x:c>
      <x:c r="P314" s="33" t="s">
        <x:v>73</x:v>
      </x:c>
      <x:c r="Q314" s="33" t="s">
        <x:v>118</x:v>
      </x:c>
      <x:c r="R314" s="33" t="s">
        <x:v>115</x:v>
      </x:c>
      <x:c r="S314" s="31" t="s">
        <x:v>1606</x:v>
      </x:c>
      <x:c r="T314" s="31" t="s">
        <x:v>1607</x:v>
      </x:c>
      <x:c r="U314" s="31" t="s">
        <x:v>471</x:v>
      </x:c>
      <x:c r="V314" s="33" t="s">
        <x:v>365</x:v>
      </x:c>
      <x:c r="W314" s="33" t="s">
        <x:v>1568</x:v>
      </x:c>
      <x:c r="X314" s="33" t="s">
        <x:v>240</x:v>
      </x:c>
      <x:c r="Y314" s="36"/>
      <x:c r="Z314" s="36">
        <x:v>47071</x:v>
      </x:c>
      <x:c r="AA314" s="33" t="s">
        <x:v>120</x:v>
      </x:c>
      <x:c r="AB314" s="37" t="n">
        <x:f>IFERROR(INDEX(Effort_Model!$J$6:$J$33,MATCH(K314&amp;"|"&amp;L314,Effort_Model!$B$6:$B$33,0)),"")</x:f>
        <x:v>26.4</x:v>
      </x:c>
      <x:c r="AC314" s="38">
        <x:v>154.6</x:v>
      </x:c>
      <x:c r="AD314" s="37">
        <x:f t="shared" si="4"/>
        <x:v>199.6</x:v>
      </x:c>
      <x:c r="AE314" s="37" t="n">
        <x:f>IFERROR(ROUND(IFERROR(INDEX(Scoring_Rules!$C$43:$C$44,MATCH(Q314,Scoring_Rules!$B$43:$B$44,0)),0)*Scoring_Rules!$C$6+IFERROR(INDEX(Scoring_Rules!$C$34:$C$40,MATCH(K314,Scoring_Rules!$B$34:$B$40,0)),0)*Scoring_Rules!$C$7+IFERROR(INDEX(Scoring_Rules!$C$16:$C$19,MATCH(P314,Scoring_Rules!$B$16:$B$19,0)),0)*Scoring_Rules!$C$8+IFERROR(INDEX(Scoring_Rules!$C$22:$C$25,MATCH(O314,Scoring_Rules!$B$22:$B$25,0)),0)*Scoring_Rules!$C$9+IFERROR(INDEX(Scoring_Rules!$C$47:$C$50,MATCH(X314,Scoring_Rules!$B$47:$B$50,0)),0)*Scoring_Rules!$C$10+IFERROR(INDEX(Scoring_Rules!$C$28:$C$31,MATCH(R314,Scoring_Rules!$B$28:$B$31,0)),0)*Scoring_Rules!$C$11,1),"")</x:f>
        <x:v>72</x:v>
      </x:c>
      <x:c r="AF314" s="35">
        <x:v>1</x:v>
      </x:c>
      <x:c r="AG314" s="33" t="s">
        <x:v>1381</x:v>
      </x:c>
      <x:c r="AH314" s="36">
        <x:v>46366</x:v>
      </x:c>
      <x:c r="AI314" s="33" t="s">
        <x:v>126</x:v>
      </x:c>
      <x:c r="AJ314" s="34"/>
    </x:row>
    <x:row r="315" ht="15" customHeight="1">
      <x:c r="A315" s="31" t="s">
        <x:v>1608</x:v>
      </x:c>
      <x:c r="B315" s="31" t="s">
        <x:v>1609</x:v>
      </x:c>
      <x:c r="C315" s="31" t="s">
        <x:v>1360</x:v>
      </x:c>
      <x:c r="D315" s="32" t="s">
        <x:v>320</x:v>
      </x:c>
      <x:c r="E315" s="32" t="str">
        <x:v>Functional Migration Only</x:v>
      </x:c>
      <x:c r="F315" s="33" t="s">
        <x:v>118</x:v>
      </x:c>
      <x:c r="G315" s="34" t="s">
        <x:v>1386</x:v>
      </x:c>
      <x:c r="H315" s="33" t="s">
        <x:v>87</x:v>
      </x:c>
      <x:c r="I315" s="33" t="s">
        <x:v>1362</x:v>
      </x:c>
      <x:c r="J315" s="33" t="s">
        <x:v>82</x:v>
      </x:c>
      <x:c r="K315" s="33" t="s">
        <x:v>58</x:v>
      </x:c>
      <x:c r="L315" s="33" t="s">
        <x:v>73</x:v>
      </x:c>
      <x:c r="M315" s="35">
        <x:v>28</x:v>
      </x:c>
      <x:c r="N315" s="35">
        <x:v>1477570</x:v>
      </x:c>
      <x:c r="O315" s="33" t="s">
        <x:v>98</x:v>
      </x:c>
      <x:c r="P315" s="33" t="s">
        <x:v>73</x:v>
      </x:c>
      <x:c r="Q315" s="33" t="s">
        <x:v>118</x:v>
      </x:c>
      <x:c r="R315" s="33" t="s">
        <x:v>73</x:v>
      </x:c>
      <x:c r="S315" s="31" t="s">
        <x:v>1610</x:v>
      </x:c>
      <x:c r="T315" s="31" t="s">
        <x:v>1611</x:v>
      </x:c>
      <x:c r="U315" s="31" t="s">
        <x:v>1514</x:v>
      </x:c>
      <x:c r="V315" s="33" t="s">
        <x:v>365</x:v>
      </x:c>
      <x:c r="W315" s="33"/>
      <x:c r="X315" s="33" t="s">
        <x:v>238</x:v>
      </x:c>
      <x:c r="Y315" s="36"/>
      <x:c r="Z315" s="36"/>
      <x:c r="AA315" s="33" t="s">
        <x:v>120</x:v>
      </x:c>
      <x:c r="AB315" s="37" t="n">
        <x:f>IFERROR(INDEX(Effort_Model!$J$6:$J$33,MATCH(K315&amp;"|"&amp;L315,Effort_Model!$B$6:$B$33,0)),"")</x:f>
        <x:v>26.4</x:v>
      </x:c>
      <x:c r="AC315" s="38">
        <x:v>252.7</x:v>
      </x:c>
      <x:c r="AD315" s="37">
        <x:f t="shared" si="4"/>
        <x:v>297.7</x:v>
      </x:c>
      <x:c r="AE315" s="37" t="n">
        <x:f>IFERROR(ROUND(IFERROR(INDEX(Scoring_Rules!$C$43:$C$44,MATCH(Q315,Scoring_Rules!$B$43:$B$44,0)),0)*Scoring_Rules!$C$6+IFERROR(INDEX(Scoring_Rules!$C$34:$C$40,MATCH(K315,Scoring_Rules!$B$34:$B$40,0)),0)*Scoring_Rules!$C$7+IFERROR(INDEX(Scoring_Rules!$C$16:$C$19,MATCH(P315,Scoring_Rules!$B$16:$B$19,0)),0)*Scoring_Rules!$C$8+IFERROR(INDEX(Scoring_Rules!$C$22:$C$25,MATCH(O315,Scoring_Rules!$B$22:$B$25,0)),0)*Scoring_Rules!$C$9+IFERROR(INDEX(Scoring_Rules!$C$47:$C$50,MATCH(X315,Scoring_Rules!$B$47:$B$50,0)),0)*Scoring_Rules!$C$10+IFERROR(INDEX(Scoring_Rules!$C$28:$C$31,MATCH(R315,Scoring_Rules!$B$28:$B$31,0)),0)*Scoring_Rules!$C$11,1),"")</x:f>
        <x:v>90.5</x:v>
      </x:c>
      <x:c r="AF315" s="35">
        <x:v>1</x:v>
      </x:c>
      <x:c r="AG315" s="33" t="s">
        <x:v>1365</x:v>
      </x:c>
      <x:c r="AH315" s="36">
        <x:v>46375</x:v>
      </x:c>
      <x:c r="AI315" s="33" t="s">
        <x:v>127</x:v>
      </x:c>
      <x:c r="AJ315" s="34"/>
    </x:row>
    <x:row r="316" ht="15" customHeight="1">
      <x:c r="A316" s="31" t="s">
        <x:v>1612</x:v>
      </x:c>
      <x:c r="B316" s="31" t="s">
        <x:v>1613</x:v>
      </x:c>
      <x:c r="C316" s="31" t="s">
        <x:v>1360</x:v>
      </x:c>
      <x:c r="D316" s="32" t="s">
        <x:v>320</x:v>
      </x:c>
      <x:c r="E316" s="32" t="str">
        <x:v>Data Migration Only</x:v>
      </x:c>
      <x:c r="F316" s="33" t="s">
        <x:v>118</x:v>
      </x:c>
      <x:c r="G316" s="34" t="s">
        <x:v>1380</x:v>
      </x:c>
      <x:c r="H316" s="33" t="s">
        <x:v>87</x:v>
      </x:c>
      <x:c r="I316" s="33" t="s">
        <x:v>1362</x:v>
      </x:c>
      <x:c r="J316" s="33" t="s">
        <x:v>80</x:v>
      </x:c>
      <x:c r="K316" s="33" t="s">
        <x:v>60</x:v>
      </x:c>
      <x:c r="L316" s="33" t="s">
        <x:v>75</x:v>
      </x:c>
      <x:c r="M316" s="35">
        <x:v>42</x:v>
      </x:c>
      <x:c r="N316" s="35">
        <x:v>6950092</x:v>
      </x:c>
      <x:c r="O316" s="33" t="s">
        <x:v>73</x:v>
      </x:c>
      <x:c r="P316" s="33" t="s">
        <x:v>73</x:v>
      </x:c>
      <x:c r="Q316" s="33" t="s">
        <x:v>120</x:v>
      </x:c>
      <x:c r="R316" s="33" t="s">
        <x:v>101</x:v>
      </x:c>
      <x:c r="S316" s="31" t="s">
        <x:v>1614</x:v>
      </x:c>
      <x:c r="T316" s="31" t="s">
        <x:v>1615</x:v>
      </x:c>
      <x:c r="U316" s="31" t="s">
        <x:v>276</x:v>
      </x:c>
      <x:c r="V316" s="33" t="s">
        <x:v>303</x:v>
      </x:c>
      <x:c r="W316" s="33"/>
      <x:c r="X316" s="33" t="s">
        <x:v>238</x:v>
      </x:c>
      <x:c r="Y316" s="36"/>
      <x:c r="Z316" s="36"/>
      <x:c r="AA316" s="33" t="s">
        <x:v>118</x:v>
      </x:c>
      <x:c r="AB316" s="37" t="n">
        <x:f>IFERROR(INDEX(Effort_Model!$J$6:$J$33,MATCH(K316&amp;"|"&amp;L316,Effort_Model!$B$6:$B$33,0)),"")</x:f>
        <x:v>42.4</x:v>
      </x:c>
      <x:c r="AC316" s="38">
        <x:v>341.8</x:v>
      </x:c>
      <x:c r="AD316" s="37">
        <x:f t="shared" si="4"/>
        <x:v>455.13330000000002</x:v>
      </x:c>
      <x:c r="AE316" s="37" t="n">
        <x:f>IFERROR(ROUND(IFERROR(INDEX(Scoring_Rules!$C$43:$C$44,MATCH(Q316,Scoring_Rules!$B$43:$B$44,0)),0)*Scoring_Rules!$C$6+IFERROR(INDEX(Scoring_Rules!$C$34:$C$40,MATCH(K316,Scoring_Rules!$B$34:$B$40,0)),0)*Scoring_Rules!$C$7+IFERROR(INDEX(Scoring_Rules!$C$16:$C$19,MATCH(P316,Scoring_Rules!$B$16:$B$19,0)),0)*Scoring_Rules!$C$8+IFERROR(INDEX(Scoring_Rules!$C$22:$C$25,MATCH(O316,Scoring_Rules!$B$22:$B$25,0)),0)*Scoring_Rules!$C$9+IFERROR(INDEX(Scoring_Rules!$C$47:$C$50,MATCH(X316,Scoring_Rules!$B$47:$B$50,0)),0)*Scoring_Rules!$C$10+IFERROR(INDEX(Scoring_Rules!$C$28:$C$31,MATCH(R316,Scoring_Rules!$B$28:$B$31,0)),0)*Scoring_Rules!$C$11,1),"")</x:f>
        <x:v>56.3</x:v>
      </x:c>
      <x:c r="AF316" s="35"/>
      <x:c r="AG316" s="33" t="s">
        <x:v>1371</x:v>
      </x:c>
      <x:c r="AH316" s="36">
        <x:v>46322</x:v>
      </x:c>
      <x:c r="AI316" s="33" t="s">
        <x:v>127</x:v>
      </x:c>
      <x:c r="AJ316" s="34"/>
    </x:row>
    <x:row r="317" ht="15" customHeight="1">
      <x:c r="A317" s="31" t="s">
        <x:v>1616</x:v>
      </x:c>
      <x:c r="B317" s="31" t="s">
        <x:v>1617</x:v>
      </x:c>
      <x:c r="C317" s="31" t="s">
        <x:v>1360</x:v>
      </x:c>
      <x:c r="D317" s="32" t="s">
        <x:v>760</x:v>
      </x:c>
      <x:c r="E317" s="32" t="str">
        <x:v>Functional Migration Only</x:v>
      </x:c>
      <x:c r="F317" s="33" t="s">
        <x:v>118</x:v>
      </x:c>
      <x:c r="G317" s="34" t="s">
        <x:v>1361</x:v>
      </x:c>
      <x:c r="H317" s="33" t="s">
        <x:v>87</x:v>
      </x:c>
      <x:c r="I317" s="33" t="s">
        <x:v>1362</x:v>
      </x:c>
      <x:c r="J317" s="33" t="s">
        <x:v>82</x:v>
      </x:c>
      <x:c r="K317" s="33" t="s">
        <x:v>58</x:v>
      </x:c>
      <x:c r="L317" s="33" t="s">
        <x:v>75</x:v>
      </x:c>
      <x:c r="M317" s="35">
        <x:v>13</x:v>
      </x:c>
      <x:c r="N317" s="35">
        <x:v>1260171</x:v>
      </x:c>
      <x:c r="O317" s="33" t="s">
        <x:v>73</x:v>
      </x:c>
      <x:c r="P317" s="33" t="s">
        <x:v>101</x:v>
      </x:c>
      <x:c r="Q317" s="33" t="s">
        <x:v>120</x:v>
      </x:c>
      <x:c r="R317" s="33" t="s">
        <x:v>101</x:v>
      </x:c>
      <x:c r="S317" s="31" t="s">
        <x:v>1369</x:v>
      </x:c>
      <x:c r="T317" s="31" t="s">
        <x:v>1370</x:v>
      </x:c>
      <x:c r="U317" s="31" t="s">
        <x:v>477</x:v>
      </x:c>
      <x:c r="V317" s="33" t="s">
        <x:v>379</x:v>
      </x:c>
      <x:c r="W317" s="33"/>
      <x:c r="X317" s="33" t="s">
        <x:v>238</x:v>
      </x:c>
      <x:c r="Y317" s="36"/>
      <x:c r="Z317" s="36"/>
      <x:c r="AA317" s="33" t="s">
        <x:v>120</x:v>
      </x:c>
      <x:c r="AB317" s="37" t="n">
        <x:f>IFERROR(INDEX(Effort_Model!$J$6:$J$33,MATCH(K317&amp;"|"&amp;L317,Effort_Model!$B$6:$B$33,0)),"")</x:f>
        <x:v>26.4</x:v>
      </x:c>
      <x:c r="AC317" s="38">
        <x:v>280.10000000000002</x:v>
      </x:c>
      <x:c r="AD317" s="37">
        <x:f t="shared" si="4"/>
        <x:v>345.43330000000003</x:v>
      </x:c>
      <x:c r="AE317" s="37" t="n">
        <x:f>IFERROR(ROUND(IFERROR(INDEX(Scoring_Rules!$C$43:$C$44,MATCH(Q317,Scoring_Rules!$B$43:$B$44,0)),0)*Scoring_Rules!$C$6+IFERROR(INDEX(Scoring_Rules!$C$34:$C$40,MATCH(K317,Scoring_Rules!$B$34:$B$40,0)),0)*Scoring_Rules!$C$7+IFERROR(INDEX(Scoring_Rules!$C$16:$C$19,MATCH(P317,Scoring_Rules!$B$16:$B$19,0)),0)*Scoring_Rules!$C$8+IFERROR(INDEX(Scoring_Rules!$C$22:$C$25,MATCH(O317,Scoring_Rules!$B$22:$B$25,0)),0)*Scoring_Rules!$C$9+IFERROR(INDEX(Scoring_Rules!$C$47:$C$50,MATCH(X317,Scoring_Rules!$B$47:$B$50,0)),0)*Scoring_Rules!$C$10+IFERROR(INDEX(Scoring_Rules!$C$28:$C$31,MATCH(R317,Scoring_Rules!$B$28:$B$31,0)),0)*Scoring_Rules!$C$11,1),"")</x:f>
        <x:v>52.3</x:v>
      </x:c>
      <x:c r="AF317" s="35">
        <x:v>5</x:v>
      </x:c>
      <x:c r="AG317" s="33" t="s">
        <x:v>1377</x:v>
      </x:c>
      <x:c r="AH317" s="36">
        <x:v>46355</x:v>
      </x:c>
      <x:c r="AI317" s="33" t="s">
        <x:v>124</x:v>
      </x:c>
      <x:c r="AJ317" s="34"/>
    </x:row>
    <x:row r="318" ht="15" customHeight="1">
      <x:c r="A318" s="31" t="s">
        <x:v>1618</x:v>
      </x:c>
      <x:c r="B318" s="31" t="s">
        <x:v>1619</x:v>
      </x:c>
      <x:c r="C318" s="31" t="s">
        <x:v>1360</x:v>
      </x:c>
      <x:c r="D318" s="32" t="s">
        <x:v>824</x:v>
      </x:c>
      <x:c r="E318" s="32" t="str">
        <x:v>Data Migration Only</x:v>
      </x:c>
      <x:c r="F318" s="33" t="s">
        <x:v>118</x:v>
      </x:c>
      <x:c r="G318" s="34" t="s">
        <x:v>1386</x:v>
      </x:c>
      <x:c r="H318" s="33" t="s">
        <x:v>87</x:v>
      </x:c>
      <x:c r="I318" s="33" t="s">
        <x:v>1362</x:v>
      </x:c>
      <x:c r="J318" s="33" t="s">
        <x:v>80</x:v>
      </x:c>
      <x:c r="K318" s="33" t="s">
        <x:v>60</x:v>
      </x:c>
      <x:c r="L318" s="33" t="s">
        <x:v>73</x:v>
      </x:c>
      <x:c r="M318" s="35">
        <x:v>42</x:v>
      </x:c>
      <x:c r="N318" s="35">
        <x:v>4770224</x:v>
      </x:c>
      <x:c r="O318" s="33" t="s">
        <x:v>103</x:v>
      </x:c>
      <x:c r="P318" s="33" t="s">
        <x:v>101</x:v>
      </x:c>
      <x:c r="Q318" s="33" t="s">
        <x:v>120</x:v>
      </x:c>
      <x:c r="R318" s="33" t="s">
        <x:v>101</x:v>
      </x:c>
      <x:c r="S318" s="31" t="s">
        <x:v>1562</x:v>
      </x:c>
      <x:c r="T318" s="31" t="s">
        <x:v>1620</x:v>
      </x:c>
      <x:c r="U318" s="31" t="s">
        <x:v>522</x:v>
      </x:c>
      <x:c r="V318" s="33" t="s">
        <x:v>277</x:v>
      </x:c>
      <x:c r="W318" s="33"/>
      <x:c r="X318" s="33" t="s">
        <x:v>238</x:v>
      </x:c>
      <x:c r="Y318" s="36"/>
      <x:c r="Z318" s="36"/>
      <x:c r="AA318" s="33" t="s">
        <x:v>120</x:v>
      </x:c>
      <x:c r="AB318" s="37" t="n">
        <x:f>IFERROR(INDEX(Effort_Model!$J$6:$J$33,MATCH(K318&amp;"|"&amp;L318,Effort_Model!$B$6:$B$33,0)),"")</x:f>
        <x:v>42.4</x:v>
      </x:c>
      <x:c r="AC318" s="38">
        <x:v>260.7</x:v>
      </x:c>
      <x:c r="AD318" s="37">
        <x:f t="shared" si="4"/>
        <x:v>337.7</x:v>
      </x:c>
      <x:c r="AE318" s="37" t="n">
        <x:f>IFERROR(ROUND(IFERROR(INDEX(Scoring_Rules!$C$43:$C$44,MATCH(Q318,Scoring_Rules!$B$43:$B$44,0)),0)*Scoring_Rules!$C$6+IFERROR(INDEX(Scoring_Rules!$C$34:$C$40,MATCH(K318,Scoring_Rules!$B$34:$B$40,0)),0)*Scoring_Rules!$C$7+IFERROR(INDEX(Scoring_Rules!$C$16:$C$19,MATCH(P318,Scoring_Rules!$B$16:$B$19,0)),0)*Scoring_Rules!$C$8+IFERROR(INDEX(Scoring_Rules!$C$22:$C$25,MATCH(O318,Scoring_Rules!$B$22:$B$25,0)),0)*Scoring_Rules!$C$9+IFERROR(INDEX(Scoring_Rules!$C$47:$C$50,MATCH(X318,Scoring_Rules!$B$47:$B$50,0)),0)*Scoring_Rules!$C$10+IFERROR(INDEX(Scoring_Rules!$C$28:$C$31,MATCH(R318,Scoring_Rules!$B$28:$B$31,0)),0)*Scoring_Rules!$C$11,1),"")</x:f>
        <x:v>38.8</x:v>
      </x:c>
      <x:c r="AF318" s="35">
        <x:v>5</x:v>
      </x:c>
      <x:c r="AG318" s="33" t="s">
        <x:v>1381</x:v>
      </x:c>
      <x:c r="AH318" s="36">
        <x:v>46370</x:v>
      </x:c>
      <x:c r="AI318" s="33" t="s">
        <x:v>126</x:v>
      </x:c>
      <x:c r="AJ318" s="34"/>
    </x:row>
    <x:row r="319" ht="15" customHeight="1">
      <x:c r="A319" s="31" t="s">
        <x:v>1621</x:v>
      </x:c>
      <x:c r="B319" s="31" t="s">
        <x:v>1622</x:v>
      </x:c>
      <x:c r="C319" s="31" t="s">
        <x:v>1623</x:v>
      </x:c>
      <x:c r="D319" s="32" t="s">
        <x:v>1624</x:v>
      </x:c>
      <x:c r="E319" s="32" t="str">
        <x:v>Functional Migration Only</x:v>
      </x:c>
      <x:c r="F319" s="33" t="s">
        <x:v>118</x:v>
      </x:c>
      <x:c r="G319" s="34" t="s">
        <x:v>1625</x:v>
      </x:c>
      <x:c r="H319" s="33" t="s">
        <x:v>87</x:v>
      </x:c>
      <x:c r="I319" s="33" t="s">
        <x:v>1626</x:v>
      </x:c>
      <x:c r="J319" s="33" t="s">
        <x:v>82</x:v>
      </x:c>
      <x:c r="K319" s="33" t="s">
        <x:v>62</x:v>
      </x:c>
      <x:c r="L319" s="33" t="s">
        <x:v>77</x:v>
      </x:c>
      <x:c r="M319" s="35">
        <x:v>62</x:v>
      </x:c>
      <x:c r="N319" s="35">
        <x:v>76339098</x:v>
      </x:c>
      <x:c r="O319" s="33" t="s">
        <x:v>73</x:v>
      </x:c>
      <x:c r="P319" s="33" t="s">
        <x:v>109</x:v>
      </x:c>
      <x:c r="Q319" s="33" t="s">
        <x:v>120</x:v>
      </x:c>
      <x:c r="R319" s="33" t="s">
        <x:v>101</x:v>
      </x:c>
      <x:c r="S319" s="31" t="s">
        <x:v>1627</x:v>
      </x:c>
      <x:c r="T319" s="31" t="s">
        <x:v>1628</x:v>
      </x:c>
      <x:c r="U319" s="31" t="s">
        <x:v>522</x:v>
      </x:c>
      <x:c r="V319" s="33" t="s">
        <x:v>277</x:v>
      </x:c>
      <x:c r="W319" s="33"/>
      <x:c r="X319" s="33" t="s">
        <x:v>238</x:v>
      </x:c>
      <x:c r="Y319" s="36">
        <x:v>46483</x:v>
      </x:c>
      <x:c r="Z319" s="36"/>
      <x:c r="AA319" s="33" t="s">
        <x:v>120</x:v>
      </x:c>
      <x:c r="AB319" s="37" t="n">
        <x:f>IFERROR(INDEX(Effort_Model!$J$6:$J$33,MATCH(K319&amp;"|"&amp;L319,Effort_Model!$B$6:$B$33,0)),"")</x:f>
        <x:v>74.4</x:v>
      </x:c>
      <x:c r="AC319" s="38">
        <x:v>1323.9</x:v>
      </x:c>
      <x:c r="AD319" s="37">
        <x:f t="shared" si="4"/>
        <x:v>1597.2333000000001</x:v>
      </x:c>
      <x:c r="AE319" s="37" t="n">
        <x:f>IFERROR(ROUND(IFERROR(INDEX(Scoring_Rules!$C$43:$C$44,MATCH(Q319,Scoring_Rules!$B$43:$B$44,0)),0)*Scoring_Rules!$C$6+IFERROR(INDEX(Scoring_Rules!$C$34:$C$40,MATCH(K319,Scoring_Rules!$B$34:$B$40,0)),0)*Scoring_Rules!$C$7+IFERROR(INDEX(Scoring_Rules!$C$16:$C$19,MATCH(P319,Scoring_Rules!$B$16:$B$19,0)),0)*Scoring_Rules!$C$8+IFERROR(INDEX(Scoring_Rules!$C$22:$C$25,MATCH(O319,Scoring_Rules!$B$22:$B$25,0)),0)*Scoring_Rules!$C$9+IFERROR(INDEX(Scoring_Rules!$C$47:$C$50,MATCH(X319,Scoring_Rules!$B$47:$B$50,0)),0)*Scoring_Rules!$C$10+IFERROR(INDEX(Scoring_Rules!$C$28:$C$31,MATCH(R319,Scoring_Rules!$B$28:$B$31,0)),0)*Scoring_Rules!$C$11,1),"")</x:f>
        <x:v>38.3</x:v>
      </x:c>
      <x:c r="AF319" s="35">
        <x:v>8</x:v>
      </x:c>
      <x:c r="AG319" s="33" t="s">
        <x:v>1629</x:v>
      </x:c>
      <x:c r="AH319" s="36">
        <x:v>46380</x:v>
      </x:c>
      <x:c r="AI319" s="33" t="s">
        <x:v>127</x:v>
      </x:c>
      <x:c r="AJ319" s="34" t="s">
        <x:v>336</x:v>
      </x:c>
    </x:row>
    <x:row r="320" ht="15" customHeight="1">
      <x:c r="A320" s="31" t="s">
        <x:v>1630</x:v>
      </x:c>
      <x:c r="B320" s="31" t="s">
        <x:v>1631</x:v>
      </x:c>
      <x:c r="C320" s="31" t="s">
        <x:v>1623</x:v>
      </x:c>
      <x:c r="D320" s="32" t="s">
        <x:v>1624</x:v>
      </x:c>
      <x:c r="E320" s="32" t="str">
        <x:v>Data Migration Only</x:v>
      </x:c>
      <x:c r="F320" s="33" t="s">
        <x:v>118</x:v>
      </x:c>
      <x:c r="G320" s="34" t="s">
        <x:v>1625</x:v>
      </x:c>
      <x:c r="H320" s="33" t="s">
        <x:v>87</x:v>
      </x:c>
      <x:c r="I320" s="33" t="s">
        <x:v>1626</x:v>
      </x:c>
      <x:c r="J320" s="33" t="s">
        <x:v>80</x:v>
      </x:c>
      <x:c r="K320" s="33" t="s">
        <x:v>62</x:v>
      </x:c>
      <x:c r="L320" s="33" t="s">
        <x:v>77</x:v>
      </x:c>
      <x:c r="M320" s="35">
        <x:v>63</x:v>
      </x:c>
      <x:c r="N320" s="35">
        <x:v>85126926</x:v>
      </x:c>
      <x:c r="O320" s="33" t="s">
        <x:v>103</x:v>
      </x:c>
      <x:c r="P320" s="33" t="s">
        <x:v>101</x:v>
      </x:c>
      <x:c r="Q320" s="33" t="s">
        <x:v>120</x:v>
      </x:c>
      <x:c r="R320" s="33" t="s">
        <x:v>101</x:v>
      </x:c>
      <x:c r="S320" s="31" t="s">
        <x:v>1632</x:v>
      </x:c>
      <x:c r="T320" s="31" t="s">
        <x:v>1633</x:v>
      </x:c>
      <x:c r="U320" s="31" t="s">
        <x:v>276</x:v>
      </x:c>
      <x:c r="V320" s="33" t="s">
        <x:v>277</x:v>
      </x:c>
      <x:c r="W320" s="33" t="s">
        <x:v>1621</x:v>
      </x:c>
      <x:c r="X320" s="33" t="s">
        <x:v>239</x:v>
      </x:c>
      <x:c r="Y320" s="36"/>
      <x:c r="Z320" s="36"/>
      <x:c r="AA320" s="33" t="s">
        <x:v>120</x:v>
      </x:c>
      <x:c r="AB320" s="37" t="n">
        <x:f>IFERROR(INDEX(Effort_Model!$J$6:$J$33,MATCH(K320&amp;"|"&amp;L320,Effort_Model!$B$6:$B$33,0)),"")</x:f>
        <x:v>74.4</x:v>
      </x:c>
      <x:c r="AC320" s="38">
        <x:v>784.8</x:v>
      </x:c>
      <x:c r="AD320" s="37">
        <x:f t="shared" si="4"/>
        <x:v>1058.1333</x:v>
      </x:c>
      <x:c r="AE320" s="37" t="n">
        <x:f>IFERROR(ROUND(IFERROR(INDEX(Scoring_Rules!$C$43:$C$44,MATCH(Q320,Scoring_Rules!$B$43:$B$44,0)),0)*Scoring_Rules!$C$6+IFERROR(INDEX(Scoring_Rules!$C$34:$C$40,MATCH(K320,Scoring_Rules!$B$34:$B$40,0)),0)*Scoring_Rules!$C$7+IFERROR(INDEX(Scoring_Rules!$C$16:$C$19,MATCH(P320,Scoring_Rules!$B$16:$B$19,0)),0)*Scoring_Rules!$C$8+IFERROR(INDEX(Scoring_Rules!$C$22:$C$25,MATCH(O320,Scoring_Rules!$B$22:$B$25,0)),0)*Scoring_Rules!$C$9+IFERROR(INDEX(Scoring_Rules!$C$47:$C$50,MATCH(X320,Scoring_Rules!$B$47:$B$50,0)),0)*Scoring_Rules!$C$10+IFERROR(INDEX(Scoring_Rules!$C$28:$C$31,MATCH(R320,Scoring_Rules!$B$28:$B$31,0)),0)*Scoring_Rules!$C$11,1),"")</x:f>
        <x:v>30.3</x:v>
      </x:c>
      <x:c r="AF320" s="35">
        <x:v>9</x:v>
      </x:c>
      <x:c r="AG320" s="33" t="s">
        <x:v>1634</x:v>
      </x:c>
      <x:c r="AH320" s="36">
        <x:v>46302</x:v>
      </x:c>
      <x:c r="AI320" s="33" t="s">
        <x:v>126</x:v>
      </x:c>
      <x:c r="AJ320" s="34" t="s">
        <x:v>354</x:v>
      </x:c>
    </x:row>
    <x:row r="321" ht="15" customHeight="1">
      <x:c r="A321" s="31" t="s">
        <x:v>1635</x:v>
      </x:c>
      <x:c r="B321" s="31" t="s">
        <x:v>1636</x:v>
      </x:c>
      <x:c r="C321" s="31" t="s">
        <x:v>1623</x:v>
      </x:c>
      <x:c r="D321" s="32" t="s">
        <x:v>1637</x:v>
      </x:c>
      <x:c r="E321" s="32" t="str">
        <x:v>Data Migration Only</x:v>
      </x:c>
      <x:c r="F321" s="33" t="s">
        <x:v>118</x:v>
      </x:c>
      <x:c r="G321" s="34" t="s">
        <x:v>1638</x:v>
      </x:c>
      <x:c r="H321" s="33" t="s">
        <x:v>87</x:v>
      </x:c>
      <x:c r="I321" s="33" t="s">
        <x:v>1626</x:v>
      </x:c>
      <x:c r="J321" s="33" t="s">
        <x:v>80</x:v>
      </x:c>
      <x:c r="K321" s="33" t="s">
        <x:v>68</x:v>
      </x:c>
      <x:c r="L321" s="33" t="s">
        <x:v>73</x:v>
      </x:c>
      <x:c r="M321" s="35">
        <x:v>399</x:v>
      </x:c>
      <x:c r="N321" s="35">
        <x:v>98363205312</x:v>
      </x:c>
      <x:c r="O321" s="33" t="s">
        <x:v>101</x:v>
      </x:c>
      <x:c r="P321" s="33" t="s">
        <x:v>98</x:v>
      </x:c>
      <x:c r="Q321" s="33" t="s">
        <x:v>120</x:v>
      </x:c>
      <x:c r="R321" s="33" t="s">
        <x:v>101</x:v>
      </x:c>
      <x:c r="S321" s="31" t="s">
        <x:v>690</x:v>
      </x:c>
      <x:c r="T321" s="31" t="s">
        <x:v>697</x:v>
      </x:c>
      <x:c r="U321" s="31" t="s">
        <x:v>276</x:v>
      </x:c>
      <x:c r="V321" s="33" t="s">
        <x:v>451</x:v>
      </x:c>
      <x:c r="W321" s="33"/>
      <x:c r="X321" s="33" t="s">
        <x:v>238</x:v>
      </x:c>
      <x:c r="Y321" s="36"/>
      <x:c r="Z321" s="36"/>
      <x:c r="AA321" s="33" t="s">
        <x:v>120</x:v>
      </x:c>
      <x:c r="AB321" s="37" t="n">
        <x:f>IFERROR(INDEX(Effort_Model!$J$6:$J$33,MATCH(K321&amp;"|"&amp;L321,Effort_Model!$B$6:$B$33,0)),"")</x:f>
        <x:v>170.4</x:v>
      </x:c>
      <x:c r="AC321" s="38">
        <x:v>1504</x:v>
      </x:c>
      <x:c r="AD321" s="37">
        <x:f t="shared" si="4"/>
        <x:v>1837</x:v>
      </x:c>
      <x:c r="AE321" s="37" t="n">
        <x:f>IFERROR(ROUND(IFERROR(INDEX(Scoring_Rules!$C$43:$C$44,MATCH(Q321,Scoring_Rules!$B$43:$B$44,0)),0)*Scoring_Rules!$C$6+IFERROR(INDEX(Scoring_Rules!$C$34:$C$40,MATCH(K321,Scoring_Rules!$B$34:$B$40,0)),0)*Scoring_Rules!$C$7+IFERROR(INDEX(Scoring_Rules!$C$16:$C$19,MATCH(P321,Scoring_Rules!$B$16:$B$19,0)),0)*Scoring_Rules!$C$8+IFERROR(INDEX(Scoring_Rules!$C$22:$C$25,MATCH(O321,Scoring_Rules!$B$22:$B$25,0)),0)*Scoring_Rules!$C$9+IFERROR(INDEX(Scoring_Rules!$C$47:$C$50,MATCH(X321,Scoring_Rules!$B$47:$B$50,0)),0)*Scoring_Rules!$C$10+IFERROR(INDEX(Scoring_Rules!$C$28:$C$31,MATCH(R321,Scoring_Rules!$B$28:$B$31,0)),0)*Scoring_Rules!$C$11,1),"")</x:f>
        <x:v>42</x:v>
      </x:c>
      <x:c r="AF321" s="35">
        <x:v>5</x:v>
      </x:c>
      <x:c r="AG321" s="33" t="s">
        <x:v>1639</x:v>
      </x:c>
      <x:c r="AH321" s="36">
        <x:v>46400</x:v>
      </x:c>
      <x:c r="AI321" s="33" t="s">
        <x:v>127</x:v>
      </x:c>
      <x:c r="AJ321" s="34" t="s">
        <x:v>395</x:v>
      </x:c>
    </x:row>
    <x:row r="322" ht="23.25" customHeight="1">
      <x:c r="A322" s="31" t="s">
        <x:v>1640</x:v>
      </x:c>
      <x:c r="B322" s="31" t="s">
        <x:v>1641</x:v>
      </x:c>
      <x:c r="C322" s="31" t="s">
        <x:v>1623</x:v>
      </x:c>
      <x:c r="D322" s="32" t="s">
        <x:v>1642</x:v>
      </x:c>
      <x:c r="E322" s="32" t="str">
        <x:v>Functional Migration Only</x:v>
      </x:c>
      <x:c r="F322" s="33" t="s">
        <x:v>118</x:v>
      </x:c>
      <x:c r="G322" s="34" t="s">
        <x:v>1638</x:v>
      </x:c>
      <x:c r="H322" s="33" t="s">
        <x:v>87</x:v>
      </x:c>
      <x:c r="I322" s="33" t="s">
        <x:v>1626</x:v>
      </x:c>
      <x:c r="J322" s="33" t="s">
        <x:v>82</x:v>
      </x:c>
      <x:c r="K322" s="33" t="s">
        <x:v>60</x:v>
      </x:c>
      <x:c r="L322" s="33" t="s">
        <x:v>71</x:v>
      </x:c>
      <x:c r="M322" s="35">
        <x:v>42</x:v>
      </x:c>
      <x:c r="N322" s="35">
        <x:v>6218412</x:v>
      </x:c>
      <x:c r="O322" s="33" t="s">
        <x:v>101</x:v>
      </x:c>
      <x:c r="P322" s="33" t="s">
        <x:v>73</x:v>
      </x:c>
      <x:c r="Q322" s="33" t="s">
        <x:v>118</x:v>
      </x:c>
      <x:c r="R322" s="33" t="s">
        <x:v>101</x:v>
      </x:c>
      <x:c r="S322" s="31" t="s">
        <x:v>1643</x:v>
      </x:c>
      <x:c r="T322" s="31" t="s">
        <x:v>1644</x:v>
      </x:c>
      <x:c r="U322" s="31" t="s">
        <x:v>276</x:v>
      </x:c>
      <x:c r="V322" s="33" t="s">
        <x:v>289</x:v>
      </x:c>
      <x:c r="W322" s="33"/>
      <x:c r="X322" s="33" t="s">
        <x:v>238</x:v>
      </x:c>
      <x:c r="Y322" s="36"/>
      <x:c r="Z322" s="36">
        <x:v>46877</x:v>
      </x:c>
      <x:c r="AA322" s="33" t="s">
        <x:v>120</x:v>
      </x:c>
      <x:c r="AB322" s="37" t="n">
        <x:f>IFERROR(INDEX(Effort_Model!$J$6:$J$33,MATCH(K322&amp;"|"&amp;L322,Effort_Model!$B$6:$B$33,0)),"")</x:f>
        <x:v>18.4</x:v>
      </x:c>
      <x:c r="AC322" s="38">
        <x:v>304.3</x:v>
      </x:c>
      <x:c r="AD322" s="37" t="n">
        <x:f t="shared" ref="AD322:AD385" si="5">IFERROR(AB322+N(AC322),"")</x:f>
        <x:v>322.7</x:v>
      </x:c>
      <x:c r="AE322" s="37" t="n">
        <x:f>IFERROR(ROUND(IFERROR(INDEX(Scoring_Rules!$C$43:$C$44,MATCH(Q322,Scoring_Rules!$B$43:$B$44,0)),0)*Scoring_Rules!$C$6+IFERROR(INDEX(Scoring_Rules!$C$34:$C$40,MATCH(K322,Scoring_Rules!$B$34:$B$40,0)),0)*Scoring_Rules!$C$7+IFERROR(INDEX(Scoring_Rules!$C$16:$C$19,MATCH(P322,Scoring_Rules!$B$16:$B$19,0)),0)*Scoring_Rules!$C$8+IFERROR(INDEX(Scoring_Rules!$C$22:$C$25,MATCH(O322,Scoring_Rules!$B$22:$B$25,0)),0)*Scoring_Rules!$C$9+IFERROR(INDEX(Scoring_Rules!$C$47:$C$50,MATCH(X322,Scoring_Rules!$B$47:$B$50,0)),0)*Scoring_Rules!$C$10+IFERROR(INDEX(Scoring_Rules!$C$28:$C$31,MATCH(R322,Scoring_Rules!$B$28:$B$31,0)),0)*Scoring_Rules!$C$11,1),"")</x:f>
        <x:v>76</x:v>
      </x:c>
      <x:c r="AF322" s="35">
        <x:v>1</x:v>
      </x:c>
      <x:c r="AG322" s="33" t="s">
        <x:v>1645</x:v>
      </x:c>
      <x:c r="AH322" s="36">
        <x:v>46384</x:v>
      </x:c>
      <x:c r="AI322" s="33" t="s">
        <x:v>126</x:v>
      </x:c>
      <x:c r="AJ322" s="34" t="s">
        <x:v>354</x:v>
      </x:c>
    </x:row>
    <x:row r="323" ht="15" customHeight="1">
      <x:c r="A323" s="31" t="s">
        <x:v>1646</x:v>
      </x:c>
      <x:c r="B323" s="31" t="s">
        <x:v>1647</x:v>
      </x:c>
      <x:c r="C323" s="31" t="s">
        <x:v>1623</x:v>
      </x:c>
      <x:c r="D323" s="32" t="s">
        <x:v>1624</x:v>
      </x:c>
      <x:c r="E323" s="32" t="str">
        <x:v>Data Migration Only</x:v>
      </x:c>
      <x:c r="F323" s="33" t="s">
        <x:v>118</x:v>
      </x:c>
      <x:c r="G323" s="34" t="s">
        <x:v>1648</x:v>
      </x:c>
      <x:c r="H323" s="33" t="s">
        <x:v>87</x:v>
      </x:c>
      <x:c r="I323" s="33" t="s">
        <x:v>1626</x:v>
      </x:c>
      <x:c r="J323" s="33" t="s">
        <x:v>80</x:v>
      </x:c>
      <x:c r="K323" s="33" t="s">
        <x:v>62</x:v>
      </x:c>
      <x:c r="L323" s="33" t="s">
        <x:v>73</x:v>
      </x:c>
      <x:c r="M323" s="35">
        <x:v>66</x:v>
      </x:c>
      <x:c r="N323" s="35">
        <x:v>95322860</x:v>
      </x:c>
      <x:c r="O323" s="33" t="s">
        <x:v>101</x:v>
      </x:c>
      <x:c r="P323" s="33" t="s">
        <x:v>73</x:v>
      </x:c>
      <x:c r="Q323" s="33" t="s">
        <x:v>120</x:v>
      </x:c>
      <x:c r="R323" s="33" t="s">
        <x:v>98</x:v>
      </x:c>
      <x:c r="S323" s="31" t="s">
        <x:v>1649</x:v>
      </x:c>
      <x:c r="T323" s="31" t="s">
        <x:v>1650</x:v>
      </x:c>
      <x:c r="U323" s="31" t="s">
        <x:v>276</x:v>
      </x:c>
      <x:c r="V323" s="33" t="s">
        <x:v>289</x:v>
      </x:c>
      <x:c r="W323" s="33" t="s">
        <x:v>1651</x:v>
      </x:c>
      <x:c r="X323" s="33" t="s">
        <x:v>240</x:v>
      </x:c>
      <x:c r="Y323" s="36">
        <x:v>46398</x:v>
      </x:c>
      <x:c r="Z323" s="36"/>
      <x:c r="AA323" s="33" t="s">
        <x:v>120</x:v>
      </x:c>
      <x:c r="AB323" s="37" t="n">
        <x:f>IFERROR(INDEX(Effort_Model!$J$6:$J$33,MATCH(K323&amp;"|"&amp;L323,Effort_Model!$B$6:$B$33,0)),"")</x:f>
        <x:v>74.4</x:v>
      </x:c>
      <x:c r="AC323" s="38">
        <x:v>420.2</x:v>
      </x:c>
      <x:c r="AD323" s="37">
        <x:f t="shared" si="5"/>
        <x:v>561.20000000000005</x:v>
      </x:c>
      <x:c r="AE323" s="37" t="n">
        <x:f>IFERROR(ROUND(IFERROR(INDEX(Scoring_Rules!$C$43:$C$44,MATCH(Q323,Scoring_Rules!$B$43:$B$44,0)),0)*Scoring_Rules!$C$6+IFERROR(INDEX(Scoring_Rules!$C$34:$C$40,MATCH(K323,Scoring_Rules!$B$34:$B$40,0)),0)*Scoring_Rules!$C$7+IFERROR(INDEX(Scoring_Rules!$C$16:$C$19,MATCH(P323,Scoring_Rules!$B$16:$B$19,0)),0)*Scoring_Rules!$C$8+IFERROR(INDEX(Scoring_Rules!$C$22:$C$25,MATCH(O323,Scoring_Rules!$B$22:$B$25,0)),0)*Scoring_Rules!$C$9+IFERROR(INDEX(Scoring_Rules!$C$47:$C$50,MATCH(X323,Scoring_Rules!$B$47:$B$50,0)),0)*Scoring_Rules!$C$10+IFERROR(INDEX(Scoring_Rules!$C$28:$C$31,MATCH(R323,Scoring_Rules!$B$28:$B$31,0)),0)*Scoring_Rules!$C$11,1),"")</x:f>
        <x:v>39.8</x:v>
      </x:c>
      <x:c r="AF323" s="35">
        <x:v>6</x:v>
      </x:c>
      <x:c r="AG323" s="33" t="s">
        <x:v>1629</x:v>
      </x:c>
      <x:c r="AH323" s="36">
        <x:v>46387</x:v>
      </x:c>
      <x:c r="AI323" s="33" t="s">
        <x:v>125</x:v>
      </x:c>
      <x:c r="AJ323" s="34" t="s">
        <x:v>342</x:v>
      </x:c>
    </x:row>
    <x:row r="324" ht="15" customHeight="1">
      <x:c r="A324" s="31" t="s">
        <x:v>1652</x:v>
      </x:c>
      <x:c r="B324" s="31" t="s">
        <x:v>1653</x:v>
      </x:c>
      <x:c r="C324" s="31" t="s">
        <x:v>1623</x:v>
      </x:c>
      <x:c r="D324" s="32" t="s">
        <x:v>1654</x:v>
      </x:c>
      <x:c r="E324" s="32" t="str">
        <x:v>Data Migration Only</x:v>
      </x:c>
      <x:c r="F324" s="33" t="s">
        <x:v>118</x:v>
      </x:c>
      <x:c r="G324" s="34" t="s">
        <x:v>1655</x:v>
      </x:c>
      <x:c r="H324" s="33" t="s">
        <x:v>87</x:v>
      </x:c>
      <x:c r="I324" s="33" t="s">
        <x:v>1626</x:v>
      </x:c>
      <x:c r="J324" s="33" t="s">
        <x:v>80</x:v>
      </x:c>
      <x:c r="K324" s="33" t="s">
        <x:v>62</x:v>
      </x:c>
      <x:c r="L324" s="33" t="s">
        <x:v>77</x:v>
      </x:c>
      <x:c r="M324" s="35">
        <x:v>52</x:v>
      </x:c>
      <x:c r="N324" s="35">
        <x:v>113392748</x:v>
      </x:c>
      <x:c r="O324" s="33" t="s">
        <x:v>101</x:v>
      </x:c>
      <x:c r="P324" s="33" t="s">
        <x:v>73</x:v>
      </x:c>
      <x:c r="Q324" s="33" t="s">
        <x:v>120</x:v>
      </x:c>
      <x:c r="R324" s="33" t="s">
        <x:v>73</x:v>
      </x:c>
      <x:c r="S324" s="31" t="s">
        <x:v>1656</x:v>
      </x:c>
      <x:c r="T324" s="31" t="s">
        <x:v>1657</x:v>
      </x:c>
      <x:c r="U324" s="31" t="s">
        <x:v>1514</x:v>
      </x:c>
      <x:c r="V324" s="33" t="s">
        <x:v>303</x:v>
      </x:c>
      <x:c r="W324" s="33" t="s">
        <x:v>1621</x:v>
      </x:c>
      <x:c r="X324" s="33" t="s">
        <x:v>240</x:v>
      </x:c>
      <x:c r="Y324" s="36"/>
      <x:c r="Z324" s="36"/>
      <x:c r="AA324" s="33" t="s">
        <x:v>120</x:v>
      </x:c>
      <x:c r="AB324" s="37" t="n">
        <x:f>IFERROR(INDEX(Effort_Model!$J$6:$J$33,MATCH(K324&amp;"|"&amp;L324,Effort_Model!$B$6:$B$33,0)),"")</x:f>
        <x:v>74.4</x:v>
      </x:c>
      <x:c r="AC324" s="38">
        <x:v>770</x:v>
      </x:c>
      <x:c r="AD324" s="37">
        <x:f t="shared" si="5"/>
        <x:v>1043.3333</x:v>
      </x:c>
      <x:c r="AE324" s="37" t="n">
        <x:f>IFERROR(ROUND(IFERROR(INDEX(Scoring_Rules!$C$43:$C$44,MATCH(Q324,Scoring_Rules!$B$43:$B$44,0)),0)*Scoring_Rules!$C$6+IFERROR(INDEX(Scoring_Rules!$C$34:$C$40,MATCH(K324,Scoring_Rules!$B$34:$B$40,0)),0)*Scoring_Rules!$C$7+IFERROR(INDEX(Scoring_Rules!$C$16:$C$19,MATCH(P324,Scoring_Rules!$B$16:$B$19,0)),0)*Scoring_Rules!$C$8+IFERROR(INDEX(Scoring_Rules!$C$22:$C$25,MATCH(O324,Scoring_Rules!$B$22:$B$25,0)),0)*Scoring_Rules!$C$9+IFERROR(INDEX(Scoring_Rules!$C$47:$C$50,MATCH(X324,Scoring_Rules!$B$47:$B$50,0)),0)*Scoring_Rules!$C$10+IFERROR(INDEX(Scoring_Rules!$C$28:$C$31,MATCH(R324,Scoring_Rules!$B$28:$B$31,0)),0)*Scoring_Rules!$C$11,1),"")</x:f>
        <x:v>38.3</x:v>
      </x:c>
      <x:c r="AF324" s="35">
        <x:v>7</x:v>
      </x:c>
      <x:c r="AG324" s="33" t="s">
        <x:v>1634</x:v>
      </x:c>
      <x:c r="AH324" s="36">
        <x:v>46304</x:v>
      </x:c>
      <x:c r="AI324" s="33" t="s">
        <x:v>127</x:v>
      </x:c>
      <x:c r="AJ324" s="34" t="s">
        <x:v>395</x:v>
      </x:c>
    </x:row>
    <x:row r="325" ht="34.5" customHeight="1">
      <x:c r="A325" s="31" t="s">
        <x:v>1658</x:v>
      </x:c>
      <x:c r="B325" s="31" t="s">
        <x:v>1659</x:v>
      </x:c>
      <x:c r="C325" s="31" t="s">
        <x:v>1623</x:v>
      </x:c>
      <x:c r="D325" s="32" t="s">
        <x:v>1660</x:v>
      </x:c>
      <x:c r="E325" s="32" t="str">
        <x:v>Functional Migration Only</x:v>
      </x:c>
      <x:c r="F325" s="33" t="s">
        <x:v>118</x:v>
      </x:c>
      <x:c r="G325" s="34" t="s">
        <x:v>1638</x:v>
      </x:c>
      <x:c r="H325" s="33" t="s">
        <x:v>87</x:v>
      </x:c>
      <x:c r="I325" s="33" t="s">
        <x:v>1626</x:v>
      </x:c>
      <x:c r="J325" s="33" t="s">
        <x:v>82</x:v>
      </x:c>
      <x:c r="K325" s="33" t="s">
        <x:v>58</x:v>
      </x:c>
      <x:c r="L325" s="33" t="s">
        <x:v>73</x:v>
      </x:c>
      <x:c r="M325" s="35">
        <x:v>18</x:v>
      </x:c>
      <x:c r="N325" s="35">
        <x:v>1158670</x:v>
      </x:c>
      <x:c r="O325" s="33" t="s">
        <x:v>98</x:v>
      </x:c>
      <x:c r="P325" s="33" t="s">
        <x:v>73</x:v>
      </x:c>
      <x:c r="Q325" s="33" t="s">
        <x:v>120</x:v>
      </x:c>
      <x:c r="R325" s="33" t="s">
        <x:v>115</x:v>
      </x:c>
      <x:c r="S325" s="31" t="s">
        <x:v>1661</x:v>
      </x:c>
      <x:c r="T325" s="31" t="s">
        <x:v>1662</x:v>
      </x:c>
      <x:c r="U325" s="31" t="s">
        <x:v>522</x:v>
      </x:c>
      <x:c r="V325" s="33" t="s">
        <x:v>277</x:v>
      </x:c>
      <x:c r="W325" s="33"/>
      <x:c r="X325" s="33" t="s">
        <x:v>238</x:v>
      </x:c>
      <x:c r="Y325" s="36"/>
      <x:c r="Z325" s="36"/>
      <x:c r="AA325" s="33" t="s">
        <x:v>120</x:v>
      </x:c>
      <x:c r="AB325" s="37" t="n">
        <x:f>IFERROR(INDEX(Effort_Model!$J$6:$J$33,MATCH(K325&amp;"|"&amp;L325,Effort_Model!$B$6:$B$33,0)),"")</x:f>
        <x:v>26.4</x:v>
      </x:c>
      <x:c r="AC325" s="38">
        <x:v>229.8</x:v>
      </x:c>
      <x:c r="AD325" s="37">
        <x:f t="shared" si="5"/>
        <x:v>274.8</x:v>
      </x:c>
      <x:c r="AE325" s="37" t="n">
        <x:f>IFERROR(ROUND(IFERROR(INDEX(Scoring_Rules!$C$43:$C$44,MATCH(Q325,Scoring_Rules!$B$43:$B$44,0)),0)*Scoring_Rules!$C$6+IFERROR(INDEX(Scoring_Rules!$C$34:$C$40,MATCH(K325,Scoring_Rules!$B$34:$B$40,0)),0)*Scoring_Rules!$C$7+IFERROR(INDEX(Scoring_Rules!$C$16:$C$19,MATCH(P325,Scoring_Rules!$B$16:$B$19,0)),0)*Scoring_Rules!$C$8+IFERROR(INDEX(Scoring_Rules!$C$22:$C$25,MATCH(O325,Scoring_Rules!$B$22:$B$25,0)),0)*Scoring_Rules!$C$9+IFERROR(INDEX(Scoring_Rules!$C$47:$C$50,MATCH(X325,Scoring_Rules!$B$47:$B$50,0)),0)*Scoring_Rules!$C$10+IFERROR(INDEX(Scoring_Rules!$C$28:$C$31,MATCH(R325,Scoring_Rules!$B$28:$B$31,0)),0)*Scoring_Rules!$C$11,1),"")</x:f>
        <x:v>62</x:v>
      </x:c>
      <x:c r="AF325" s="35">
        <x:v>2</x:v>
      </x:c>
      <x:c r="AG325" s="33" t="s">
        <x:v>1639</x:v>
      </x:c>
      <x:c r="AH325" s="36">
        <x:v>46311</x:v>
      </x:c>
      <x:c r="AI325" s="33" t="s">
        <x:v>127</x:v>
      </x:c>
      <x:c r="AJ325" s="34"/>
    </x:row>
    <x:row r="326" ht="15" customHeight="1">
      <x:c r="A326" s="31" t="s">
        <x:v>1663</x:v>
      </x:c>
      <x:c r="B326" s="31" t="s">
        <x:v>1664</x:v>
      </x:c>
      <x:c r="C326" s="31" t="s">
        <x:v>1623</x:v>
      </x:c>
      <x:c r="D326" s="32" t="s">
        <x:v>1024</x:v>
      </x:c>
      <x:c r="E326" s="32" t="str">
        <x:v>Functional Migration Only</x:v>
      </x:c>
      <x:c r="F326" s="33" t="s">
        <x:v>120</x:v>
      </x:c>
      <x:c r="G326" s="34" t="s">
        <x:v>1638</x:v>
      </x:c>
      <x:c r="H326" s="33" t="s">
        <x:v>87</x:v>
      </x:c>
      <x:c r="I326" s="33" t="s">
        <x:v>1626</x:v>
      </x:c>
      <x:c r="J326" s="33" t="s">
        <x:v>82</x:v>
      </x:c>
      <x:c r="K326" s="33" t="s">
        <x:v>60</x:v>
      </x:c>
      <x:c r="L326" s="33" t="s">
        <x:v>75</x:v>
      </x:c>
      <x:c r="M326" s="35">
        <x:v>46</x:v>
      </x:c>
      <x:c r="N326" s="35">
        <x:v>6731741</x:v>
      </x:c>
      <x:c r="O326" s="33" t="s">
        <x:v>73</x:v>
      </x:c>
      <x:c r="P326" s="33" t="s">
        <x:v>109</x:v>
      </x:c>
      <x:c r="Q326" s="33" t="s">
        <x:v>120</x:v>
      </x:c>
      <x:c r="R326" s="33" t="s">
        <x:v>115</x:v>
      </x:c>
      <x:c r="S326" s="31" t="s">
        <x:v>1665</x:v>
      </x:c>
      <x:c r="T326" s="31" t="s">
        <x:v>1666</x:v>
      </x:c>
      <x:c r="U326" s="31" t="s">
        <x:v>522</x:v>
      </x:c>
      <x:c r="V326" s="33" t="s">
        <x:v>365</x:v>
      </x:c>
      <x:c r="W326" s="33" t="s">
        <x:v>1658</x:v>
      </x:c>
      <x:c r="X326" s="33" t="s">
        <x:v>239</x:v>
      </x:c>
      <x:c r="Y326" s="36"/>
      <x:c r="Z326" s="36"/>
      <x:c r="AA326" s="33" t="s">
        <x:v>120</x:v>
      </x:c>
      <x:c r="AB326" s="37" t="n">
        <x:f>IFERROR(INDEX(Effort_Model!$J$6:$J$33,MATCH(K326&amp;"|"&amp;L326,Effort_Model!$B$6:$B$33,0)),"")</x:f>
        <x:v>42.4</x:v>
      </x:c>
      <x:c r="AC326" s="38">
        <x:v>579.20000000000005</x:v>
      </x:c>
      <x:c r="AD326" s="37">
        <x:f t="shared" si="5"/>
        <x:v>692.53330000000005</x:v>
      </x:c>
      <x:c r="AE326" s="37" t="n">
        <x:f>IFERROR(ROUND(IFERROR(INDEX(Scoring_Rules!$C$43:$C$44,MATCH(Q326,Scoring_Rules!$B$43:$B$44,0)),0)*Scoring_Rules!$C$6+IFERROR(INDEX(Scoring_Rules!$C$34:$C$40,MATCH(K326,Scoring_Rules!$B$34:$B$40,0)),0)*Scoring_Rules!$C$7+IFERROR(INDEX(Scoring_Rules!$C$16:$C$19,MATCH(P326,Scoring_Rules!$B$16:$B$19,0)),0)*Scoring_Rules!$C$8+IFERROR(INDEX(Scoring_Rules!$C$22:$C$25,MATCH(O326,Scoring_Rules!$B$22:$B$25,0)),0)*Scoring_Rules!$C$9+IFERROR(INDEX(Scoring_Rules!$C$47:$C$50,MATCH(X326,Scoring_Rules!$B$47:$B$50,0)),0)*Scoring_Rules!$C$10+IFERROR(INDEX(Scoring_Rules!$C$28:$C$31,MATCH(R326,Scoring_Rules!$B$28:$B$31,0)),0)*Scoring_Rules!$C$11,1),"")</x:f>
        <x:v>36</x:v>
      </x:c>
      <x:c r="AF326" s="35">
        <x:v>7</x:v>
      </x:c>
      <x:c r="AG326" s="33" t="s">
        <x:v>1645</x:v>
      </x:c>
      <x:c r="AH326" s="36">
        <x:v>46327</x:v>
      </x:c>
      <x:c r="AI326" s="33" t="s">
        <x:v>127</x:v>
      </x:c>
      <x:c r="AJ326" s="34" t="s">
        <x:v>383</x:v>
      </x:c>
    </x:row>
    <x:row r="327" ht="23.25" customHeight="1">
      <x:c r="A327" s="31" t="s">
        <x:v>1667</x:v>
      </x:c>
      <x:c r="B327" s="31" t="s">
        <x:v>1668</x:v>
      </x:c>
      <x:c r="C327" s="31" t="s">
        <x:v>1623</x:v>
      </x:c>
      <x:c r="D327" s="32" t="s">
        <x:v>1669</x:v>
      </x:c>
      <x:c r="E327" s="32" t="str">
        <x:v>Data Migration Only</x:v>
      </x:c>
      <x:c r="F327" s="33" t="s">
        <x:v>118</x:v>
      </x:c>
      <x:c r="G327" s="34" t="s">
        <x:v>1625</x:v>
      </x:c>
      <x:c r="H327" s="33" t="s">
        <x:v>87</x:v>
      </x:c>
      <x:c r="I327" s="33" t="s">
        <x:v>1626</x:v>
      </x:c>
      <x:c r="J327" s="33" t="s">
        <x:v>80</x:v>
      </x:c>
      <x:c r="K327" s="33" t="s">
        <x:v>60</x:v>
      </x:c>
      <x:c r="L327" s="33" t="s">
        <x:v>73</x:v>
      </x:c>
      <x:c r="M327" s="35">
        <x:v>43</x:v>
      </x:c>
      <x:c r="N327" s="35">
        <x:v>4017223</x:v>
      </x:c>
      <x:c r="O327" s="33" t="s">
        <x:v>73</x:v>
      </x:c>
      <x:c r="P327" s="33" t="s">
        <x:v>101</x:v>
      </x:c>
      <x:c r="Q327" s="33" t="s">
        <x:v>120</x:v>
      </x:c>
      <x:c r="R327" s="33" t="s">
        <x:v>101</x:v>
      </x:c>
      <x:c r="S327" s="31" t="s">
        <x:v>351</x:v>
      </x:c>
      <x:c r="T327" s="31" t="s">
        <x:v>1670</x:v>
      </x:c>
      <x:c r="U327" s="31" t="s">
        <x:v>276</x:v>
      </x:c>
      <x:c r="V327" s="33" t="s">
        <x:v>444</x:v>
      </x:c>
      <x:c r="W327" s="33"/>
      <x:c r="X327" s="33" t="s">
        <x:v>238</x:v>
      </x:c>
      <x:c r="Y327" s="36"/>
      <x:c r="Z327" s="36"/>
      <x:c r="AA327" s="33" t="s">
        <x:v>120</x:v>
      </x:c>
      <x:c r="AB327" s="37" t="n">
        <x:f>IFERROR(INDEX(Effort_Model!$J$6:$J$33,MATCH(K327&amp;"|"&amp;L327,Effort_Model!$B$6:$B$33,0)),"")</x:f>
        <x:v>42.4</x:v>
      </x:c>
      <x:c r="AC327" s="38">
        <x:v>248.1</x:v>
      </x:c>
      <x:c r="AD327" s="37">
        <x:f t="shared" si="5"/>
        <x:v>325.10000000000002</x:v>
      </x:c>
      <x:c r="AE327" s="37" t="n">
        <x:f>IFERROR(ROUND(IFERROR(INDEX(Scoring_Rules!$C$43:$C$44,MATCH(Q327,Scoring_Rules!$B$43:$B$44,0)),0)*Scoring_Rules!$C$6+IFERROR(INDEX(Scoring_Rules!$C$34:$C$40,MATCH(K327,Scoring_Rules!$B$34:$B$40,0)),0)*Scoring_Rules!$C$7+IFERROR(INDEX(Scoring_Rules!$C$16:$C$19,MATCH(P327,Scoring_Rules!$B$16:$B$19,0)),0)*Scoring_Rules!$C$8+IFERROR(INDEX(Scoring_Rules!$C$22:$C$25,MATCH(O327,Scoring_Rules!$B$22:$B$25,0)),0)*Scoring_Rules!$C$9+IFERROR(INDEX(Scoring_Rules!$C$47:$C$50,MATCH(X327,Scoring_Rules!$B$47:$B$50,0)),0)*Scoring_Rules!$C$10+IFERROR(INDEX(Scoring_Rules!$C$28:$C$31,MATCH(R327,Scoring_Rules!$B$28:$B$31,0)),0)*Scoring_Rules!$C$11,1),"")</x:f>
        <x:v>49.3</x:v>
      </x:c>
      <x:c r="AF327" s="35">
        <x:v>4</x:v>
      </x:c>
      <x:c r="AG327" s="33" t="s">
        <x:v>1629</x:v>
      </x:c>
      <x:c r="AH327" s="36">
        <x:v>46405</x:v>
      </x:c>
      <x:c r="AI327" s="33" t="s">
        <x:v>127</x:v>
      </x:c>
      <x:c r="AJ327" s="34" t="s">
        <x:v>445</x:v>
      </x:c>
    </x:row>
    <x:row r="328" ht="15" customHeight="1">
      <x:c r="A328" s="31" t="s">
        <x:v>1671</x:v>
      </x:c>
      <x:c r="B328" s="31" t="s">
        <x:v>1672</x:v>
      </x:c>
      <x:c r="C328" s="31" t="s">
        <x:v>1623</x:v>
      </x:c>
      <x:c r="D328" s="32" t="s">
        <x:v>1637</x:v>
      </x:c>
      <x:c r="E328" s="32" t="str">
        <x:v>Data Migration Only</x:v>
      </x:c>
      <x:c r="F328" s="33" t="s">
        <x:v>120</x:v>
      </x:c>
      <x:c r="G328" s="34" t="s">
        <x:v>1655</x:v>
      </x:c>
      <x:c r="H328" s="33" t="s">
        <x:v>87</x:v>
      </x:c>
      <x:c r="I328" s="33" t="s">
        <x:v>1626</x:v>
      </x:c>
      <x:c r="J328" s="33" t="s">
        <x:v>80</x:v>
      </x:c>
      <x:c r="K328" s="33" t="s">
        <x:v>64</x:v>
      </x:c>
      <x:c r="L328" s="33" t="s">
        <x:v>75</x:v>
      </x:c>
      <x:c r="M328" s="35">
        <x:v>81</x:v>
      </x:c>
      <x:c r="N328" s="35">
        <x:v>1190682455</x:v>
      </x:c>
      <x:c r="O328" s="33" t="s">
        <x:v>103</x:v>
      </x:c>
      <x:c r="P328" s="33" t="s">
        <x:v>73</x:v>
      </x:c>
      <x:c r="Q328" s="33" t="s">
        <x:v>120</x:v>
      </x:c>
      <x:c r="R328" s="33" t="s">
        <x:v>101</x:v>
      </x:c>
      <x:c r="S328" s="31" t="s">
        <x:v>1673</x:v>
      </x:c>
      <x:c r="T328" s="31" t="s">
        <x:v>1674</x:v>
      </x:c>
      <x:c r="U328" s="31" t="s">
        <x:v>1514</x:v>
      </x:c>
      <x:c r="V328" s="33" t="s">
        <x:v>444</x:v>
      </x:c>
      <x:c r="W328" s="33"/>
      <x:c r="X328" s="33" t="s">
        <x:v>238</x:v>
      </x:c>
      <x:c r="Y328" s="36"/>
      <x:c r="Z328" s="36"/>
      <x:c r="AA328" s="33" t="s">
        <x:v>120</x:v>
      </x:c>
      <x:c r="AB328" s="37" t="n">
        <x:f>IFERROR(INDEX(Effort_Model!$J$6:$J$33,MATCH(K328&amp;"|"&amp;L328,Effort_Model!$B$6:$B$33,0)),"")</x:f>
        <x:v>106.4</x:v>
      </x:c>
      <x:c r="AC328" s="38">
        <x:v>981</x:v>
      </x:c>
      <x:c r="AD328" s="37">
        <x:f t="shared" si="5"/>
        <x:v>1286.3333</x:v>
      </x:c>
      <x:c r="AE328" s="37" t="n">
        <x:f>IFERROR(ROUND(IFERROR(INDEX(Scoring_Rules!$C$43:$C$44,MATCH(Q328,Scoring_Rules!$B$43:$B$44,0)),0)*Scoring_Rules!$C$6+IFERROR(INDEX(Scoring_Rules!$C$34:$C$40,MATCH(K328,Scoring_Rules!$B$34:$B$40,0)),0)*Scoring_Rules!$C$7+IFERROR(INDEX(Scoring_Rules!$C$16:$C$19,MATCH(P328,Scoring_Rules!$B$16:$B$19,0)),0)*Scoring_Rules!$C$8+IFERROR(INDEX(Scoring_Rules!$C$22:$C$25,MATCH(O328,Scoring_Rules!$B$22:$B$25,0)),0)*Scoring_Rules!$C$9+IFERROR(INDEX(Scoring_Rules!$C$47:$C$50,MATCH(X328,Scoring_Rules!$B$47:$B$50,0)),0)*Scoring_Rules!$C$10+IFERROR(INDEX(Scoring_Rules!$C$28:$C$31,MATCH(R328,Scoring_Rules!$B$28:$B$31,0)),0)*Scoring_Rules!$C$11,1),"")</x:f>
        <x:v>37.8</x:v>
      </x:c>
      <x:c r="AF328" s="35">
        <x:v>7</x:v>
      </x:c>
      <x:c r="AG328" s="33" t="s">
        <x:v>1634</x:v>
      </x:c>
      <x:c r="AH328" s="36">
        <x:v>46350</x:v>
      </x:c>
      <x:c r="AI328" s="33" t="s">
        <x:v>124</x:v>
      </x:c>
      <x:c r="AJ328" s="34" t="s">
        <x:v>354</x:v>
      </x:c>
    </x:row>
    <x:row r="329" ht="23.25" customHeight="1">
      <x:c r="A329" s="31" t="s">
        <x:v>1675</x:v>
      </x:c>
      <x:c r="B329" s="31" t="s">
        <x:v>1676</x:v>
      </x:c>
      <x:c r="C329" s="31" t="s">
        <x:v>1623</x:v>
      </x:c>
      <x:c r="D329" s="32" t="s">
        <x:v>1669</x:v>
      </x:c>
      <x:c r="E329" s="32" t="str">
        <x:v>Functional Migration Only</x:v>
      </x:c>
      <x:c r="F329" s="33" t="s">
        <x:v>118</x:v>
      </x:c>
      <x:c r="G329" s="34" t="s">
        <x:v>1625</x:v>
      </x:c>
      <x:c r="H329" s="33" t="s">
        <x:v>87</x:v>
      </x:c>
      <x:c r="I329" s="33" t="s">
        <x:v>1626</x:v>
      </x:c>
      <x:c r="J329" s="33" t="s">
        <x:v>82</x:v>
      </x:c>
      <x:c r="K329" s="33" t="s">
        <x:v>60</x:v>
      </x:c>
      <x:c r="L329" s="33" t="s">
        <x:v>77</x:v>
      </x:c>
      <x:c r="M329" s="35">
        <x:v>39</x:v>
      </x:c>
      <x:c r="N329" s="35">
        <x:v>3841545</x:v>
      </x:c>
      <x:c r="O329" s="33" t="s">
        <x:v>101</x:v>
      </x:c>
      <x:c r="P329" s="33" t="s">
        <x:v>109</x:v>
      </x:c>
      <x:c r="Q329" s="33" t="s">
        <x:v>120</x:v>
      </x:c>
      <x:c r="R329" s="33" t="s">
        <x:v>101</x:v>
      </x:c>
      <x:c r="S329" s="31" t="s">
        <x:v>1677</x:v>
      </x:c>
      <x:c r="T329" s="31" t="s">
        <x:v>1678</x:v>
      </x:c>
      <x:c r="U329" s="31" t="s">
        <x:v>522</x:v>
      </x:c>
      <x:c r="V329" s="33" t="s">
        <x:v>444</x:v>
      </x:c>
      <x:c r="W329" s="33" t="s">
        <x:v>1679</x:v>
      </x:c>
      <x:c r="X329" s="33" t="s">
        <x:v>239</x:v>
      </x:c>
      <x:c r="Y329" s="36"/>
      <x:c r="Z329" s="36"/>
      <x:c r="AA329" s="33" t="s">
        <x:v>120</x:v>
      </x:c>
      <x:c r="AB329" s="37" t="n">
        <x:f>IFERROR(INDEX(Effort_Model!$J$6:$J$33,MATCH(K329&amp;"|"&amp;L329,Effort_Model!$B$6:$B$33,0)),"")</x:f>
        <x:v>42.4</x:v>
      </x:c>
      <x:c r="AC329" s="38">
        <x:v>769.4</x:v>
      </x:c>
      <x:c r="AD329" s="37">
        <x:f t="shared" si="5"/>
        <x:v>914.73329999999999</x:v>
      </x:c>
      <x:c r="AE329" s="37" t="n">
        <x:f>IFERROR(ROUND(IFERROR(INDEX(Scoring_Rules!$C$43:$C$44,MATCH(Q329,Scoring_Rules!$B$43:$B$44,0)),0)*Scoring_Rules!$C$6+IFERROR(INDEX(Scoring_Rules!$C$34:$C$40,MATCH(K329,Scoring_Rules!$B$34:$B$40,0)),0)*Scoring_Rules!$C$7+IFERROR(INDEX(Scoring_Rules!$C$16:$C$19,MATCH(P329,Scoring_Rules!$B$16:$B$19,0)),0)*Scoring_Rules!$C$8+IFERROR(INDEX(Scoring_Rules!$C$22:$C$25,MATCH(O329,Scoring_Rules!$B$22:$B$25,0)),0)*Scoring_Rules!$C$9+IFERROR(INDEX(Scoring_Rules!$C$47:$C$50,MATCH(X329,Scoring_Rules!$B$47:$B$50,0)),0)*Scoring_Rules!$C$10+IFERROR(INDEX(Scoring_Rules!$C$28:$C$31,MATCH(R329,Scoring_Rules!$B$28:$B$31,0)),0)*Scoring_Rules!$C$11,1),"")</x:f>
        <x:v>32.5</x:v>
      </x:c>
      <x:c r="AF329" s="35">
        <x:v>8</x:v>
      </x:c>
      <x:c r="AG329" s="33" t="s">
        <x:v>1639</x:v>
      </x:c>
      <x:c r="AH329" s="36">
        <x:v>46320</x:v>
      </x:c>
      <x:c r="AI329" s="33" t="s">
        <x:v>126</x:v>
      </x:c>
      <x:c r="AJ329" s="34" t="s">
        <x:v>354</x:v>
      </x:c>
    </x:row>
    <x:row r="330" ht="23.25" customHeight="1">
      <x:c r="A330" s="31" t="s">
        <x:v>1680</x:v>
      </x:c>
      <x:c r="B330" s="31" t="s">
        <x:v>1681</x:v>
      </x:c>
      <x:c r="C330" s="31" t="s">
        <x:v>1623</x:v>
      </x:c>
      <x:c r="D330" s="32" t="s">
        <x:v>1669</x:v>
      </x:c>
      <x:c r="E330" s="32" t="str">
        <x:v>Data Migration Only</x:v>
      </x:c>
      <x:c r="F330" s="33" t="s">
        <x:v>118</x:v>
      </x:c>
      <x:c r="G330" s="34" t="s">
        <x:v>1648</x:v>
      </x:c>
      <x:c r="H330" s="33" t="s">
        <x:v>87</x:v>
      </x:c>
      <x:c r="I330" s="33" t="s">
        <x:v>1626</x:v>
      </x:c>
      <x:c r="J330" s="33" t="s">
        <x:v>80</x:v>
      </x:c>
      <x:c r="K330" s="33" t="s">
        <x:v>60</x:v>
      </x:c>
      <x:c r="L330" s="33" t="s">
        <x:v>75</x:v>
      </x:c>
      <x:c r="M330" s="35">
        <x:v>47</x:v>
      </x:c>
      <x:c r="N330" s="35">
        <x:v>5951142</x:v>
      </x:c>
      <x:c r="O330" s="33" t="s">
        <x:v>73</x:v>
      </x:c>
      <x:c r="P330" s="33" t="s">
        <x:v>101</x:v>
      </x:c>
      <x:c r="Q330" s="33" t="s">
        <x:v>120</x:v>
      </x:c>
      <x:c r="R330" s="33" t="s">
        <x:v>98</x:v>
      </x:c>
      <x:c r="S330" s="31" t="s">
        <x:v>1682</x:v>
      </x:c>
      <x:c r="T330" s="31" t="s">
        <x:v>1683</x:v>
      </x:c>
      <x:c r="U330" s="31" t="s">
        <x:v>522</x:v>
      </x:c>
      <x:c r="V330" s="33" t="s">
        <x:v>451</x:v>
      </x:c>
      <x:c r="W330" s="33" t="s">
        <x:v>1675</x:v>
      </x:c>
      <x:c r="X330" s="33" t="s">
        <x:v>240</x:v>
      </x:c>
      <x:c r="Y330" s="36">
        <x:v>46423</x:v>
      </x:c>
      <x:c r="Z330" s="36"/>
      <x:c r="AA330" s="33" t="s">
        <x:v>120</x:v>
      </x:c>
      <x:c r="AB330" s="37" t="n">
        <x:f>IFERROR(INDEX(Effort_Model!$J$6:$J$33,MATCH(K330&amp;"|"&amp;L330,Effort_Model!$B$6:$B$33,0)),"")</x:f>
        <x:v>42.4</x:v>
      </x:c>
      <x:c r="AC330" s="38">
        <x:v>380.6</x:v>
      </x:c>
      <x:c r="AD330" s="37">
        <x:f t="shared" si="5"/>
        <x:v>493.93330000000003</x:v>
      </x:c>
      <x:c r="AE330" s="37" t="n">
        <x:f>IFERROR(ROUND(IFERROR(INDEX(Scoring_Rules!$C$43:$C$44,MATCH(Q330,Scoring_Rules!$B$43:$B$44,0)),0)*Scoring_Rules!$C$6+IFERROR(INDEX(Scoring_Rules!$C$34:$C$40,MATCH(K330,Scoring_Rules!$B$34:$B$40,0)),0)*Scoring_Rules!$C$7+IFERROR(INDEX(Scoring_Rules!$C$16:$C$19,MATCH(P330,Scoring_Rules!$B$16:$B$19,0)),0)*Scoring_Rules!$C$8+IFERROR(INDEX(Scoring_Rules!$C$22:$C$25,MATCH(O330,Scoring_Rules!$B$22:$B$25,0)),0)*Scoring_Rules!$C$9+IFERROR(INDEX(Scoring_Rules!$C$47:$C$50,MATCH(X330,Scoring_Rules!$B$47:$B$50,0)),0)*Scoring_Rules!$C$10+IFERROR(INDEX(Scoring_Rules!$C$28:$C$31,MATCH(R330,Scoring_Rules!$B$28:$B$31,0)),0)*Scoring_Rules!$C$11,1),"")</x:f>
        <x:v>42</x:v>
      </x:c>
      <x:c r="AF330" s="35">
        <x:v>6</x:v>
      </x:c>
      <x:c r="AG330" s="33" t="s">
        <x:v>1645</x:v>
      </x:c>
      <x:c r="AH330" s="36">
        <x:v>46397</x:v>
      </x:c>
      <x:c r="AI330" s="33" t="s">
        <x:v>127</x:v>
      </x:c>
      <x:c r="AJ330" s="34" t="s">
        <x:v>395</x:v>
      </x:c>
    </x:row>
    <x:row r="331" ht="15" customHeight="1">
      <x:c r="A331" s="31" t="s">
        <x:v>1684</x:v>
      </x:c>
      <x:c r="B331" s="31" t="s">
        <x:v>1685</x:v>
      </x:c>
      <x:c r="C331" s="31" t="s">
        <x:v>1623</x:v>
      </x:c>
      <x:c r="D331" s="32" t="s">
        <x:v>1686</x:v>
      </x:c>
      <x:c r="E331" s="32" t="str">
        <x:v>Data Migration Only</x:v>
      </x:c>
      <x:c r="F331" s="33" t="s">
        <x:v>118</x:v>
      </x:c>
      <x:c r="G331" s="34" t="s">
        <x:v>1638</x:v>
      </x:c>
      <x:c r="H331" s="33" t="s">
        <x:v>87</x:v>
      </x:c>
      <x:c r="I331" s="33" t="s">
        <x:v>1626</x:v>
      </x:c>
      <x:c r="J331" s="33" t="s">
        <x:v>80</x:v>
      </x:c>
      <x:c r="K331" s="33" t="s">
        <x:v>64</x:v>
      </x:c>
      <x:c r="L331" s="33" t="s">
        <x:v>73</x:v>
      </x:c>
      <x:c r="M331" s="35">
        <x:v>136</x:v>
      </x:c>
      <x:c r="N331" s="35">
        <x:v>1373505843</x:v>
      </x:c>
      <x:c r="O331" s="33" t="s">
        <x:v>73</x:v>
      </x:c>
      <x:c r="P331" s="33" t="s">
        <x:v>73</x:v>
      </x:c>
      <x:c r="Q331" s="33" t="s">
        <x:v>120</x:v>
      </x:c>
      <x:c r="R331" s="33" t="s">
        <x:v>101</x:v>
      </x:c>
      <x:c r="S331" s="31" t="s">
        <x:v>1687</x:v>
      </x:c>
      <x:c r="T331" s="31" t="s">
        <x:v>1688</x:v>
      </x:c>
      <x:c r="U331" s="31" t="s">
        <x:v>276</x:v>
      </x:c>
      <x:c r="V331" s="33" t="s">
        <x:v>277</x:v>
      </x:c>
      <x:c r="W331" s="33"/>
      <x:c r="X331" s="33" t="s">
        <x:v>238</x:v>
      </x:c>
      <x:c r="Y331" s="36"/>
      <x:c r="Z331" s="36"/>
      <x:c r="AA331" s="33" t="s">
        <x:v>120</x:v>
      </x:c>
      <x:c r="AB331" s="37" t="n">
        <x:f>IFERROR(INDEX(Effort_Model!$J$6:$J$33,MATCH(K331&amp;"|"&amp;L331,Effort_Model!$B$6:$B$33,0)),"")</x:f>
        <x:v>106.4</x:v>
      </x:c>
      <x:c r="AC331" s="38">
        <x:v>768.8</x:v>
      </x:c>
      <x:c r="AD331" s="37">
        <x:f t="shared" si="5"/>
        <x:v>973.8</x:v>
      </x:c>
      <x:c r="AE331" s="37" t="n">
        <x:f>IFERROR(ROUND(IFERROR(INDEX(Scoring_Rules!$C$43:$C$44,MATCH(Q331,Scoring_Rules!$B$43:$B$44,0)),0)*Scoring_Rules!$C$6+IFERROR(INDEX(Scoring_Rules!$C$34:$C$40,MATCH(K331,Scoring_Rules!$B$34:$B$40,0)),0)*Scoring_Rules!$C$7+IFERROR(INDEX(Scoring_Rules!$C$16:$C$19,MATCH(P331,Scoring_Rules!$B$16:$B$19,0)),0)*Scoring_Rules!$C$8+IFERROR(INDEX(Scoring_Rules!$C$22:$C$25,MATCH(O331,Scoring_Rules!$B$22:$B$25,0)),0)*Scoring_Rules!$C$9+IFERROR(INDEX(Scoring_Rules!$C$47:$C$50,MATCH(X331,Scoring_Rules!$B$47:$B$50,0)),0)*Scoring_Rules!$C$10+IFERROR(INDEX(Scoring_Rules!$C$28:$C$31,MATCH(R331,Scoring_Rules!$B$28:$B$31,0)),0)*Scoring_Rules!$C$11,1),"")</x:f>
        <x:v>48.3</x:v>
      </x:c>
      <x:c r="AF331" s="35">
        <x:v>4</x:v>
      </x:c>
      <x:c r="AG331" s="33" t="s">
        <x:v>1629</x:v>
      </x:c>
      <x:c r="AH331" s="36">
        <x:v>46302</x:v>
      </x:c>
      <x:c r="AI331" s="33" t="s">
        <x:v>124</x:v>
      </x:c>
      <x:c r="AJ331" s="34"/>
    </x:row>
    <x:row r="332" ht="23.25" customHeight="1">
      <x:c r="A332" s="31" t="s">
        <x:v>1689</x:v>
      </x:c>
      <x:c r="B332" s="31" t="s">
        <x:v>1690</x:v>
      </x:c>
      <x:c r="C332" s="31" t="s">
        <x:v>1623</x:v>
      </x:c>
      <x:c r="D332" s="32" t="s">
        <x:v>1669</x:v>
      </x:c>
      <x:c r="E332" s="32" t="str">
        <x:v>Data Migration Only</x:v>
      </x:c>
      <x:c r="F332" s="33" t="s">
        <x:v>118</x:v>
      </x:c>
      <x:c r="G332" s="34" t="s">
        <x:v>1655</x:v>
      </x:c>
      <x:c r="H332" s="33" t="s">
        <x:v>87</x:v>
      </x:c>
      <x:c r="I332" s="33" t="s">
        <x:v>1626</x:v>
      </x:c>
      <x:c r="J332" s="33" t="s">
        <x:v>80</x:v>
      </x:c>
      <x:c r="K332" s="33" t="s">
        <x:v>66</x:v>
      </x:c>
      <x:c r="L332" s="33" t="s">
        <x:v>77</x:v>
      </x:c>
      <x:c r="M332" s="35">
        <x:v>162</x:v>
      </x:c>
      <x:c r="N332" s="35">
        <x:v>7617831654</x:v>
      </x:c>
      <x:c r="O332" s="33" t="s">
        <x:v>73</x:v>
      </x:c>
      <x:c r="P332" s="33" t="s">
        <x:v>101</x:v>
      </x:c>
      <x:c r="Q332" s="33" t="s">
        <x:v>120</x:v>
      </x:c>
      <x:c r="R332" s="33" t="s">
        <x:v>101</x:v>
      </x:c>
      <x:c r="S332" s="31" t="s">
        <x:v>1691</x:v>
      </x:c>
      <x:c r="T332" s="31" t="s">
        <x:v>1692</x:v>
      </x:c>
      <x:c r="U332" s="31" t="s">
        <x:v>276</x:v>
      </x:c>
      <x:c r="V332" s="33" t="s">
        <x:v>365</x:v>
      </x:c>
      <x:c r="W332" s="33" t="s">
        <x:v>1621</x:v>
      </x:c>
      <x:c r="X332" s="33" t="s">
        <x:v>239</x:v>
      </x:c>
      <x:c r="Y332" s="36"/>
      <x:c r="Z332" s="36"/>
      <x:c r="AA332" s="33" t="s">
        <x:v>120</x:v>
      </x:c>
      <x:c r="AB332" s="37" t="n">
        <x:f>IFERROR(INDEX(Effort_Model!$J$6:$J$33,MATCH(K332&amp;"|"&amp;L332,Effort_Model!$B$6:$B$33,0)),"")</x:f>
        <x:v>138.4</x:v>
      </x:c>
      <x:c r="AC332" s="38">
        <x:v>1964.6</x:v>
      </x:c>
      <x:c r="AD332" s="37">
        <x:f t="shared" si="5"/>
        <x:v>2493.9332999999997</x:v>
      </x:c>
      <x:c r="AE332" s="37" t="n">
        <x:f>IFERROR(ROUND(IFERROR(INDEX(Scoring_Rules!$C$43:$C$44,MATCH(Q332,Scoring_Rules!$B$43:$B$44,0)),0)*Scoring_Rules!$C$6+IFERROR(INDEX(Scoring_Rules!$C$34:$C$40,MATCH(K332,Scoring_Rules!$B$34:$B$40,0)),0)*Scoring_Rules!$C$7+IFERROR(INDEX(Scoring_Rules!$C$16:$C$19,MATCH(P332,Scoring_Rules!$B$16:$B$19,0)),0)*Scoring_Rules!$C$8+IFERROR(INDEX(Scoring_Rules!$C$22:$C$25,MATCH(O332,Scoring_Rules!$B$22:$B$25,0)),0)*Scoring_Rules!$C$9+IFERROR(INDEX(Scoring_Rules!$C$47:$C$50,MATCH(X332,Scoring_Rules!$B$47:$B$50,0)),0)*Scoring_Rules!$C$10+IFERROR(INDEX(Scoring_Rules!$C$28:$C$31,MATCH(R332,Scoring_Rules!$B$28:$B$31,0)),0)*Scoring_Rules!$C$11,1),"")</x:f>
        <x:v>33.8</x:v>
      </x:c>
      <x:c r="AF332" s="35">
        <x:v>9</x:v>
      </x:c>
      <x:c r="AG332" s="33" t="s">
        <x:v>1634</x:v>
      </x:c>
      <x:c r="AH332" s="36">
        <x:v>46391</x:v>
      </x:c>
      <x:c r="AI332" s="33" t="s">
        <x:v>127</x:v>
      </x:c>
      <x:c r="AJ332" s="34"/>
    </x:row>
    <x:row r="333" ht="23.25" customHeight="1">
      <x:c r="A333" s="31" t="s">
        <x:v>1693</x:v>
      </x:c>
      <x:c r="B333" s="31" t="s">
        <x:v>1694</x:v>
      </x:c>
      <x:c r="C333" s="31" t="s">
        <x:v>1623</x:v>
      </x:c>
      <x:c r="D333" s="32" t="s">
        <x:v>1669</x:v>
      </x:c>
      <x:c r="E333" s="32" t="str">
        <x:v>Data Migration Only</x:v>
      </x:c>
      <x:c r="F333" s="33" t="s">
        <x:v>118</x:v>
      </x:c>
      <x:c r="G333" s="34" t="s">
        <x:v>1648</x:v>
      </x:c>
      <x:c r="H333" s="33" t="s">
        <x:v>87</x:v>
      </x:c>
      <x:c r="I333" s="33" t="s">
        <x:v>1626</x:v>
      </x:c>
      <x:c r="J333" s="33" t="s">
        <x:v>80</x:v>
      </x:c>
      <x:c r="K333" s="33" t="s">
        <x:v>60</x:v>
      </x:c>
      <x:c r="L333" s="33" t="s">
        <x:v>75</x:v>
      </x:c>
      <x:c r="M333" s="35">
        <x:v>34</x:v>
      </x:c>
      <x:c r="N333" s="35">
        <x:v>4725234</x:v>
      </x:c>
      <x:c r="O333" s="33" t="s">
        <x:v>73</x:v>
      </x:c>
      <x:c r="P333" s="33" t="s">
        <x:v>101</x:v>
      </x:c>
      <x:c r="Q333" s="33" t="s">
        <x:v>120</x:v>
      </x:c>
      <x:c r="R333" s="33" t="s">
        <x:v>115</x:v>
      </x:c>
      <x:c r="S333" s="31" t="s">
        <x:v>1695</x:v>
      </x:c>
      <x:c r="T333" s="31" t="s">
        <x:v>1696</x:v>
      </x:c>
      <x:c r="U333" s="31" t="s">
        <x:v>276</x:v>
      </x:c>
      <x:c r="V333" s="33" t="s">
        <x:v>277</x:v>
      </x:c>
      <x:c r="W333" s="33"/>
      <x:c r="X333" s="33" t="s">
        <x:v>238</x:v>
      </x:c>
      <x:c r="Y333" s="36"/>
      <x:c r="Z333" s="36"/>
      <x:c r="AA333" s="33" t="s">
        <x:v>118</x:v>
      </x:c>
      <x:c r="AB333" s="37" t="n">
        <x:f>IFERROR(INDEX(Effort_Model!$J$6:$J$33,MATCH(K333&amp;"|"&amp;L333,Effort_Model!$B$6:$B$33,0)),"")</x:f>
        <x:v>42.4</x:v>
      </x:c>
      <x:c r="AC333" s="38">
        <x:v>338</x:v>
      </x:c>
      <x:c r="AD333" s="37">
        <x:f t="shared" si="5"/>
        <x:v>451.33330000000001</x:v>
      </x:c>
      <x:c r="AE333" s="37" t="n">
        <x:f>IFERROR(ROUND(IFERROR(INDEX(Scoring_Rules!$C$43:$C$44,MATCH(Q333,Scoring_Rules!$B$43:$B$44,0)),0)*Scoring_Rules!$C$6+IFERROR(INDEX(Scoring_Rules!$C$34:$C$40,MATCH(K333,Scoring_Rules!$B$34:$B$40,0)),0)*Scoring_Rules!$C$7+IFERROR(INDEX(Scoring_Rules!$C$16:$C$19,MATCH(P333,Scoring_Rules!$B$16:$B$19,0)),0)*Scoring_Rules!$C$8+IFERROR(INDEX(Scoring_Rules!$C$22:$C$25,MATCH(O333,Scoring_Rules!$B$22:$B$25,0)),0)*Scoring_Rules!$C$9+IFERROR(INDEX(Scoring_Rules!$C$47:$C$50,MATCH(X333,Scoring_Rules!$B$47:$B$50,0)),0)*Scoring_Rules!$C$10+IFERROR(INDEX(Scoring_Rules!$C$28:$C$31,MATCH(R333,Scoring_Rules!$B$28:$B$31,0)),0)*Scoring_Rules!$C$11,1),"")</x:f>
        <x:v>47.5</x:v>
      </x:c>
      <x:c r="AF333" s="35"/>
      <x:c r="AG333" s="33" t="s">
        <x:v>1639</x:v>
      </x:c>
      <x:c r="AH333" s="36">
        <x:v>46374</x:v>
      </x:c>
      <x:c r="AI333" s="33" t="s">
        <x:v>126</x:v>
      </x:c>
      <x:c r="AJ333" s="34" t="s">
        <x:v>342</x:v>
      </x:c>
    </x:row>
    <x:row r="334" ht="15" customHeight="1">
      <x:c r="A334" s="31" t="s">
        <x:v>1697</x:v>
      </x:c>
      <x:c r="B334" s="31" t="s">
        <x:v>1698</x:v>
      </x:c>
      <x:c r="C334" s="31" t="s">
        <x:v>1623</x:v>
      </x:c>
      <x:c r="D334" s="32" t="s">
        <x:v>1024</x:v>
      </x:c>
      <x:c r="E334" s="32" t="str">
        <x:v>Data Migration Only</x:v>
      </x:c>
      <x:c r="F334" s="33" t="s">
        <x:v>118</x:v>
      </x:c>
      <x:c r="G334" s="34" t="s">
        <x:v>1625</x:v>
      </x:c>
      <x:c r="H334" s="33" t="s">
        <x:v>87</x:v>
      </x:c>
      <x:c r="I334" s="33" t="s">
        <x:v>1626</x:v>
      </x:c>
      <x:c r="J334" s="33" t="s">
        <x:v>80</x:v>
      </x:c>
      <x:c r="K334" s="33" t="s">
        <x:v>58</x:v>
      </x:c>
      <x:c r="L334" s="33" t="s">
        <x:v>75</x:v>
      </x:c>
      <x:c r="M334" s="35">
        <x:v>20</x:v>
      </x:c>
      <x:c r="N334" s="35">
        <x:v>1474399</x:v>
      </x:c>
      <x:c r="O334" s="33" t="s">
        <x:v>73</x:v>
      </x:c>
      <x:c r="P334" s="33" t="s">
        <x:v>73</x:v>
      </x:c>
      <x:c r="Q334" s="33" t="s">
        <x:v>120</x:v>
      </x:c>
      <x:c r="R334" s="33" t="s">
        <x:v>101</x:v>
      </x:c>
      <x:c r="S334" s="31" t="s">
        <x:v>1699</x:v>
      </x:c>
      <x:c r="T334" s="31" t="s">
        <x:v>1700</x:v>
      </x:c>
      <x:c r="U334" s="31" t="s">
        <x:v>276</x:v>
      </x:c>
      <x:c r="V334" s="33" t="s">
        <x:v>277</x:v>
      </x:c>
      <x:c r="W334" s="33"/>
      <x:c r="X334" s="33" t="s">
        <x:v>238</x:v>
      </x:c>
      <x:c r="Y334" s="36"/>
      <x:c r="Z334" s="36"/>
      <x:c r="AA334" s="33" t="s">
        <x:v>120</x:v>
      </x:c>
      <x:c r="AB334" s="37" t="n">
        <x:f>IFERROR(INDEX(Effort_Model!$J$6:$J$33,MATCH(K334&amp;"|"&amp;L334,Effort_Model!$B$6:$B$33,0)),"")</x:f>
        <x:v>26.4</x:v>
      </x:c>
      <x:c r="AC334" s="38">
        <x:v>191.1</x:v>
      </x:c>
      <x:c r="AD334" s="37">
        <x:f t="shared" si="5"/>
        <x:v>256.43330000000003</x:v>
      </x:c>
      <x:c r="AE334" s="37" t="n">
        <x:f>IFERROR(ROUND(IFERROR(INDEX(Scoring_Rules!$C$43:$C$44,MATCH(Q334,Scoring_Rules!$B$43:$B$44,0)),0)*Scoring_Rules!$C$6+IFERROR(INDEX(Scoring_Rules!$C$34:$C$40,MATCH(K334,Scoring_Rules!$B$34:$B$40,0)),0)*Scoring_Rules!$C$7+IFERROR(INDEX(Scoring_Rules!$C$16:$C$19,MATCH(P334,Scoring_Rules!$B$16:$B$19,0)),0)*Scoring_Rules!$C$8+IFERROR(INDEX(Scoring_Rules!$C$22:$C$25,MATCH(O334,Scoring_Rules!$B$22:$B$25,0)),0)*Scoring_Rules!$C$9+IFERROR(INDEX(Scoring_Rules!$C$47:$C$50,MATCH(X334,Scoring_Rules!$B$47:$B$50,0)),0)*Scoring_Rules!$C$10+IFERROR(INDEX(Scoring_Rules!$C$28:$C$31,MATCH(R334,Scoring_Rules!$B$28:$B$31,0)),0)*Scoring_Rules!$C$11,1),"")</x:f>
        <x:v>59.3</x:v>
      </x:c>
      <x:c r="AF334" s="35">
        <x:v>4</x:v>
      </x:c>
      <x:c r="AG334" s="33" t="s">
        <x:v>1645</x:v>
      </x:c>
      <x:c r="AH334" s="36">
        <x:v>46385</x:v>
      </x:c>
      <x:c r="AI334" s="33" t="s">
        <x:v>124</x:v>
      </x:c>
      <x:c r="AJ334" s="34" t="s">
        <x:v>342</x:v>
      </x:c>
    </x:row>
    <x:row r="335" ht="23.25" customHeight="1">
      <x:c r="A335" s="31" t="s">
        <x:v>1701</x:v>
      </x:c>
      <x:c r="B335" s="31" t="s">
        <x:v>1702</x:v>
      </x:c>
      <x:c r="C335" s="31" t="s">
        <x:v>1623</x:v>
      </x:c>
      <x:c r="D335" s="32" t="s">
        <x:v>1642</x:v>
      </x:c>
      <x:c r="E335" s="32" t="str">
        <x:v>Functional Migration Only</x:v>
      </x:c>
      <x:c r="F335" s="33" t="s">
        <x:v>118</x:v>
      </x:c>
      <x:c r="G335" s="34" t="s">
        <x:v>1625</x:v>
      </x:c>
      <x:c r="H335" s="33" t="s">
        <x:v>87</x:v>
      </x:c>
      <x:c r="I335" s="33" t="s">
        <x:v>1626</x:v>
      </x:c>
      <x:c r="J335" s="33" t="s">
        <x:v>82</x:v>
      </x:c>
      <x:c r="K335" s="33" t="s">
        <x:v>56</x:v>
      </x:c>
      <x:c r="L335" s="33" t="s">
        <x:v>75</x:v>
      </x:c>
      <x:c r="M335" s="35">
        <x:v>8</x:v>
      </x:c>
      <x:c r="N335" s="35">
        <x:v>80250</x:v>
      </x:c>
      <x:c r="O335" s="33" t="s">
        <x:v>73</x:v>
      </x:c>
      <x:c r="P335" s="33" t="s">
        <x:v>101</x:v>
      </x:c>
      <x:c r="Q335" s="33" t="s">
        <x:v>120</x:v>
      </x:c>
      <x:c r="R335" s="33" t="s">
        <x:v>115</x:v>
      </x:c>
      <x:c r="S335" s="31" t="s">
        <x:v>1627</x:v>
      </x:c>
      <x:c r="T335" s="31" t="s">
        <x:v>1703</x:v>
      </x:c>
      <x:c r="U335" s="31" t="s">
        <x:v>276</x:v>
      </x:c>
      <x:c r="V335" s="33" t="s">
        <x:v>303</x:v>
      </x:c>
      <x:c r="W335" s="33"/>
      <x:c r="X335" s="33" t="s">
        <x:v>238</x:v>
      </x:c>
      <x:c r="Y335" s="36"/>
      <x:c r="Z335" s="36">
        <x:v>46892</x:v>
      </x:c>
      <x:c r="AA335" s="33" t="s">
        <x:v>120</x:v>
      </x:c>
      <x:c r="AB335" s="37" t="n">
        <x:f>IFERROR(INDEX(Effort_Model!$J$6:$J$33,MATCH(K335&amp;"|"&amp;L335,Effort_Model!$B$6:$B$33,0)),"")</x:f>
        <x:v>18.4</x:v>
      </x:c>
      <x:c r="AC335" s="38">
        <x:v>181.5</x:v>
      </x:c>
      <x:c r="AD335" s="37">
        <x:f t="shared" si="5"/>
        <x:v>222.83330000000001</x:v>
      </x:c>
      <x:c r="AE335" s="37" t="n">
        <x:f>IFERROR(ROUND(IFERROR(INDEX(Scoring_Rules!$C$43:$C$44,MATCH(Q335,Scoring_Rules!$B$43:$B$44,0)),0)*Scoring_Rules!$C$6+IFERROR(INDEX(Scoring_Rules!$C$34:$C$40,MATCH(K335,Scoring_Rules!$B$34:$B$40,0)),0)*Scoring_Rules!$C$7+IFERROR(INDEX(Scoring_Rules!$C$16:$C$19,MATCH(P335,Scoring_Rules!$B$16:$B$19,0)),0)*Scoring_Rules!$C$8+IFERROR(INDEX(Scoring_Rules!$C$22:$C$25,MATCH(O335,Scoring_Rules!$B$22:$B$25,0)),0)*Scoring_Rules!$C$9+IFERROR(INDEX(Scoring_Rules!$C$47:$C$50,MATCH(X335,Scoring_Rules!$B$47:$B$50,0)),0)*Scoring_Rules!$C$10+IFERROR(INDEX(Scoring_Rules!$C$28:$C$31,MATCH(R335,Scoring_Rules!$B$28:$B$31,0)),0)*Scoring_Rules!$C$11,1),"")</x:f>
        <x:v>52.5</x:v>
      </x:c>
      <x:c r="AF335" s="35">
        <x:v>5</x:v>
      </x:c>
      <x:c r="AG335" s="33" t="s">
        <x:v>1629</x:v>
      </x:c>
      <x:c r="AH335" s="36">
        <x:v>46333</x:v>
      </x:c>
      <x:c r="AI335" s="33" t="s">
        <x:v>127</x:v>
      </x:c>
      <x:c r="AJ335" s="34" t="s">
        <x:v>445</x:v>
      </x:c>
    </x:row>
    <x:row r="336" ht="23.25" customHeight="1">
      <x:c r="A336" s="31" t="s">
        <x:v>1704</x:v>
      </x:c>
      <x:c r="B336" s="31" t="s">
        <x:v>1705</x:v>
      </x:c>
      <x:c r="C336" s="31" t="s">
        <x:v>1623</x:v>
      </x:c>
      <x:c r="D336" s="32" t="s">
        <x:v>1642</x:v>
      </x:c>
      <x:c r="E336" s="32" t="str">
        <x:v>Data Migration Only</x:v>
      </x:c>
      <x:c r="F336" s="33" t="s">
        <x:v>118</x:v>
      </x:c>
      <x:c r="G336" s="34" t="s">
        <x:v>1638</x:v>
      </x:c>
      <x:c r="H336" s="33" t="s">
        <x:v>87</x:v>
      </x:c>
      <x:c r="I336" s="33" t="s">
        <x:v>1626</x:v>
      </x:c>
      <x:c r="J336" s="33" t="s">
        <x:v>80</x:v>
      </x:c>
      <x:c r="K336" s="33" t="s">
        <x:v>68</x:v>
      </x:c>
      <x:c r="L336" s="33" t="s">
        <x:v>75</x:v>
      </x:c>
      <x:c r="M336" s="35">
        <x:v>371</x:v>
      </x:c>
      <x:c r="N336" s="35">
        <x:v>162173505157</x:v>
      </x:c>
      <x:c r="O336" s="33" t="s">
        <x:v>103</x:v>
      </x:c>
      <x:c r="P336" s="33" t="s">
        <x:v>101</x:v>
      </x:c>
      <x:c r="Q336" s="33" t="s">
        <x:v>120</x:v>
      </x:c>
      <x:c r="R336" s="33" t="s">
        <x:v>115</x:v>
      </x:c>
      <x:c r="S336" s="31" t="s">
        <x:v>1627</x:v>
      </x:c>
      <x:c r="T336" s="31" t="s">
        <x:v>1703</x:v>
      </x:c>
      <x:c r="U336" s="31" t="s">
        <x:v>276</x:v>
      </x:c>
      <x:c r="V336" s="33" t="s">
        <x:v>303</x:v>
      </x:c>
      <x:c r="W336" s="33" t="s">
        <x:v>1706</x:v>
      </x:c>
      <x:c r="X336" s="33" t="s">
        <x:v>239</x:v>
      </x:c>
      <x:c r="Y336" s="36"/>
      <x:c r="Z336" s="36"/>
      <x:c r="AA336" s="33" t="s">
        <x:v>120</x:v>
      </x:c>
      <x:c r="AB336" s="37" t="n">
        <x:f>IFERROR(INDEX(Effort_Model!$J$6:$J$33,MATCH(K336&amp;"|"&amp;L336,Effort_Model!$B$6:$B$33,0)),"")</x:f>
        <x:v>170.4</x:v>
      </x:c>
      <x:c r="AC336" s="38">
        <x:v>2314.6</x:v>
      </x:c>
      <x:c r="AD336" s="37">
        <x:f t="shared" si="5"/>
        <x:v>2811.9332999999997</x:v>
      </x:c>
      <x:c r="AE336" s="37" t="n">
        <x:f>IFERROR(ROUND(IFERROR(INDEX(Scoring_Rules!$C$43:$C$44,MATCH(Q336,Scoring_Rules!$B$43:$B$44,0)),0)*Scoring_Rules!$C$6+IFERROR(INDEX(Scoring_Rules!$C$34:$C$40,MATCH(K336,Scoring_Rules!$B$34:$B$40,0)),0)*Scoring_Rules!$C$7+IFERROR(INDEX(Scoring_Rules!$C$16:$C$19,MATCH(P336,Scoring_Rules!$B$16:$B$19,0)),0)*Scoring_Rules!$C$8+IFERROR(INDEX(Scoring_Rules!$C$22:$C$25,MATCH(O336,Scoring_Rules!$B$22:$B$25,0)),0)*Scoring_Rules!$C$9+IFERROR(INDEX(Scoring_Rules!$C$47:$C$50,MATCH(X336,Scoring_Rules!$B$47:$B$50,0)),0)*Scoring_Rules!$C$10+IFERROR(INDEX(Scoring_Rules!$C$28:$C$31,MATCH(R336,Scoring_Rules!$B$28:$B$31,0)),0)*Scoring_Rules!$C$11,1),"")</x:f>
        <x:v>17.5</x:v>
      </x:c>
      <x:c r="AF336" s="35">
        <x:v>9</x:v>
      </x:c>
      <x:c r="AG336" s="33" t="s">
        <x:v>1634</x:v>
      </x:c>
      <x:c r="AH336" s="36">
        <x:v>46319</x:v>
      </x:c>
      <x:c r="AI336" s="33" t="s">
        <x:v>127</x:v>
      </x:c>
      <x:c r="AJ336" s="34"/>
    </x:row>
    <x:row r="337" ht="23.25" customHeight="1">
      <x:c r="A337" s="31" t="s">
        <x:v>1707</x:v>
      </x:c>
      <x:c r="B337" s="31" t="s">
        <x:v>1708</x:v>
      </x:c>
      <x:c r="C337" s="31" t="s">
        <x:v>1623</x:v>
      </x:c>
      <x:c r="D337" s="32" t="s">
        <x:v>1079</x:v>
      </x:c>
      <x:c r="E337" s="32" t="str">
        <x:v>Functional Migration Only</x:v>
      </x:c>
      <x:c r="F337" s="33" t="s">
        <x:v>118</x:v>
      </x:c>
      <x:c r="G337" s="34" t="s">
        <x:v>1638</x:v>
      </x:c>
      <x:c r="H337" s="33" t="s">
        <x:v>87</x:v>
      </x:c>
      <x:c r="I337" s="33" t="s">
        <x:v>1626</x:v>
      </x:c>
      <x:c r="J337" s="33" t="s">
        <x:v>82</x:v>
      </x:c>
      <x:c r="K337" s="33" t="s">
        <x:v>56</x:v>
      </x:c>
      <x:c r="L337" s="33" t="s">
        <x:v>73</x:v>
      </x:c>
      <x:c r="M337" s="35">
        <x:v>10</x:v>
      </x:c>
      <x:c r="N337" s="35">
        <x:v>96713</x:v>
      </x:c>
      <x:c r="O337" s="33" t="s">
        <x:v>103</x:v>
      </x:c>
      <x:c r="P337" s="33" t="s">
        <x:v>73</x:v>
      </x:c>
      <x:c r="Q337" s="33" t="s">
        <x:v>120</x:v>
      </x:c>
      <x:c r="R337" s="33" t="s">
        <x:v>101</x:v>
      </x:c>
      <x:c r="S337" s="31" t="s">
        <x:v>1709</x:v>
      </x:c>
      <x:c r="T337" s="31" t="s">
        <x:v>1710</x:v>
      </x:c>
      <x:c r="U337" s="31" t="s">
        <x:v>522</x:v>
      </x:c>
      <x:c r="V337" s="33" t="s">
        <x:v>379</x:v>
      </x:c>
      <x:c r="W337" s="33" t="s">
        <x:v>1711</x:v>
      </x:c>
      <x:c r="X337" s="33" t="s">
        <x:v>240</x:v>
      </x:c>
      <x:c r="Y337" s="36"/>
      <x:c r="Z337" s="36"/>
      <x:c r="AA337" s="33" t="s">
        <x:v>120</x:v>
      </x:c>
      <x:c r="AB337" s="37" t="n">
        <x:f>IFERROR(INDEX(Effort_Model!$J$6:$J$33,MATCH(K337&amp;"|"&amp;L337,Effort_Model!$B$6:$B$33,0)),"")</x:f>
        <x:v>18.4</x:v>
      </x:c>
      <x:c r="AC337" s="38">
        <x:v>137.4</x:v>
      </x:c>
      <x:c r="AD337" s="37">
        <x:f t="shared" si="5"/>
        <x:v>166.4</x:v>
      </x:c>
      <x:c r="AE337" s="37" t="n">
        <x:f>IFERROR(ROUND(IFERROR(INDEX(Scoring_Rules!$C$43:$C$44,MATCH(Q337,Scoring_Rules!$B$43:$B$44,0)),0)*Scoring_Rules!$C$6+IFERROR(INDEX(Scoring_Rules!$C$34:$C$40,MATCH(K337,Scoring_Rules!$B$34:$B$40,0)),0)*Scoring_Rules!$C$7+IFERROR(INDEX(Scoring_Rules!$C$16:$C$19,MATCH(P337,Scoring_Rules!$B$16:$B$19,0)),0)*Scoring_Rules!$C$8+IFERROR(INDEX(Scoring_Rules!$C$22:$C$25,MATCH(O337,Scoring_Rules!$B$22:$B$25,0)),0)*Scoring_Rules!$C$9+IFERROR(INDEX(Scoring_Rules!$C$47:$C$50,MATCH(X337,Scoring_Rules!$B$47:$B$50,0)),0)*Scoring_Rules!$C$10+IFERROR(INDEX(Scoring_Rules!$C$28:$C$31,MATCH(R337,Scoring_Rules!$B$28:$B$31,0)),0)*Scoring_Rules!$C$11,1),"")</x:f>
        <x:v>40.3</x:v>
      </x:c>
      <x:c r="AF337" s="35">
        <x:v>4</x:v>
      </x:c>
      <x:c r="AG337" s="33" t="s">
        <x:v>1639</x:v>
      </x:c>
      <x:c r="AH337" s="36">
        <x:v>46372</x:v>
      </x:c>
      <x:c r="AI337" s="33" t="s">
        <x:v>124</x:v>
      </x:c>
      <x:c r="AJ337" s="34"/>
    </x:row>
    <x:row r="338" ht="15" customHeight="1">
      <x:c r="A338" s="31" t="s">
        <x:v>1712</x:v>
      </x:c>
      <x:c r="B338" s="31" t="s">
        <x:v>1713</x:v>
      </x:c>
      <x:c r="C338" s="31" t="s">
        <x:v>1623</x:v>
      </x:c>
      <x:c r="D338" s="32" t="s">
        <x:v>1686</x:v>
      </x:c>
      <x:c r="E338" s="32" t="str">
        <x:v>Data Migration Only</x:v>
      </x:c>
      <x:c r="F338" s="33" t="s">
        <x:v>118</x:v>
      </x:c>
      <x:c r="G338" s="34" t="s">
        <x:v>1648</x:v>
      </x:c>
      <x:c r="H338" s="33" t="s">
        <x:v>87</x:v>
      </x:c>
      <x:c r="I338" s="33" t="s">
        <x:v>1626</x:v>
      </x:c>
      <x:c r="J338" s="33" t="s">
        <x:v>80</x:v>
      </x:c>
      <x:c r="K338" s="33" t="s">
        <x:v>62</x:v>
      </x:c>
      <x:c r="L338" s="33" t="s">
        <x:v>77</x:v>
      </x:c>
      <x:c r="M338" s="35">
        <x:v>68</x:v>
      </x:c>
      <x:c r="N338" s="35">
        <x:v>68056884</x:v>
      </x:c>
      <x:c r="O338" s="33" t="s">
        <x:v>73</x:v>
      </x:c>
      <x:c r="P338" s="33" t="s">
        <x:v>73</x:v>
      </x:c>
      <x:c r="Q338" s="33" t="s">
        <x:v>120</x:v>
      </x:c>
      <x:c r="R338" s="33" t="s">
        <x:v>101</x:v>
      </x:c>
      <x:c r="S338" s="31" t="s">
        <x:v>1714</x:v>
      </x:c>
      <x:c r="T338" s="31" t="s">
        <x:v>1715</x:v>
      </x:c>
      <x:c r="U338" s="31" t="s">
        <x:v>522</x:v>
      </x:c>
      <x:c r="V338" s="33" t="s">
        <x:v>303</x:v>
      </x:c>
      <x:c r="W338" s="33"/>
      <x:c r="X338" s="33" t="s">
        <x:v>238</x:v>
      </x:c>
      <x:c r="Y338" s="36"/>
      <x:c r="Z338" s="36"/>
      <x:c r="AA338" s="33" t="s">
        <x:v>120</x:v>
      </x:c>
      <x:c r="AB338" s="37" t="n">
        <x:f>IFERROR(INDEX(Effort_Model!$J$6:$J$33,MATCH(K338&amp;"|"&amp;L338,Effort_Model!$B$6:$B$33,0)),"")</x:f>
        <x:v>74.4</x:v>
      </x:c>
      <x:c r="AC338" s="38">
        <x:v>708.1</x:v>
      </x:c>
      <x:c r="AD338" s="37">
        <x:f t="shared" si="5"/>
        <x:v>981.43330000000003</x:v>
      </x:c>
      <x:c r="AE338" s="37" t="n">
        <x:f>IFERROR(ROUND(IFERROR(INDEX(Scoring_Rules!$C$43:$C$44,MATCH(Q338,Scoring_Rules!$B$43:$B$44,0)),0)*Scoring_Rules!$C$6+IFERROR(INDEX(Scoring_Rules!$C$34:$C$40,MATCH(K338,Scoring_Rules!$B$34:$B$40,0)),0)*Scoring_Rules!$C$7+IFERROR(INDEX(Scoring_Rules!$C$16:$C$19,MATCH(P338,Scoring_Rules!$B$16:$B$19,0)),0)*Scoring_Rules!$C$8+IFERROR(INDEX(Scoring_Rules!$C$22:$C$25,MATCH(O338,Scoring_Rules!$B$22:$B$25,0)),0)*Scoring_Rules!$C$9+IFERROR(INDEX(Scoring_Rules!$C$47:$C$50,MATCH(X338,Scoring_Rules!$B$47:$B$50,0)),0)*Scoring_Rules!$C$10+IFERROR(INDEX(Scoring_Rules!$C$28:$C$31,MATCH(R338,Scoring_Rules!$B$28:$B$31,0)),0)*Scoring_Rules!$C$11,1),"")</x:f>
        <x:v>52.3</x:v>
      </x:c>
      <x:c r="AF338" s="35">
        <x:v>7</x:v>
      </x:c>
      <x:c r="AG338" s="33" t="s">
        <x:v>1645</x:v>
      </x:c>
      <x:c r="AH338" s="36">
        <x:v>46303</x:v>
      </x:c>
      <x:c r="AI338" s="33" t="s">
        <x:v>127</x:v>
      </x:c>
      <x:c r="AJ338" s="34"/>
    </x:row>
    <x:row r="339" ht="15" customHeight="1">
      <x:c r="A339" s="31" t="s">
        <x:v>1716</x:v>
      </x:c>
      <x:c r="B339" s="31" t="s">
        <x:v>1717</x:v>
      </x:c>
      <x:c r="C339" s="31" t="s">
        <x:v>1623</x:v>
      </x:c>
      <x:c r="D339" s="32" t="s">
        <x:v>1718</x:v>
      </x:c>
      <x:c r="E339" s="32" t="str">
        <x:v>Data Migration Only</x:v>
      </x:c>
      <x:c r="F339" s="33" t="s">
        <x:v>118</x:v>
      </x:c>
      <x:c r="G339" s="34" t="s">
        <x:v>1648</x:v>
      </x:c>
      <x:c r="H339" s="33" t="s">
        <x:v>87</x:v>
      </x:c>
      <x:c r="I339" s="33" t="s">
        <x:v>1626</x:v>
      </x:c>
      <x:c r="J339" s="33" t="s">
        <x:v>80</x:v>
      </x:c>
      <x:c r="K339" s="33" t="s">
        <x:v>62</x:v>
      </x:c>
      <x:c r="L339" s="33" t="s">
        <x:v>77</x:v>
      </x:c>
      <x:c r="M339" s="35">
        <x:v>69</x:v>
      </x:c>
      <x:c r="N339" s="35">
        <x:v>115800630</x:v>
      </x:c>
      <x:c r="O339" s="33" t="s">
        <x:v>103</x:v>
      </x:c>
      <x:c r="P339" s="33" t="s">
        <x:v>101</x:v>
      </x:c>
      <x:c r="Q339" s="33" t="s">
        <x:v>120</x:v>
      </x:c>
      <x:c r="R339" s="33" t="s">
        <x:v>101</x:v>
      </x:c>
      <x:c r="S339" s="31" t="s">
        <x:v>1719</x:v>
      </x:c>
      <x:c r="T339" s="31" t="s">
        <x:v>1720</x:v>
      </x:c>
      <x:c r="U339" s="31" t="s">
        <x:v>276</x:v>
      </x:c>
      <x:c r="V339" s="33" t="s">
        <x:v>365</x:v>
      </x:c>
      <x:c r="W339" s="33"/>
      <x:c r="X339" s="33" t="s">
        <x:v>238</x:v>
      </x:c>
      <x:c r="Y339" s="36">
        <x:v>46320</x:v>
      </x:c>
      <x:c r="Z339" s="36"/>
      <x:c r="AA339" s="33" t="s">
        <x:v>120</x:v>
      </x:c>
      <x:c r="AB339" s="37" t="n">
        <x:f>IFERROR(INDEX(Effort_Model!$J$6:$J$33,MATCH(K339&amp;"|"&amp;L339,Effort_Model!$B$6:$B$33,0)),"")</x:f>
        <x:v>74.4</x:v>
      </x:c>
      <x:c r="AC339" s="38">
        <x:v>741.3</x:v>
      </x:c>
      <x:c r="AD339" s="37">
        <x:f t="shared" si="5"/>
        <x:v>1014.6333</x:v>
      </x:c>
      <x:c r="AE339" s="37" t="n">
        <x:f>IFERROR(ROUND(IFERROR(INDEX(Scoring_Rules!$C$43:$C$44,MATCH(Q339,Scoring_Rules!$B$43:$B$44,0)),0)*Scoring_Rules!$C$6+IFERROR(INDEX(Scoring_Rules!$C$34:$C$40,MATCH(K339,Scoring_Rules!$B$34:$B$40,0)),0)*Scoring_Rules!$C$7+IFERROR(INDEX(Scoring_Rules!$C$16:$C$19,MATCH(P339,Scoring_Rules!$B$16:$B$19,0)),0)*Scoring_Rules!$C$8+IFERROR(INDEX(Scoring_Rules!$C$22:$C$25,MATCH(O339,Scoring_Rules!$B$22:$B$25,0)),0)*Scoring_Rules!$C$9+IFERROR(INDEX(Scoring_Rules!$C$47:$C$50,MATCH(X339,Scoring_Rules!$B$47:$B$50,0)),0)*Scoring_Rules!$C$10+IFERROR(INDEX(Scoring_Rules!$C$28:$C$31,MATCH(R339,Scoring_Rules!$B$28:$B$31,0)),0)*Scoring_Rules!$C$11,1),"")</x:f>
        <x:v>34.8</x:v>
      </x:c>
      <x:c r="AF339" s="35">
        <x:v>8</x:v>
      </x:c>
      <x:c r="AG339" s="33" t="s">
        <x:v>1629</x:v>
      </x:c>
      <x:c r="AH339" s="36">
        <x:v>46395</x:v>
      </x:c>
      <x:c r="AI339" s="33" t="s">
        <x:v>127</x:v>
      </x:c>
      <x:c r="AJ339" s="34" t="s">
        <x:v>383</x:v>
      </x:c>
    </x:row>
    <x:row r="340" ht="15" customHeight="1">
      <x:c r="A340" s="31" t="s">
        <x:v>1721</x:v>
      </x:c>
      <x:c r="B340" s="31" t="s">
        <x:v>1722</x:v>
      </x:c>
      <x:c r="C340" s="31" t="s">
        <x:v>1623</x:v>
      </x:c>
      <x:c r="D340" s="32" t="s">
        <x:v>1024</x:v>
      </x:c>
      <x:c r="E340" s="32" t="str">
        <x:v>Data Migration Only</x:v>
      </x:c>
      <x:c r="F340" s="33" t="s">
        <x:v>118</x:v>
      </x:c>
      <x:c r="G340" s="34" t="s">
        <x:v>1655</x:v>
      </x:c>
      <x:c r="H340" s="33" t="s">
        <x:v>87</x:v>
      </x:c>
      <x:c r="I340" s="33" t="s">
        <x:v>1626</x:v>
      </x:c>
      <x:c r="J340" s="33" t="s">
        <x:v>80</x:v>
      </x:c>
      <x:c r="K340" s="33" t="s">
        <x:v>58</x:v>
      </x:c>
      <x:c r="L340" s="33" t="s">
        <x:v>73</x:v>
      </x:c>
      <x:c r="M340" s="35">
        <x:v>17</x:v>
      </x:c>
      <x:c r="N340" s="35">
        <x:v>1465049</x:v>
      </x:c>
      <x:c r="O340" s="33" t="s">
        <x:v>101</x:v>
      </x:c>
      <x:c r="P340" s="33" t="s">
        <x:v>73</x:v>
      </x:c>
      <x:c r="Q340" s="33" t="s">
        <x:v>118</x:v>
      </x:c>
      <x:c r="R340" s="33" t="s">
        <x:v>115</x:v>
      </x:c>
      <x:c r="S340" s="31" t="s">
        <x:v>1723</x:v>
      </x:c>
      <x:c r="T340" s="31" t="s">
        <x:v>1724</x:v>
      </x:c>
      <x:c r="U340" s="31" t="s">
        <x:v>522</x:v>
      </x:c>
      <x:c r="V340" s="33" t="s">
        <x:v>347</x:v>
      </x:c>
      <x:c r="W340" s="33"/>
      <x:c r="X340" s="33" t="s">
        <x:v>238</x:v>
      </x:c>
      <x:c r="Y340" s="36"/>
      <x:c r="Z340" s="36"/>
      <x:c r="AA340" s="33" t="s">
        <x:v>120</x:v>
      </x:c>
      <x:c r="AB340" s="37" t="n">
        <x:f>IFERROR(INDEX(Effort_Model!$J$6:$J$33,MATCH(K340&amp;"|"&amp;L340,Effort_Model!$B$6:$B$33,0)),"")</x:f>
        <x:v>26.4</x:v>
      </x:c>
      <x:c r="AC340" s="38">
        <x:v>159.4</x:v>
      </x:c>
      <x:c r="AD340" s="37">
        <x:f t="shared" si="5"/>
        <x:v>204.4</x:v>
      </x:c>
      <x:c r="AE340" s="37" t="n">
        <x:f>IFERROR(ROUND(IFERROR(INDEX(Scoring_Rules!$C$43:$C$44,MATCH(Q340,Scoring_Rules!$B$43:$B$44,0)),0)*Scoring_Rules!$C$6+IFERROR(INDEX(Scoring_Rules!$C$34:$C$40,MATCH(K340,Scoring_Rules!$B$34:$B$40,0)),0)*Scoring_Rules!$C$7+IFERROR(INDEX(Scoring_Rules!$C$16:$C$19,MATCH(P340,Scoring_Rules!$B$16:$B$19,0)),0)*Scoring_Rules!$C$8+IFERROR(INDEX(Scoring_Rules!$C$22:$C$25,MATCH(O340,Scoring_Rules!$B$22:$B$25,0)),0)*Scoring_Rules!$C$9+IFERROR(INDEX(Scoring_Rules!$C$47:$C$50,MATCH(X340,Scoring_Rules!$B$47:$B$50,0)),0)*Scoring_Rules!$C$10+IFERROR(INDEX(Scoring_Rules!$C$28:$C$31,MATCH(R340,Scoring_Rules!$B$28:$B$31,0)),0)*Scoring_Rules!$C$11,1),"")</x:f>
        <x:v>77.3</x:v>
      </x:c>
      <x:c r="AF340" s="35">
        <x:v>1</x:v>
      </x:c>
      <x:c r="AG340" s="33" t="s">
        <x:v>1634</x:v>
      </x:c>
      <x:c r="AH340" s="36">
        <x:v>46387</x:v>
      </x:c>
      <x:c r="AI340" s="33" t="s">
        <x:v>126</x:v>
      </x:c>
      <x:c r="AJ340" s="34" t="s">
        <x:v>336</x:v>
      </x:c>
    </x:row>
    <x:row r="341" ht="15" customHeight="1">
      <x:c r="A341" s="31" t="s">
        <x:v>1725</x:v>
      </x:c>
      <x:c r="B341" s="31" t="s">
        <x:v>1726</x:v>
      </x:c>
      <x:c r="C341" s="31" t="s">
        <x:v>1623</x:v>
      </x:c>
      <x:c r="D341" s="32" t="s">
        <x:v>1624</x:v>
      </x:c>
      <x:c r="E341" s="32" t="str">
        <x:v>Functional Migration Only</x:v>
      </x:c>
      <x:c r="F341" s="33" t="s">
        <x:v>118</x:v>
      </x:c>
      <x:c r="G341" s="34" t="s">
        <x:v>1638</x:v>
      </x:c>
      <x:c r="H341" s="33" t="s">
        <x:v>87</x:v>
      </x:c>
      <x:c r="I341" s="33" t="s">
        <x:v>1626</x:v>
      </x:c>
      <x:c r="J341" s="33" t="s">
        <x:v>82</x:v>
      </x:c>
      <x:c r="K341" s="33" t="s">
        <x:v>62</x:v>
      </x:c>
      <x:c r="L341" s="33" t="s">
        <x:v>77</x:v>
      </x:c>
      <x:c r="M341" s="35">
        <x:v>66</x:v>
      </x:c>
      <x:c r="N341" s="35">
        <x:v>69987126</x:v>
      </x:c>
      <x:c r="O341" s="33" t="s">
        <x:v>98</x:v>
      </x:c>
      <x:c r="P341" s="33" t="s">
        <x:v>101</x:v>
      </x:c>
      <x:c r="Q341" s="33" t="s">
        <x:v>120</x:v>
      </x:c>
      <x:c r="R341" s="33" t="s">
        <x:v>73</x:v>
      </x:c>
      <x:c r="S341" s="31" t="s">
        <x:v>1695</x:v>
      </x:c>
      <x:c r="T341" s="31" t="s">
        <x:v>1727</x:v>
      </x:c>
      <x:c r="U341" s="31" t="s">
        <x:v>477</x:v>
      </x:c>
      <x:c r="V341" s="33" t="s">
        <x:v>444</x:v>
      </x:c>
      <x:c r="W341" s="33"/>
      <x:c r="X341" s="33" t="s">
        <x:v>238</x:v>
      </x:c>
      <x:c r="Y341" s="36"/>
      <x:c r="Z341" s="36">
        <x:v>47093</x:v>
      </x:c>
      <x:c r="AA341" s="33" t="s">
        <x:v>120</x:v>
      </x:c>
      <x:c r="AB341" s="37" t="n">
        <x:f>IFERROR(INDEX(Effort_Model!$J$6:$J$33,MATCH(K341&amp;"|"&amp;L341,Effort_Model!$B$6:$B$33,0)),"")</x:f>
        <x:v>74.4</x:v>
      </x:c>
      <x:c r="AC341" s="38">
        <x:v>1203.7</x:v>
      </x:c>
      <x:c r="AD341" s="37">
        <x:f t="shared" si="5"/>
        <x:v>1477.0333000000001</x:v>
      </x:c>
      <x:c r="AE341" s="37" t="n">
        <x:f>IFERROR(ROUND(IFERROR(INDEX(Scoring_Rules!$C$43:$C$44,MATCH(Q341,Scoring_Rules!$B$43:$B$44,0)),0)*Scoring_Rules!$C$6+IFERROR(INDEX(Scoring_Rules!$C$34:$C$40,MATCH(K341,Scoring_Rules!$B$34:$B$40,0)),0)*Scoring_Rules!$C$7+IFERROR(INDEX(Scoring_Rules!$C$16:$C$19,MATCH(P341,Scoring_Rules!$B$16:$B$19,0)),0)*Scoring_Rules!$C$8+IFERROR(INDEX(Scoring_Rules!$C$22:$C$25,MATCH(O341,Scoring_Rules!$B$22:$B$25,0)),0)*Scoring_Rules!$C$9+IFERROR(INDEX(Scoring_Rules!$C$47:$C$50,MATCH(X341,Scoring_Rules!$B$47:$B$50,0)),0)*Scoring_Rules!$C$10+IFERROR(INDEX(Scoring_Rules!$C$28:$C$31,MATCH(R341,Scoring_Rules!$B$28:$B$31,0)),0)*Scoring_Rules!$C$11,1),"")</x:f>
        <x:v>51.5</x:v>
      </x:c>
      <x:c r="AF341" s="35">
        <x:v>7</x:v>
      </x:c>
      <x:c r="AG341" s="33" t="s">
        <x:v>1639</x:v>
      </x:c>
      <x:c r="AH341" s="36">
        <x:v>46328</x:v>
      </x:c>
      <x:c r="AI341" s="33" t="s">
        <x:v>126</x:v>
      </x:c>
      <x:c r="AJ341" s="34"/>
    </x:row>
    <x:row r="342" ht="15" customHeight="1">
      <x:c r="A342" s="31" t="s">
        <x:v>1728</x:v>
      </x:c>
      <x:c r="B342" s="31" t="s">
        <x:v>1729</x:v>
      </x:c>
      <x:c r="C342" s="31" t="s">
        <x:v>1623</x:v>
      </x:c>
      <x:c r="D342" s="32" t="s">
        <x:v>1730</x:v>
      </x:c>
      <x:c r="E342" s="32" t="str">
        <x:v>Functional Migration Only</x:v>
      </x:c>
      <x:c r="F342" s="33" t="s">
        <x:v>118</x:v>
      </x:c>
      <x:c r="G342" s="34" t="s">
        <x:v>1648</x:v>
      </x:c>
      <x:c r="H342" s="33" t="s">
        <x:v>87</x:v>
      </x:c>
      <x:c r="I342" s="33" t="s">
        <x:v>1626</x:v>
      </x:c>
      <x:c r="J342" s="33" t="s">
        <x:v>82</x:v>
      </x:c>
      <x:c r="K342" s="33" t="s">
        <x:v>66</x:v>
      </x:c>
      <x:c r="L342" s="33" t="s">
        <x:v>75</x:v>
      </x:c>
      <x:c r="M342" s="35">
        <x:v>191</x:v>
      </x:c>
      <x:c r="N342" s="35">
        <x:v>10246777838</x:v>
      </x:c>
      <x:c r="O342" s="33" t="s">
        <x:v>73</x:v>
      </x:c>
      <x:c r="P342" s="33" t="s">
        <x:v>101</x:v>
      </x:c>
      <x:c r="Q342" s="33" t="s">
        <x:v>120</x:v>
      </x:c>
      <x:c r="R342" s="33" t="s">
        <x:v>115</x:v>
      </x:c>
      <x:c r="S342" s="31" t="s">
        <x:v>1731</x:v>
      </x:c>
      <x:c r="T342" s="31" t="s">
        <x:v>1732</x:v>
      </x:c>
      <x:c r="U342" s="31" t="s">
        <x:v>522</x:v>
      </x:c>
      <x:c r="V342" s="33" t="s">
        <x:v>277</x:v>
      </x:c>
      <x:c r="W342" s="33"/>
      <x:c r="X342" s="33" t="s">
        <x:v>238</x:v>
      </x:c>
      <x:c r="Y342" s="36"/>
      <x:c r="Z342" s="36"/>
      <x:c r="AA342" s="33" t="s">
        <x:v>120</x:v>
      </x:c>
      <x:c r="AB342" s="37" t="n">
        <x:f>IFERROR(INDEX(Effort_Model!$J$6:$J$33,MATCH(K342&amp;"|"&amp;L342,Effort_Model!$B$6:$B$33,0)),"")</x:f>
        <x:v>138.4</x:v>
      </x:c>
      <x:c r="AC342" s="38">
        <x:v>2105.3000000000002</x:v>
      </x:c>
      <x:c r="AD342" s="37">
        <x:f t="shared" si="5"/>
        <x:v>2506.6333000000004</x:v>
      </x:c>
      <x:c r="AE342" s="37" t="n">
        <x:f>IFERROR(ROUND(IFERROR(INDEX(Scoring_Rules!$C$43:$C$44,MATCH(Q342,Scoring_Rules!$B$43:$B$44,0)),0)*Scoring_Rules!$C$6+IFERROR(INDEX(Scoring_Rules!$C$34:$C$40,MATCH(K342,Scoring_Rules!$B$34:$B$40,0)),0)*Scoring_Rules!$C$7+IFERROR(INDEX(Scoring_Rules!$C$16:$C$19,MATCH(P342,Scoring_Rules!$B$16:$B$19,0)),0)*Scoring_Rules!$C$8+IFERROR(INDEX(Scoring_Rules!$C$22:$C$25,MATCH(O342,Scoring_Rules!$B$22:$B$25,0)),0)*Scoring_Rules!$C$9+IFERROR(INDEX(Scoring_Rules!$C$47:$C$50,MATCH(X342,Scoring_Rules!$B$47:$B$50,0)),0)*Scoring_Rules!$C$10+IFERROR(INDEX(Scoring_Rules!$C$28:$C$31,MATCH(R342,Scoring_Rules!$B$28:$B$31,0)),0)*Scoring_Rules!$C$11,1),"")</x:f>
        <x:v>36.5</x:v>
      </x:c>
      <x:c r="AF342" s="35">
        <x:v>7</x:v>
      </x:c>
      <x:c r="AG342" s="33" t="s">
        <x:v>1645</x:v>
      </x:c>
      <x:c r="AH342" s="36">
        <x:v>46305</x:v>
      </x:c>
      <x:c r="AI342" s="33" t="s">
        <x:v>126</x:v>
      </x:c>
      <x:c r="AJ342" s="34" t="s">
        <x:v>312</x:v>
      </x:c>
    </x:row>
    <x:row r="343" ht="15" customHeight="1">
      <x:c r="A343" s="31" t="s">
        <x:v>1733</x:v>
      </x:c>
      <x:c r="B343" s="31" t="s">
        <x:v>1734</x:v>
      </x:c>
      <x:c r="C343" s="31" t="s">
        <x:v>1623</x:v>
      </x:c>
      <x:c r="D343" s="32" t="s">
        <x:v>1735</x:v>
      </x:c>
      <x:c r="E343" s="32" t="str">
        <x:v>Data Migration Only</x:v>
      </x:c>
      <x:c r="F343" s="33" t="s">
        <x:v>118</x:v>
      </x:c>
      <x:c r="G343" s="34" t="s">
        <x:v>1655</x:v>
      </x:c>
      <x:c r="H343" s="33" t="s">
        <x:v>87</x:v>
      </x:c>
      <x:c r="I343" s="33" t="s">
        <x:v>1626</x:v>
      </x:c>
      <x:c r="J343" s="33" t="s">
        <x:v>80</x:v>
      </x:c>
      <x:c r="K343" s="33" t="s">
        <x:v>62</x:v>
      </x:c>
      <x:c r="L343" s="33" t="s">
        <x:v>75</x:v>
      </x:c>
      <x:c r="M343" s="35">
        <x:v>73</x:v>
      </x:c>
      <x:c r="N343" s="35">
        <x:v>106847821</x:v>
      </x:c>
      <x:c r="O343" s="33" t="s">
        <x:v>98</x:v>
      </x:c>
      <x:c r="P343" s="33" t="s">
        <x:v>101</x:v>
      </x:c>
      <x:c r="Q343" s="33" t="s">
        <x:v>120</x:v>
      </x:c>
      <x:c r="R343" s="33" t="s">
        <x:v>73</x:v>
      </x:c>
      <x:c r="S343" s="31" t="s">
        <x:v>1731</x:v>
      </x:c>
      <x:c r="T343" s="31" t="s">
        <x:v>1732</x:v>
      </x:c>
      <x:c r="U343" s="31" t="s">
        <x:v>522</x:v>
      </x:c>
      <x:c r="V343" s="33" t="s">
        <x:v>329</x:v>
      </x:c>
      <x:c r="W343" s="33" t="s">
        <x:v>1684</x:v>
      </x:c>
      <x:c r="X343" s="33" t="s">
        <x:v>239</x:v>
      </x:c>
      <x:c r="Y343" s="36"/>
      <x:c r="Z343" s="36"/>
      <x:c r="AA343" s="33" t="s">
        <x:v>120</x:v>
      </x:c>
      <x:c r="AB343" s="37" t="n">
        <x:f>IFERROR(INDEX(Effort_Model!$J$6:$J$33,MATCH(K343&amp;"|"&amp;L343,Effort_Model!$B$6:$B$33,0)),"")</x:f>
        <x:v>74.4</x:v>
      </x:c>
      <x:c r="AC343" s="38">
        <x:v>644.9</x:v>
      </x:c>
      <x:c r="AD343" s="37">
        <x:f t="shared" si="5"/>
        <x:v>854.23329999999999</x:v>
      </x:c>
      <x:c r="AE343" s="37" t="n">
        <x:f>IFERROR(ROUND(IFERROR(INDEX(Scoring_Rules!$C$43:$C$44,MATCH(Q343,Scoring_Rules!$B$43:$B$44,0)),0)*Scoring_Rules!$C$6+IFERROR(INDEX(Scoring_Rules!$C$34:$C$40,MATCH(K343,Scoring_Rules!$B$34:$B$40,0)),0)*Scoring_Rules!$C$7+IFERROR(INDEX(Scoring_Rules!$C$16:$C$19,MATCH(P343,Scoring_Rules!$B$16:$B$19,0)),0)*Scoring_Rules!$C$8+IFERROR(INDEX(Scoring_Rules!$C$22:$C$25,MATCH(O343,Scoring_Rules!$B$22:$B$25,0)),0)*Scoring_Rules!$C$9+IFERROR(INDEX(Scoring_Rules!$C$47:$C$50,MATCH(X343,Scoring_Rules!$B$47:$B$50,0)),0)*Scoring_Rules!$C$10+IFERROR(INDEX(Scoring_Rules!$C$28:$C$31,MATCH(R343,Scoring_Rules!$B$28:$B$31,0)),0)*Scoring_Rules!$C$11,1),"")</x:f>
        <x:v>47</x:v>
      </x:c>
      <x:c r="AF343" s="35">
        <x:v>6</x:v>
      </x:c>
      <x:c r="AG343" s="33" t="s">
        <x:v>1629</x:v>
      </x:c>
      <x:c r="AH343" s="36">
        <x:v>46357</x:v>
      </x:c>
      <x:c r="AI343" s="33" t="s">
        <x:v>126</x:v>
      </x:c>
      <x:c r="AJ343" s="34" t="s">
        <x:v>336</x:v>
      </x:c>
    </x:row>
    <x:row r="344" ht="15" customHeight="1">
      <x:c r="A344" s="31" t="s">
        <x:v>1736</x:v>
      </x:c>
      <x:c r="B344" s="31" t="s">
        <x:v>1737</x:v>
      </x:c>
      <x:c r="C344" s="31" t="s">
        <x:v>1623</x:v>
      </x:c>
      <x:c r="D344" s="32" t="s">
        <x:v>1624</x:v>
      </x:c>
      <x:c r="E344" s="32" t="str">
        <x:v>Functional Migration Only</x:v>
      </x:c>
      <x:c r="F344" s="33" t="s">
        <x:v>118</x:v>
      </x:c>
      <x:c r="G344" s="34" t="s">
        <x:v>1655</x:v>
      </x:c>
      <x:c r="H344" s="33" t="s">
        <x:v>87</x:v>
      </x:c>
      <x:c r="I344" s="33" t="s">
        <x:v>1626</x:v>
      </x:c>
      <x:c r="J344" s="33" t="s">
        <x:v>82</x:v>
      </x:c>
      <x:c r="K344" s="33" t="s">
        <x:v>60</x:v>
      </x:c>
      <x:c r="L344" s="33" t="s">
        <x:v>77</x:v>
      </x:c>
      <x:c r="M344" s="35">
        <x:v>36</x:v>
      </x:c>
      <x:c r="N344" s="35">
        <x:v>3740349</x:v>
      </x:c>
      <x:c r="O344" s="33" t="s">
        <x:v>73</x:v>
      </x:c>
      <x:c r="P344" s="33" t="s">
        <x:v>73</x:v>
      </x:c>
      <x:c r="Q344" s="33" t="s">
        <x:v>120</x:v>
      </x:c>
      <x:c r="R344" s="33" t="s">
        <x:v>115</x:v>
      </x:c>
      <x:c r="S344" s="31" t="s">
        <x:v>1723</x:v>
      </x:c>
      <x:c r="T344" s="31" t="s">
        <x:v>1724</x:v>
      </x:c>
      <x:c r="U344" s="31" t="s">
        <x:v>522</x:v>
      </x:c>
      <x:c r="V344" s="33" t="s">
        <x:v>277</x:v>
      </x:c>
      <x:c r="W344" s="33" t="s">
        <x:v>1697</x:v>
      </x:c>
      <x:c r="X344" s="33" t="s">
        <x:v>239</x:v>
      </x:c>
      <x:c r="Y344" s="36"/>
      <x:c r="Z344" s="36"/>
      <x:c r="AA344" s="33" t="s">
        <x:v>120</x:v>
      </x:c>
      <x:c r="AB344" s="37" t="n">
        <x:f>IFERROR(INDEX(Effort_Model!$J$6:$J$33,MATCH(K344&amp;"|"&amp;L344,Effort_Model!$B$6:$B$33,0)),"")</x:f>
        <x:v>42.4</x:v>
      </x:c>
      <x:c r="AC344" s="38">
        <x:v>737.1</x:v>
      </x:c>
      <x:c r="AD344" s="37">
        <x:f t="shared" si="5"/>
        <x:v>882.43330000000003</x:v>
      </x:c>
      <x:c r="AE344" s="37" t="n">
        <x:f>IFERROR(ROUND(IFERROR(INDEX(Scoring_Rules!$C$43:$C$44,MATCH(Q344,Scoring_Rules!$B$43:$B$44,0)),0)*Scoring_Rules!$C$6+IFERROR(INDEX(Scoring_Rules!$C$34:$C$40,MATCH(K344,Scoring_Rules!$B$34:$B$40,0)),0)*Scoring_Rules!$C$7+IFERROR(INDEX(Scoring_Rules!$C$16:$C$19,MATCH(P344,Scoring_Rules!$B$16:$B$19,0)),0)*Scoring_Rules!$C$8+IFERROR(INDEX(Scoring_Rules!$C$22:$C$25,MATCH(O344,Scoring_Rules!$B$22:$B$25,0)),0)*Scoring_Rules!$C$9+IFERROR(INDEX(Scoring_Rules!$C$47:$C$50,MATCH(X344,Scoring_Rules!$B$47:$B$50,0)),0)*Scoring_Rules!$C$10+IFERROR(INDEX(Scoring_Rules!$C$28:$C$31,MATCH(R344,Scoring_Rules!$B$28:$B$31,0)),0)*Scoring_Rules!$C$11,1),"")</x:f>
        <x:v>50</x:v>
      </x:c>
      <x:c r="AF344" s="35">
        <x:v>7</x:v>
      </x:c>
      <x:c r="AG344" s="33" t="s">
        <x:v>1634</x:v>
      </x:c>
      <x:c r="AH344" s="36">
        <x:v>46404</x:v>
      </x:c>
      <x:c r="AI344" s="33" t="s">
        <x:v>128</x:v>
      </x:c>
      <x:c r="AJ344" s="34" t="s">
        <x:v>395</x:v>
      </x:c>
    </x:row>
    <x:row r="345" ht="15" customHeight="1">
      <x:c r="A345" s="31" t="s">
        <x:v>1738</x:v>
      </x:c>
      <x:c r="B345" s="31" t="s">
        <x:v>1739</x:v>
      </x:c>
      <x:c r="C345" s="31" t="s">
        <x:v>1623</x:v>
      </x:c>
      <x:c r="D345" s="32" t="s">
        <x:v>1686</x:v>
      </x:c>
      <x:c r="E345" s="32" t="str">
        <x:v>Data Migration Only</x:v>
      </x:c>
      <x:c r="F345" s="33" t="s">
        <x:v>118</x:v>
      </x:c>
      <x:c r="G345" s="34" t="s">
        <x:v>1625</x:v>
      </x:c>
      <x:c r="H345" s="33" t="s">
        <x:v>87</x:v>
      </x:c>
      <x:c r="I345" s="33" t="s">
        <x:v>1626</x:v>
      </x:c>
      <x:c r="J345" s="33" t="s">
        <x:v>80</x:v>
      </x:c>
      <x:c r="K345" s="33" t="s">
        <x:v>62</x:v>
      </x:c>
      <x:c r="L345" s="33" t="s">
        <x:v>77</x:v>
      </x:c>
      <x:c r="M345" s="35">
        <x:v>71</x:v>
      </x:c>
      <x:c r="N345" s="35">
        <x:v>89499723</x:v>
      </x:c>
      <x:c r="O345" s="33" t="s">
        <x:v>98</x:v>
      </x:c>
      <x:c r="P345" s="33" t="s">
        <x:v>73</x:v>
      </x:c>
      <x:c r="Q345" s="33" t="s">
        <x:v>120</x:v>
      </x:c>
      <x:c r="R345" s="33" t="s">
        <x:v>98</x:v>
      </x:c>
      <x:c r="S345" s="31" t="s">
        <x:v>1740</x:v>
      </x:c>
      <x:c r="T345" s="31" t="s">
        <x:v>1741</x:v>
      </x:c>
      <x:c r="U345" s="31" t="s">
        <x:v>276</x:v>
      </x:c>
      <x:c r="V345" s="33" t="s">
        <x:v>365</x:v>
      </x:c>
      <x:c r="W345" s="33"/>
      <x:c r="X345" s="33" t="s">
        <x:v>238</x:v>
      </x:c>
      <x:c r="Y345" s="36"/>
      <x:c r="Z345" s="36"/>
      <x:c r="AA345" s="33" t="s">
        <x:v>120</x:v>
      </x:c>
      <x:c r="AB345" s="37" t="n">
        <x:f>IFERROR(INDEX(Effort_Model!$J$6:$J$33,MATCH(K345&amp;"|"&amp;L345,Effort_Model!$B$6:$B$33,0)),"")</x:f>
        <x:v>74.4</x:v>
      </x:c>
      <x:c r="AC345" s="38">
        <x:v>769.9</x:v>
      </x:c>
      <x:c r="AD345" s="37">
        <x:f t="shared" si="5"/>
        <x:v>1043.2332999999999</x:v>
      </x:c>
      <x:c r="AE345" s="37" t="n">
        <x:f>IFERROR(ROUND(IFERROR(INDEX(Scoring_Rules!$C$43:$C$44,MATCH(Q345,Scoring_Rules!$B$43:$B$44,0)),0)*Scoring_Rules!$C$6+IFERROR(INDEX(Scoring_Rules!$C$34:$C$40,MATCH(K345,Scoring_Rules!$B$34:$B$40,0)),0)*Scoring_Rules!$C$7+IFERROR(INDEX(Scoring_Rules!$C$16:$C$19,MATCH(P345,Scoring_Rules!$B$16:$B$19,0)),0)*Scoring_Rules!$C$8+IFERROR(INDEX(Scoring_Rules!$C$22:$C$25,MATCH(O345,Scoring_Rules!$B$22:$B$25,0)),0)*Scoring_Rules!$C$9+IFERROR(INDEX(Scoring_Rules!$C$47:$C$50,MATCH(X345,Scoring_Rules!$B$47:$B$50,0)),0)*Scoring_Rules!$C$10+IFERROR(INDEX(Scoring_Rules!$C$28:$C$31,MATCH(R345,Scoring_Rules!$B$28:$B$31,0)),0)*Scoring_Rules!$C$11,1),"")</x:f>
        <x:v>60</x:v>
      </x:c>
      <x:c r="AF345" s="35">
        <x:v>6</x:v>
      </x:c>
      <x:c r="AG345" s="33" t="s">
        <x:v>1639</x:v>
      </x:c>
      <x:c r="AH345" s="36">
        <x:v>46401</x:v>
      </x:c>
      <x:c r="AI345" s="33" t="s">
        <x:v>126</x:v>
      </x:c>
      <x:c r="AJ345" s="34"/>
    </x:row>
    <x:row r="346" ht="15" customHeight="1">
      <x:c r="A346" s="31" t="s">
        <x:v>1742</x:v>
      </x:c>
      <x:c r="B346" s="31" t="s">
        <x:v>1743</x:v>
      </x:c>
      <x:c r="C346" s="31" t="s">
        <x:v>1623</x:v>
      </x:c>
      <x:c r="D346" s="32" t="s">
        <x:v>1024</x:v>
      </x:c>
      <x:c r="E346" s="32" t="str">
        <x:v>Functional Migration Only</x:v>
      </x:c>
      <x:c r="F346" s="33" t="s">
        <x:v>118</x:v>
      </x:c>
      <x:c r="G346" s="34" t="s">
        <x:v>1648</x:v>
      </x:c>
      <x:c r="H346" s="33" t="s">
        <x:v>87</x:v>
      </x:c>
      <x:c r="I346" s="33" t="s">
        <x:v>1626</x:v>
      </x:c>
      <x:c r="J346" s="33" t="s">
        <x:v>82</x:v>
      </x:c>
      <x:c r="K346" s="33" t="s">
        <x:v>60</x:v>
      </x:c>
      <x:c r="L346" s="33" t="s">
        <x:v>75</x:v>
      </x:c>
      <x:c r="M346" s="35">
        <x:v>45</x:v>
      </x:c>
      <x:c r="N346" s="35">
        <x:v>4687516</x:v>
      </x:c>
      <x:c r="O346" s="33" t="s">
        <x:v>73</x:v>
      </x:c>
      <x:c r="P346" s="33" t="s">
        <x:v>101</x:v>
      </x:c>
      <x:c r="Q346" s="33" t="s">
        <x:v>120</x:v>
      </x:c>
      <x:c r="R346" s="33" t="s">
        <x:v>101</x:v>
      </x:c>
      <x:c r="S346" s="31" t="s">
        <x:v>1744</x:v>
      </x:c>
      <x:c r="T346" s="31" t="s">
        <x:v>1745</x:v>
      </x:c>
      <x:c r="U346" s="31" t="s">
        <x:v>522</x:v>
      </x:c>
      <x:c r="V346" s="33" t="s">
        <x:v>277</x:v>
      </x:c>
      <x:c r="W346" s="33"/>
      <x:c r="X346" s="33" t="s">
        <x:v>238</x:v>
      </x:c>
      <x:c r="Y346" s="36"/>
      <x:c r="Z346" s="36"/>
      <x:c r="AA346" s="33" t="s">
        <x:v>120</x:v>
      </x:c>
      <x:c r="AB346" s="37" t="n">
        <x:f>IFERROR(INDEX(Effort_Model!$J$6:$J$33,MATCH(K346&amp;"|"&amp;L346,Effort_Model!$B$6:$B$33,0)),"")</x:f>
        <x:v>42.4</x:v>
      </x:c>
      <x:c r="AC346" s="38">
        <x:v>533</x:v>
      </x:c>
      <x:c r="AD346" s="37">
        <x:f t="shared" si="5"/>
        <x:v>646.33330000000001</x:v>
      </x:c>
      <x:c r="AE346" s="37" t="n">
        <x:f>IFERROR(ROUND(IFERROR(INDEX(Scoring_Rules!$C$43:$C$44,MATCH(Q346,Scoring_Rules!$B$43:$B$44,0)),0)*Scoring_Rules!$C$6+IFERROR(INDEX(Scoring_Rules!$C$34:$C$40,MATCH(K346,Scoring_Rules!$B$34:$B$40,0)),0)*Scoring_Rules!$C$7+IFERROR(INDEX(Scoring_Rules!$C$16:$C$19,MATCH(P346,Scoring_Rules!$B$16:$B$19,0)),0)*Scoring_Rules!$C$8+IFERROR(INDEX(Scoring_Rules!$C$22:$C$25,MATCH(O346,Scoring_Rules!$B$22:$B$25,0)),0)*Scoring_Rules!$C$9+IFERROR(INDEX(Scoring_Rules!$C$47:$C$50,MATCH(X346,Scoring_Rules!$B$47:$B$50,0)),0)*Scoring_Rules!$C$10+IFERROR(INDEX(Scoring_Rules!$C$28:$C$31,MATCH(R346,Scoring_Rules!$B$28:$B$31,0)),0)*Scoring_Rules!$C$11,1),"")</x:f>
        <x:v>49.3</x:v>
      </x:c>
      <x:c r="AF346" s="35">
        <x:v>6</x:v>
      </x:c>
      <x:c r="AG346" s="33" t="s">
        <x:v>1645</x:v>
      </x:c>
      <x:c r="AH346" s="36">
        <x:v>46313</x:v>
      </x:c>
      <x:c r="AI346" s="33" t="s">
        <x:v>126</x:v>
      </x:c>
      <x:c r="AJ346" s="34"/>
    </x:row>
    <x:row r="347" ht="15" customHeight="1">
      <x:c r="A347" s="31" t="s">
        <x:v>1746</x:v>
      </x:c>
      <x:c r="B347" s="31" t="s">
        <x:v>1747</x:v>
      </x:c>
      <x:c r="C347" s="31" t="s">
        <x:v>1623</x:v>
      </x:c>
      <x:c r="D347" s="32" t="s">
        <x:v>1686</x:v>
      </x:c>
      <x:c r="E347" s="32" t="str">
        <x:v>Functional Migration Only</x:v>
      </x:c>
      <x:c r="F347" s="33" t="s">
        <x:v>118</x:v>
      </x:c>
      <x:c r="G347" s="34" t="s">
        <x:v>1648</x:v>
      </x:c>
      <x:c r="H347" s="33" t="s">
        <x:v>87</x:v>
      </x:c>
      <x:c r="I347" s="33" t="s">
        <x:v>1626</x:v>
      </x:c>
      <x:c r="J347" s="33" t="s">
        <x:v>82</x:v>
      </x:c>
      <x:c r="K347" s="33" t="s">
        <x:v>68</x:v>
      </x:c>
      <x:c r="L347" s="33" t="s">
        <x:v>77</x:v>
      </x:c>
      <x:c r="M347" s="35">
        <x:v>441</x:v>
      </x:c>
      <x:c r="N347" s="35">
        <x:v>199853955161</x:v>
      </x:c>
      <x:c r="O347" s="33" t="s">
        <x:v>103</x:v>
      </x:c>
      <x:c r="P347" s="33" t="s">
        <x:v>101</x:v>
      </x:c>
      <x:c r="Q347" s="33" t="s">
        <x:v>120</x:v>
      </x:c>
      <x:c r="R347" s="33" t="s">
        <x:v>101</x:v>
      </x:c>
      <x:c r="S347" s="31" t="s">
        <x:v>1740</x:v>
      </x:c>
      <x:c r="T347" s="31" t="s">
        <x:v>1741</x:v>
      </x:c>
      <x:c r="U347" s="31" t="s">
        <x:v>522</x:v>
      </x:c>
      <x:c r="V347" s="33" t="s">
        <x:v>365</x:v>
      </x:c>
      <x:c r="W347" s="33"/>
      <x:c r="X347" s="33" t="s">
        <x:v>238</x:v>
      </x:c>
      <x:c r="Y347" s="36">
        <x:v>46305</x:v>
      </x:c>
      <x:c r="Z347" s="36"/>
      <x:c r="AA347" s="33" t="s">
        <x:v>120</x:v>
      </x:c>
      <x:c r="AB347" s="37" t="n">
        <x:f>IFERROR(INDEX(Effort_Model!$J$6:$J$33,MATCH(K347&amp;"|"&amp;L347,Effort_Model!$B$6:$B$33,0)),"")</x:f>
        <x:v>170.4</x:v>
      </x:c>
      <x:c r="AC347" s="38">
        <x:v>4220.8</x:v>
      </x:c>
      <x:c r="AD347" s="37">
        <x:f t="shared" si="5"/>
        <x:v>4878.1333000000004</x:v>
      </x:c>
      <x:c r="AE347" s="37" t="n">
        <x:f>IFERROR(ROUND(IFERROR(INDEX(Scoring_Rules!$C$43:$C$44,MATCH(Q347,Scoring_Rules!$B$43:$B$44,0)),0)*Scoring_Rules!$C$6+IFERROR(INDEX(Scoring_Rules!$C$34:$C$40,MATCH(K347,Scoring_Rules!$B$34:$B$40,0)),0)*Scoring_Rules!$C$7+IFERROR(INDEX(Scoring_Rules!$C$16:$C$19,MATCH(P347,Scoring_Rules!$B$16:$B$19,0)),0)*Scoring_Rules!$C$8+IFERROR(INDEX(Scoring_Rules!$C$22:$C$25,MATCH(O347,Scoring_Rules!$B$22:$B$25,0)),0)*Scoring_Rules!$C$9+IFERROR(INDEX(Scoring_Rules!$C$47:$C$50,MATCH(X347,Scoring_Rules!$B$47:$B$50,0)),0)*Scoring_Rules!$C$10+IFERROR(INDEX(Scoring_Rules!$C$28:$C$31,MATCH(R347,Scoring_Rules!$B$28:$B$31,0)),0)*Scoring_Rules!$C$11,1),"")</x:f>
        <x:v>23.8</x:v>
      </x:c>
      <x:c r="AF347" s="35">
        <x:v>8</x:v>
      </x:c>
      <x:c r="AG347" s="33" t="s">
        <x:v>1629</x:v>
      </x:c>
      <x:c r="AH347" s="36">
        <x:v>46382</x:v>
      </x:c>
      <x:c r="AI347" s="33" t="s">
        <x:v>127</x:v>
      </x:c>
      <x:c r="AJ347" s="34" t="s">
        <x:v>395</x:v>
      </x:c>
    </x:row>
    <x:row r="348" ht="15" customHeight="1">
      <x:c r="A348" s="31" t="s">
        <x:v>1748</x:v>
      </x:c>
      <x:c r="B348" s="31" t="s">
        <x:v>1749</x:v>
      </x:c>
      <x:c r="C348" s="31" t="s">
        <x:v>1623</x:v>
      </x:c>
      <x:c r="D348" s="32" t="s">
        <x:v>1024</x:v>
      </x:c>
      <x:c r="E348" s="32" t="str">
        <x:v>Data Migration Only</x:v>
      </x:c>
      <x:c r="F348" s="33" t="s">
        <x:v>118</x:v>
      </x:c>
      <x:c r="G348" s="34" t="s">
        <x:v>1655</x:v>
      </x:c>
      <x:c r="H348" s="33" t="s">
        <x:v>87</x:v>
      </x:c>
      <x:c r="I348" s="33" t="s">
        <x:v>1626</x:v>
      </x:c>
      <x:c r="J348" s="33" t="s">
        <x:v>80</x:v>
      </x:c>
      <x:c r="K348" s="33" t="s">
        <x:v>58</x:v>
      </x:c>
      <x:c r="L348" s="33" t="s">
        <x:v>75</x:v>
      </x:c>
      <x:c r="M348" s="35">
        <x:v>30</x:v>
      </x:c>
      <x:c r="N348" s="35">
        <x:v>846764</x:v>
      </x:c>
      <x:c r="O348" s="33" t="s">
        <x:v>98</x:v>
      </x:c>
      <x:c r="P348" s="33" t="s">
        <x:v>73</x:v>
      </x:c>
      <x:c r="Q348" s="33" t="s">
        <x:v>120</x:v>
      </x:c>
      <x:c r="R348" s="33" t="s">
        <x:v>73</x:v>
      </x:c>
      <x:c r="S348" s="31" t="s">
        <x:v>1750</x:v>
      </x:c>
      <x:c r="T348" s="31" t="s">
        <x:v>1751</x:v>
      </x:c>
      <x:c r="U348" s="31" t="s">
        <x:v>276</x:v>
      </x:c>
      <x:c r="V348" s="33" t="s">
        <x:v>303</x:v>
      </x:c>
      <x:c r="W348" s="33" t="s">
        <x:v>1752</x:v>
      </x:c>
      <x:c r="X348" s="33" t="s">
        <x:v>240</x:v>
      </x:c>
      <x:c r="Y348" s="36"/>
      <x:c r="Z348" s="36"/>
      <x:c r="AA348" s="33" t="s">
        <x:v>120</x:v>
      </x:c>
      <x:c r="AB348" s="37" t="n">
        <x:f>IFERROR(INDEX(Effort_Model!$J$6:$J$33,MATCH(K348&amp;"|"&amp;L348,Effort_Model!$B$6:$B$33,0)),"")</x:f>
        <x:v>26.4</x:v>
      </x:c>
      <x:c r="AC348" s="38">
        <x:v>208.6</x:v>
      </x:c>
      <x:c r="AD348" s="37">
        <x:f t="shared" si="5"/>
        <x:v>273.93330000000003</x:v>
      </x:c>
      <x:c r="AE348" s="37" t="n">
        <x:f>IFERROR(ROUND(IFERROR(INDEX(Scoring_Rules!$C$43:$C$44,MATCH(Q348,Scoring_Rules!$B$43:$B$44,0)),0)*Scoring_Rules!$C$6+IFERROR(INDEX(Scoring_Rules!$C$34:$C$40,MATCH(K348,Scoring_Rules!$B$34:$B$40,0)),0)*Scoring_Rules!$C$7+IFERROR(INDEX(Scoring_Rules!$C$16:$C$19,MATCH(P348,Scoring_Rules!$B$16:$B$19,0)),0)*Scoring_Rules!$C$8+IFERROR(INDEX(Scoring_Rules!$C$22:$C$25,MATCH(O348,Scoring_Rules!$B$22:$B$25,0)),0)*Scoring_Rules!$C$9+IFERROR(INDEX(Scoring_Rules!$C$47:$C$50,MATCH(X348,Scoring_Rules!$B$47:$B$50,0)),0)*Scoring_Rules!$C$10+IFERROR(INDEX(Scoring_Rules!$C$28:$C$31,MATCH(R348,Scoring_Rules!$B$28:$B$31,0)),0)*Scoring_Rules!$C$11,1),"")</x:f>
        <x:v>55</x:v>
      </x:c>
      <x:c r="AF348" s="35">
        <x:v>4</x:v>
      </x:c>
      <x:c r="AG348" s="33" t="s">
        <x:v>1634</x:v>
      </x:c>
      <x:c r="AH348" s="36">
        <x:v>46353</x:v>
      </x:c>
      <x:c r="AI348" s="33" t="s">
        <x:v>125</x:v>
      </x:c>
      <x:c r="AJ348" s="34"/>
    </x:row>
    <x:row r="349" ht="15" customHeight="1">
      <x:c r="A349" s="31" t="s">
        <x:v>1753</x:v>
      </x:c>
      <x:c r="B349" s="31" t="s">
        <x:v>1754</x:v>
      </x:c>
      <x:c r="C349" s="31" t="s">
        <x:v>1623</x:v>
      </x:c>
      <x:c r="D349" s="32" t="s">
        <x:v>1024</x:v>
      </x:c>
      <x:c r="E349" s="32" t="str">
        <x:v>Functional Migration Only</x:v>
      </x:c>
      <x:c r="F349" s="33" t="s">
        <x:v>118</x:v>
      </x:c>
      <x:c r="G349" s="34" t="s">
        <x:v>1625</x:v>
      </x:c>
      <x:c r="H349" s="33" t="s">
        <x:v>87</x:v>
      </x:c>
      <x:c r="I349" s="33" t="s">
        <x:v>1626</x:v>
      </x:c>
      <x:c r="J349" s="33" t="s">
        <x:v>82</x:v>
      </x:c>
      <x:c r="K349" s="33" t="s">
        <x:v>64</x:v>
      </x:c>
      <x:c r="L349" s="33" t="s">
        <x:v>75</x:v>
      </x:c>
      <x:c r="M349" s="35">
        <x:v>95</x:v>
      </x:c>
      <x:c r="N349" s="35">
        <x:v>1121842378</x:v>
      </x:c>
      <x:c r="O349" s="33" t="s">
        <x:v>73</x:v>
      </x:c>
      <x:c r="P349" s="33" t="s">
        <x:v>73</x:v>
      </x:c>
      <x:c r="Q349" s="33" t="s">
        <x:v>120</x:v>
      </x:c>
      <x:c r="R349" s="33" t="s">
        <x:v>101</x:v>
      </x:c>
      <x:c r="S349" s="31" t="s">
        <x:v>1755</x:v>
      </x:c>
      <x:c r="T349" s="31" t="s">
        <x:v>1756</x:v>
      </x:c>
      <x:c r="U349" s="31" t="s">
        <x:v>276</x:v>
      </x:c>
      <x:c r="V349" s="33" t="s">
        <x:v>329</x:v>
      </x:c>
      <x:c r="W349" s="33" t="s">
        <x:v>1697</x:v>
      </x:c>
      <x:c r="X349" s="33" t="s">
        <x:v>239</x:v>
      </x:c>
      <x:c r="Y349" s="36">
        <x:v>46305</x:v>
      </x:c>
      <x:c r="Z349" s="36"/>
      <x:c r="AA349" s="33" t="s">
        <x:v>120</x:v>
      </x:c>
      <x:c r="AB349" s="37" t="n">
        <x:f>IFERROR(INDEX(Effort_Model!$J$6:$J$33,MATCH(K349&amp;"|"&amp;L349,Effort_Model!$B$6:$B$33,0)),"")</x:f>
        <x:v>106.4</x:v>
      </x:c>
      <x:c r="AC349" s="38">
        <x:v>1520.2</x:v>
      </x:c>
      <x:c r="AD349" s="37">
        <x:f t="shared" si="5"/>
        <x:v>1825.5333000000001</x:v>
      </x:c>
      <x:c r="AE349" s="37" t="n">
        <x:f>IFERROR(ROUND(IFERROR(INDEX(Scoring_Rules!$C$43:$C$44,MATCH(Q349,Scoring_Rules!$B$43:$B$44,0)),0)*Scoring_Rules!$C$6+IFERROR(INDEX(Scoring_Rules!$C$34:$C$40,MATCH(K349,Scoring_Rules!$B$34:$B$40,0)),0)*Scoring_Rules!$C$7+IFERROR(INDEX(Scoring_Rules!$C$16:$C$19,MATCH(P349,Scoring_Rules!$B$16:$B$19,0)),0)*Scoring_Rules!$C$8+IFERROR(INDEX(Scoring_Rules!$C$22:$C$25,MATCH(O349,Scoring_Rules!$B$22:$B$25,0)),0)*Scoring_Rules!$C$9+IFERROR(INDEX(Scoring_Rules!$C$47:$C$50,MATCH(X349,Scoring_Rules!$B$47:$B$50,0)),0)*Scoring_Rules!$C$10+IFERROR(INDEX(Scoring_Rules!$C$28:$C$31,MATCH(R349,Scoring_Rules!$B$28:$B$31,0)),0)*Scoring_Rules!$C$11,1),"")</x:f>
        <x:v>43.8</x:v>
      </x:c>
      <x:c r="AF349" s="35">
        <x:v>6</x:v>
      </x:c>
      <x:c r="AG349" s="33" t="s">
        <x:v>1639</x:v>
      </x:c>
      <x:c r="AH349" s="36">
        <x:v>46322</x:v>
      </x:c>
      <x:c r="AI349" s="33" t="s">
        <x:v>125</x:v>
      </x:c>
      <x:c r="AJ349" s="34" t="s">
        <x:v>354</x:v>
      </x:c>
    </x:row>
    <x:row r="350" ht="15" customHeight="1">
      <x:c r="A350" s="31" t="s">
        <x:v>1757</x:v>
      </x:c>
      <x:c r="B350" s="31" t="s">
        <x:v>1758</x:v>
      </x:c>
      <x:c r="C350" s="31" t="s">
        <x:v>1623</x:v>
      </x:c>
      <x:c r="D350" s="32" t="s">
        <x:v>1024</x:v>
      </x:c>
      <x:c r="E350" s="32" t="str">
        <x:v>Data Migration Only</x:v>
      </x:c>
      <x:c r="F350" s="33" t="s">
        <x:v>118</x:v>
      </x:c>
      <x:c r="G350" s="34" t="s">
        <x:v>1648</x:v>
      </x:c>
      <x:c r="H350" s="33" t="s">
        <x:v>87</x:v>
      </x:c>
      <x:c r="I350" s="33" t="s">
        <x:v>1626</x:v>
      </x:c>
      <x:c r="J350" s="33" t="s">
        <x:v>80</x:v>
      </x:c>
      <x:c r="K350" s="33" t="s">
        <x:v>64</x:v>
      </x:c>
      <x:c r="L350" s="33" t="s">
        <x:v>73</x:v>
      </x:c>
      <x:c r="M350" s="35">
        <x:v>89</x:v>
      </x:c>
      <x:c r="N350" s="35">
        <x:v>1117562921</x:v>
      </x:c>
      <x:c r="O350" s="33" t="s">
        <x:v>73</x:v>
      </x:c>
      <x:c r="P350" s="33" t="s">
        <x:v>73</x:v>
      </x:c>
      <x:c r="Q350" s="33" t="s">
        <x:v>120</x:v>
      </x:c>
      <x:c r="R350" s="33" t="s">
        <x:v>73</x:v>
      </x:c>
      <x:c r="S350" s="31" t="s">
        <x:v>1759</x:v>
      </x:c>
      <x:c r="T350" s="31" t="s">
        <x:v>1760</x:v>
      </x:c>
      <x:c r="U350" s="31" t="s">
        <x:v>477</x:v>
      </x:c>
      <x:c r="V350" s="33" t="s">
        <x:v>277</x:v>
      </x:c>
      <x:c r="W350" s="33"/>
      <x:c r="X350" s="33" t="s">
        <x:v>238</x:v>
      </x:c>
      <x:c r="Y350" s="36">
        <x:v>46649</x:v>
      </x:c>
      <x:c r="Z350" s="36"/>
      <x:c r="AA350" s="33" t="s">
        <x:v>120</x:v>
      </x:c>
      <x:c r="AB350" s="37" t="n">
        <x:f>IFERROR(INDEX(Effort_Model!$J$6:$J$33,MATCH(K350&amp;"|"&amp;L350,Effort_Model!$B$6:$B$33,0)),"")</x:f>
        <x:v>106.4</x:v>
      </x:c>
      <x:c r="AC350" s="38">
        <x:v>774.9</x:v>
      </x:c>
      <x:c r="AD350" s="37">
        <x:f t="shared" si="5"/>
        <x:v>979.9</x:v>
      </x:c>
      <x:c r="AE350" s="37" t="n">
        <x:f>IFERROR(ROUND(IFERROR(INDEX(Scoring_Rules!$C$43:$C$44,MATCH(Q350,Scoring_Rules!$B$43:$B$44,0)),0)*Scoring_Rules!$C$6+IFERROR(INDEX(Scoring_Rules!$C$34:$C$40,MATCH(K350,Scoring_Rules!$B$34:$B$40,0)),0)*Scoring_Rules!$C$7+IFERROR(INDEX(Scoring_Rules!$C$16:$C$19,MATCH(P350,Scoring_Rules!$B$16:$B$19,0)),0)*Scoring_Rules!$C$8+IFERROR(INDEX(Scoring_Rules!$C$22:$C$25,MATCH(O350,Scoring_Rules!$B$22:$B$25,0)),0)*Scoring_Rules!$C$9+IFERROR(INDEX(Scoring_Rules!$C$47:$C$50,MATCH(X350,Scoring_Rules!$B$47:$B$50,0)),0)*Scoring_Rules!$C$10+IFERROR(INDEX(Scoring_Rules!$C$28:$C$31,MATCH(R350,Scoring_Rules!$B$28:$B$31,0)),0)*Scoring_Rules!$C$11,1),"")</x:f>
        <x:v>50</x:v>
      </x:c>
      <x:c r="AF350" s="35">
        <x:v>4</x:v>
      </x:c>
      <x:c r="AG350" s="33" t="s">
        <x:v>1645</x:v>
      </x:c>
      <x:c r="AH350" s="36">
        <x:v>46306</x:v>
      </x:c>
      <x:c r="AI350" s="33" t="s">
        <x:v>124</x:v>
      </x:c>
      <x:c r="AJ350" s="34"/>
    </x:row>
    <x:row r="351" ht="15" customHeight="1">
      <x:c r="A351" s="31" t="s">
        <x:v>1761</x:v>
      </x:c>
      <x:c r="B351" s="31" t="s">
        <x:v>1762</x:v>
      </x:c>
      <x:c r="C351" s="31" t="s">
        <x:v>1623</x:v>
      </x:c>
      <x:c r="D351" s="32" t="s">
        <x:v>1024</x:v>
      </x:c>
      <x:c r="E351" s="32" t="str">
        <x:v>Functional Migration Only</x:v>
      </x:c>
      <x:c r="F351" s="33" t="s">
        <x:v>118</x:v>
      </x:c>
      <x:c r="G351" s="34" t="s">
        <x:v>1655</x:v>
      </x:c>
      <x:c r="H351" s="33" t="s">
        <x:v>87</x:v>
      </x:c>
      <x:c r="I351" s="33" t="s">
        <x:v>1626</x:v>
      </x:c>
      <x:c r="J351" s="33" t="s">
        <x:v>82</x:v>
      </x:c>
      <x:c r="K351" s="33" t="s">
        <x:v>64</x:v>
      </x:c>
      <x:c r="L351" s="33" t="s">
        <x:v>77</x:v>
      </x:c>
      <x:c r="M351" s="35">
        <x:v>89</x:v>
      </x:c>
      <x:c r="N351" s="35">
        <x:v>1474659756</x:v>
      </x:c>
      <x:c r="O351" s="33" t="s">
        <x:v>101</x:v>
      </x:c>
      <x:c r="P351" s="33" t="s">
        <x:v>73</x:v>
      </x:c>
      <x:c r="Q351" s="33" t="s">
        <x:v>120</x:v>
      </x:c>
      <x:c r="R351" s="33" t="s">
        <x:v>115</x:v>
      </x:c>
      <x:c r="S351" s="31" t="s">
        <x:v>1759</x:v>
      </x:c>
      <x:c r="T351" s="31" t="s">
        <x:v>1760</x:v>
      </x:c>
      <x:c r="U351" s="31" t="s">
        <x:v>276</x:v>
      </x:c>
      <x:c r="V351" s="33" t="s">
        <x:v>379</x:v>
      </x:c>
      <x:c r="W351" s="33" t="s">
        <x:v>1689</x:v>
      </x:c>
      <x:c r="X351" s="33" t="s">
        <x:v>240</x:v>
      </x:c>
      <x:c r="Y351" s="36"/>
      <x:c r="Z351" s="36"/>
      <x:c r="AA351" s="33" t="s">
        <x:v>120</x:v>
      </x:c>
      <x:c r="AB351" s="37" t="n">
        <x:f>IFERROR(INDEX(Effort_Model!$J$6:$J$33,MATCH(K351&amp;"|"&amp;L351,Effort_Model!$B$6:$B$33,0)),"")</x:f>
        <x:v>106.4</x:v>
      </x:c>
      <x:c r="AC351" s="38">
        <x:v>2063.6999999999998</x:v>
      </x:c>
      <x:c r="AD351" s="37">
        <x:f t="shared" si="5"/>
        <x:v>2465.0333000000001</x:v>
      </x:c>
      <x:c r="AE351" s="37" t="n">
        <x:f>IFERROR(ROUND(IFERROR(INDEX(Scoring_Rules!$C$43:$C$44,MATCH(Q351,Scoring_Rules!$B$43:$B$44,0)),0)*Scoring_Rules!$C$6+IFERROR(INDEX(Scoring_Rules!$C$34:$C$40,MATCH(K351,Scoring_Rules!$B$34:$B$40,0)),0)*Scoring_Rules!$C$7+IFERROR(INDEX(Scoring_Rules!$C$16:$C$19,MATCH(P351,Scoring_Rules!$B$16:$B$19,0)),0)*Scoring_Rules!$C$8+IFERROR(INDEX(Scoring_Rules!$C$22:$C$25,MATCH(O351,Scoring_Rules!$B$22:$B$25,0)),0)*Scoring_Rules!$C$9+IFERROR(INDEX(Scoring_Rules!$C$47:$C$50,MATCH(X351,Scoring_Rules!$B$47:$B$50,0)),0)*Scoring_Rules!$C$10+IFERROR(INDEX(Scoring_Rules!$C$28:$C$31,MATCH(R351,Scoring_Rules!$B$28:$B$31,0)),0)*Scoring_Rules!$C$11,1),"")</x:f>
        <x:v>30.8</x:v>
      </x:c>
      <x:c r="AF351" s="35">
        <x:v>8</x:v>
      </x:c>
      <x:c r="AG351" s="33" t="s">
        <x:v>1629</x:v>
      </x:c>
      <x:c r="AH351" s="36">
        <x:v>46312</x:v>
      </x:c>
      <x:c r="AI351" s="33" t="s">
        <x:v>127</x:v>
      </x:c>
      <x:c r="AJ351" s="34" t="s">
        <x:v>336</x:v>
      </x:c>
    </x:row>
    <x:row r="352" ht="15" customHeight="1">
      <x:c r="A352" s="31" t="s">
        <x:v>1763</x:v>
      </x:c>
      <x:c r="B352" s="31" t="s">
        <x:v>1764</x:v>
      </x:c>
      <x:c r="C352" s="31" t="s">
        <x:v>1623</x:v>
      </x:c>
      <x:c r="D352" s="32" t="s">
        <x:v>1730</x:v>
      </x:c>
      <x:c r="E352" s="32" t="str">
        <x:v>Functional Migration Only</x:v>
      </x:c>
      <x:c r="F352" s="33" t="s">
        <x:v>118</x:v>
      </x:c>
      <x:c r="G352" s="34" t="s">
        <x:v>1648</x:v>
      </x:c>
      <x:c r="H352" s="33" t="s">
        <x:v>87</x:v>
      </x:c>
      <x:c r="I352" s="33" t="s">
        <x:v>1626</x:v>
      </x:c>
      <x:c r="J352" s="33" t="s">
        <x:v>82</x:v>
      </x:c>
      <x:c r="K352" s="33" t="s">
        <x:v>60</x:v>
      </x:c>
      <x:c r="L352" s="33" t="s">
        <x:v>73</x:v>
      </x:c>
      <x:c r="M352" s="35">
        <x:v>36</x:v>
      </x:c>
      <x:c r="N352" s="35">
        <x:v>4756433</x:v>
      </x:c>
      <x:c r="O352" s="33" t="s">
        <x:v>98</x:v>
      </x:c>
      <x:c r="P352" s="33" t="s">
        <x:v>101</x:v>
      </x:c>
      <x:c r="Q352" s="33" t="s">
        <x:v>120</x:v>
      </x:c>
      <x:c r="R352" s="33" t="s">
        <x:v>73</x:v>
      </x:c>
      <x:c r="S352" s="31" t="s">
        <x:v>1759</x:v>
      </x:c>
      <x:c r="T352" s="31" t="s">
        <x:v>1760</x:v>
      </x:c>
      <x:c r="U352" s="31" t="s">
        <x:v>276</x:v>
      </x:c>
      <x:c r="V352" s="33" t="s">
        <x:v>379</x:v>
      </x:c>
      <x:c r="W352" s="33" t="s">
        <x:v>1738</x:v>
      </x:c>
      <x:c r="X352" s="33" t="s">
        <x:v>240</x:v>
      </x:c>
      <x:c r="Y352" s="36">
        <x:v>46681</x:v>
      </x:c>
      <x:c r="Z352" s="36"/>
      <x:c r="AA352" s="33" t="s">
        <x:v>120</x:v>
      </x:c>
      <x:c r="AB352" s="37" t="n">
        <x:f>IFERROR(INDEX(Effort_Model!$J$6:$J$33,MATCH(K352&amp;"|"&amp;L352,Effort_Model!$B$6:$B$33,0)),"")</x:f>
        <x:v>42.4</x:v>
      </x:c>
      <x:c r="AC352" s="38">
        <x:v>438.7</x:v>
      </x:c>
      <x:c r="AD352" s="37">
        <x:f t="shared" si="5"/>
        <x:v>515.70000000000005</x:v>
      </x:c>
      <x:c r="AE352" s="37" t="n">
        <x:f>IFERROR(ROUND(IFERROR(INDEX(Scoring_Rules!$C$43:$C$44,MATCH(Q352,Scoring_Rules!$B$43:$B$44,0)),0)*Scoring_Rules!$C$6+IFERROR(INDEX(Scoring_Rules!$C$34:$C$40,MATCH(K352,Scoring_Rules!$B$34:$B$40,0)),0)*Scoring_Rules!$C$7+IFERROR(INDEX(Scoring_Rules!$C$16:$C$19,MATCH(P352,Scoring_Rules!$B$16:$B$19,0)),0)*Scoring_Rules!$C$8+IFERROR(INDEX(Scoring_Rules!$C$22:$C$25,MATCH(O352,Scoring_Rules!$B$22:$B$25,0)),0)*Scoring_Rules!$C$9+IFERROR(INDEX(Scoring_Rules!$C$47:$C$50,MATCH(X352,Scoring_Rules!$B$47:$B$50,0)),0)*Scoring_Rules!$C$10+IFERROR(INDEX(Scoring_Rules!$C$28:$C$31,MATCH(R352,Scoring_Rules!$B$28:$B$31,0)),0)*Scoring_Rules!$C$11,1),"")</x:f>
        <x:v>45</x:v>
      </x:c>
      <x:c r="AF352" s="35">
        <x:v>3</x:v>
      </x:c>
      <x:c r="AG352" s="33" t="s">
        <x:v>1634</x:v>
      </x:c>
      <x:c r="AH352" s="36">
        <x:v>46354</x:v>
      </x:c>
      <x:c r="AI352" s="33" t="s">
        <x:v>127</x:v>
      </x:c>
      <x:c r="AJ352" s="34" t="s">
        <x:v>354</x:v>
      </x:c>
    </x:row>
    <x:row r="353" ht="23.25" customHeight="1">
      <x:c r="A353" s="31" t="s">
        <x:v>1765</x:v>
      </x:c>
      <x:c r="B353" s="31" t="s">
        <x:v>1766</x:v>
      </x:c>
      <x:c r="C353" s="31" t="s">
        <x:v>1623</x:v>
      </x:c>
      <x:c r="D353" s="32" t="s">
        <x:v>1767</x:v>
      </x:c>
      <x:c r="E353" s="32" t="str">
        <x:v>Data Migration Only</x:v>
      </x:c>
      <x:c r="F353" s="33" t="s">
        <x:v>120</x:v>
      </x:c>
      <x:c r="G353" s="34" t="s">
        <x:v>1655</x:v>
      </x:c>
      <x:c r="H353" s="33" t="s">
        <x:v>87</x:v>
      </x:c>
      <x:c r="I353" s="33" t="s">
        <x:v>1626</x:v>
      </x:c>
      <x:c r="J353" s="33" t="s">
        <x:v>80</x:v>
      </x:c>
      <x:c r="K353" s="33" t="s">
        <x:v>66</x:v>
      </x:c>
      <x:c r="L353" s="33" t="s">
        <x:v>77</x:v>
      </x:c>
      <x:c r="M353" s="35">
        <x:v>183</x:v>
      </x:c>
      <x:c r="N353" s="35">
        <x:v>12946073463</x:v>
      </x:c>
      <x:c r="O353" s="33" t="s">
        <x:v>103</x:v>
      </x:c>
      <x:c r="P353" s="33" t="s">
        <x:v>98</x:v>
      </x:c>
      <x:c r="Q353" s="33" t="s">
        <x:v>120</x:v>
      </x:c>
      <x:c r="R353" s="33" t="s">
        <x:v>73</x:v>
      </x:c>
      <x:c r="S353" s="31" t="s">
        <x:v>1768</x:v>
      </x:c>
      <x:c r="T353" s="31" t="s">
        <x:v>1769</x:v>
      </x:c>
      <x:c r="U353" s="31" t="s">
        <x:v>276</x:v>
      </x:c>
      <x:c r="V353" s="33" t="s">
        <x:v>365</x:v>
      </x:c>
      <x:c r="W353" s="33" t="s">
        <x:v>1675</x:v>
      </x:c>
      <x:c r="X353" s="33" t="s">
        <x:v>240</x:v>
      </x:c>
      <x:c r="Y353" s="36">
        <x:v>46624</x:v>
      </x:c>
      <x:c r="Z353" s="36"/>
      <x:c r="AA353" s="33" t="s">
        <x:v>120</x:v>
      </x:c>
      <x:c r="AB353" s="37" t="n">
        <x:f>IFERROR(INDEX(Effort_Model!$J$6:$J$33,MATCH(K353&amp;"|"&amp;L353,Effort_Model!$B$6:$B$33,0)),"")</x:f>
        <x:v>138.4</x:v>
      </x:c>
      <x:c r="AC353" s="38">
        <x:v>1919.7</x:v>
      </x:c>
      <x:c r="AD353" s="37">
        <x:f t="shared" si="5"/>
        <x:v>2449.0333000000001</x:v>
      </x:c>
      <x:c r="AE353" s="37" t="n">
        <x:f>IFERROR(ROUND(IFERROR(INDEX(Scoring_Rules!$C$43:$C$44,MATCH(Q353,Scoring_Rules!$B$43:$B$44,0)),0)*Scoring_Rules!$C$6+IFERROR(INDEX(Scoring_Rules!$C$34:$C$40,MATCH(K353,Scoring_Rules!$B$34:$B$40,0)),0)*Scoring_Rules!$C$7+IFERROR(INDEX(Scoring_Rules!$C$16:$C$19,MATCH(P353,Scoring_Rules!$B$16:$B$19,0)),0)*Scoring_Rules!$C$8+IFERROR(INDEX(Scoring_Rules!$C$22:$C$25,MATCH(O353,Scoring_Rules!$B$22:$B$25,0)),0)*Scoring_Rules!$C$9+IFERROR(INDEX(Scoring_Rules!$C$47:$C$50,MATCH(X353,Scoring_Rules!$B$47:$B$50,0)),0)*Scoring_Rules!$C$10+IFERROR(INDEX(Scoring_Rules!$C$28:$C$31,MATCH(R353,Scoring_Rules!$B$28:$B$31,0)),0)*Scoring_Rules!$C$11,1),"")</x:f>
        <x:v>32</x:v>
      </x:c>
      <x:c r="AF353" s="35">
        <x:v>8</x:v>
      </x:c>
      <x:c r="AG353" s="33" t="s">
        <x:v>1639</x:v>
      </x:c>
      <x:c r="AH353" s="36">
        <x:v>46391</x:v>
      </x:c>
      <x:c r="AI353" s="33" t="s">
        <x:v>125</x:v>
      </x:c>
      <x:c r="AJ353" s="34" t="s">
        <x:v>445</x:v>
      </x:c>
    </x:row>
    <x:row r="354" ht="23.25" customHeight="1">
      <x:c r="A354" s="31" t="s">
        <x:v>1770</x:v>
      </x:c>
      <x:c r="B354" s="31" t="s">
        <x:v>1771</x:v>
      </x:c>
      <x:c r="C354" s="31" t="s">
        <x:v>1623</x:v>
      </x:c>
      <x:c r="D354" s="32" t="s">
        <x:v>1669</x:v>
      </x:c>
      <x:c r="E354" s="32" t="str">
        <x:v>Functional Migration Only</x:v>
      </x:c>
      <x:c r="F354" s="33" t="s">
        <x:v>118</x:v>
      </x:c>
      <x:c r="G354" s="34" t="s">
        <x:v>1655</x:v>
      </x:c>
      <x:c r="H354" s="33" t="s">
        <x:v>87</x:v>
      </x:c>
      <x:c r="I354" s="33" t="s">
        <x:v>1626</x:v>
      </x:c>
      <x:c r="J354" s="33" t="s">
        <x:v>82</x:v>
      </x:c>
      <x:c r="K354" s="33" t="s">
        <x:v>62</x:v>
      </x:c>
      <x:c r="L354" s="33" t="s">
        <x:v>77</x:v>
      </x:c>
      <x:c r="M354" s="35">
        <x:v>72</x:v>
      </x:c>
      <x:c r="N354" s="35">
        <x:v>105361042</x:v>
      </x:c>
      <x:c r="O354" s="33" t="s">
        <x:v>73</x:v>
      </x:c>
      <x:c r="P354" s="33" t="s">
        <x:v>98</x:v>
      </x:c>
      <x:c r="Q354" s="33" t="s">
        <x:v>120</x:v>
      </x:c>
      <x:c r="R354" s="33" t="s">
        <x:v>115</x:v>
      </x:c>
      <x:c r="S354" s="31" t="s">
        <x:v>968</x:v>
      </x:c>
      <x:c r="T354" s="31" t="s">
        <x:v>969</x:v>
      </x:c>
      <x:c r="U354" s="31" t="s">
        <x:v>276</x:v>
      </x:c>
      <x:c r="V354" s="33" t="s">
        <x:v>289</x:v>
      </x:c>
      <x:c r="W354" s="33"/>
      <x:c r="X354" s="33" t="s">
        <x:v>238</x:v>
      </x:c>
      <x:c r="Y354" s="36"/>
      <x:c r="Z354" s="36"/>
      <x:c r="AA354" s="33" t="s">
        <x:v>120</x:v>
      </x:c>
      <x:c r="AB354" s="37" t="n">
        <x:f>IFERROR(INDEX(Effort_Model!$J$6:$J$33,MATCH(K354&amp;"|"&amp;L354,Effort_Model!$B$6:$B$33,0)),"")</x:f>
        <x:v>74.4</x:v>
      </x:c>
      <x:c r="AC354" s="38">
        <x:v>1264.5</x:v>
      </x:c>
      <x:c r="AD354" s="37">
        <x:f t="shared" si="5"/>
        <x:v>1537.8333</x:v>
      </x:c>
      <x:c r="AE354" s="37" t="n">
        <x:f>IFERROR(ROUND(IFERROR(INDEX(Scoring_Rules!$C$43:$C$44,MATCH(Q354,Scoring_Rules!$B$43:$B$44,0)),0)*Scoring_Rules!$C$6+IFERROR(INDEX(Scoring_Rules!$C$34:$C$40,MATCH(K354,Scoring_Rules!$B$34:$B$40,0)),0)*Scoring_Rules!$C$7+IFERROR(INDEX(Scoring_Rules!$C$16:$C$19,MATCH(P354,Scoring_Rules!$B$16:$B$19,0)),0)*Scoring_Rules!$C$8+IFERROR(INDEX(Scoring_Rules!$C$22:$C$25,MATCH(O354,Scoring_Rules!$B$22:$B$25,0)),0)*Scoring_Rules!$C$9+IFERROR(INDEX(Scoring_Rules!$C$47:$C$50,MATCH(X354,Scoring_Rules!$B$47:$B$50,0)),0)*Scoring_Rules!$C$10+IFERROR(INDEX(Scoring_Rules!$C$28:$C$31,MATCH(R354,Scoring_Rules!$B$28:$B$31,0)),0)*Scoring_Rules!$C$11,1),"")</x:f>
        <x:v>56.5</x:v>
      </x:c>
      <x:c r="AF354" s="35">
        <x:v>6</x:v>
      </x:c>
      <x:c r="AG354" s="33" t="s">
        <x:v>1645</x:v>
      </x:c>
      <x:c r="AH354" s="36">
        <x:v>46383</x:v>
      </x:c>
      <x:c r="AI354" s="33" t="s">
        <x:v>127</x:v>
      </x:c>
      <x:c r="AJ354" s="34"/>
    </x:row>
    <x:row r="355" ht="23.25" customHeight="1">
      <x:c r="A355" s="31" t="s">
        <x:v>1772</x:v>
      </x:c>
      <x:c r="B355" s="31" t="s">
        <x:v>1773</x:v>
      </x:c>
      <x:c r="C355" s="31" t="s">
        <x:v>1623</x:v>
      </x:c>
      <x:c r="D355" s="32" t="s">
        <x:v>1669</x:v>
      </x:c>
      <x:c r="E355" s="32" t="str">
        <x:v>Data Migration Only</x:v>
      </x:c>
      <x:c r="F355" s="33" t="s">
        <x:v>118</x:v>
      </x:c>
      <x:c r="G355" s="34" t="s">
        <x:v>1625</x:v>
      </x:c>
      <x:c r="H355" s="33" t="s">
        <x:v>87</x:v>
      </x:c>
      <x:c r="I355" s="33" t="s">
        <x:v>1626</x:v>
      </x:c>
      <x:c r="J355" s="33" t="s">
        <x:v>80</x:v>
      </x:c>
      <x:c r="K355" s="33" t="s">
        <x:v>64</x:v>
      </x:c>
      <x:c r="L355" s="33" t="s">
        <x:v>75</x:v>
      </x:c>
      <x:c r="M355" s="35">
        <x:v>126</x:v>
      </x:c>
      <x:c r="N355" s="35">
        <x:v>1275400334</x:v>
      </x:c>
      <x:c r="O355" s="33" t="s">
        <x:v>101</x:v>
      </x:c>
      <x:c r="P355" s="33" t="s">
        <x:v>73</x:v>
      </x:c>
      <x:c r="Q355" s="33" t="s">
        <x:v>120</x:v>
      </x:c>
      <x:c r="R355" s="33" t="s">
        <x:v>101</x:v>
      </x:c>
      <x:c r="S355" s="31" t="s">
        <x:v>968</x:v>
      </x:c>
      <x:c r="T355" s="31" t="s">
        <x:v>969</x:v>
      </x:c>
      <x:c r="U355" s="31" t="s">
        <x:v>276</x:v>
      </x:c>
      <x:c r="V355" s="33" t="s">
        <x:v>365</x:v>
      </x:c>
      <x:c r="W355" s="33"/>
      <x:c r="X355" s="33" t="s">
        <x:v>238</x:v>
      </x:c>
      <x:c r="Y355" s="36"/>
      <x:c r="Z355" s="36"/>
      <x:c r="AA355" s="33" t="s">
        <x:v>120</x:v>
      </x:c>
      <x:c r="AB355" s="37" t="n">
        <x:f>IFERROR(INDEX(Effort_Model!$J$6:$J$33,MATCH(K355&amp;"|"&amp;L355,Effort_Model!$B$6:$B$33,0)),"")</x:f>
        <x:v>106.4</x:v>
      </x:c>
      <x:c r="AC355" s="38">
        <x:v>962.6</x:v>
      </x:c>
      <x:c r="AD355" s="37">
        <x:f t="shared" si="5"/>
        <x:v>1267.9333000000001</x:v>
      </x:c>
      <x:c r="AE355" s="37" t="n">
        <x:f>IFERROR(ROUND(IFERROR(INDEX(Scoring_Rules!$C$43:$C$44,MATCH(Q355,Scoring_Rules!$B$43:$B$44,0)),0)*Scoring_Rules!$C$6+IFERROR(INDEX(Scoring_Rules!$C$34:$C$40,MATCH(K355,Scoring_Rules!$B$34:$B$40,0)),0)*Scoring_Rules!$C$7+IFERROR(INDEX(Scoring_Rules!$C$16:$C$19,MATCH(P355,Scoring_Rules!$B$16:$B$19,0)),0)*Scoring_Rules!$C$8+IFERROR(INDEX(Scoring_Rules!$C$22:$C$25,MATCH(O355,Scoring_Rules!$B$22:$B$25,0)),0)*Scoring_Rules!$C$9+IFERROR(INDEX(Scoring_Rules!$C$47:$C$50,MATCH(X355,Scoring_Rules!$B$47:$B$50,0)),0)*Scoring_Rules!$C$10+IFERROR(INDEX(Scoring_Rules!$C$28:$C$31,MATCH(R355,Scoring_Rules!$B$28:$B$31,0)),0)*Scoring_Rules!$C$11,1),"")</x:f>
        <x:v>43</x:v>
      </x:c>
      <x:c r="AF355" s="35">
        <x:v>6</x:v>
      </x:c>
      <x:c r="AG355" s="33" t="s">
        <x:v>1629</x:v>
      </x:c>
      <x:c r="AH355" s="36">
        <x:v>46381</x:v>
      </x:c>
      <x:c r="AI355" s="33" t="s">
        <x:v>127</x:v>
      </x:c>
      <x:c r="AJ355" s="34"/>
    </x:row>
    <x:row r="356" ht="23.25" customHeight="1">
      <x:c r="A356" s="31" t="s">
        <x:v>1774</x:v>
      </x:c>
      <x:c r="B356" s="31" t="s">
        <x:v>1775</x:v>
      </x:c>
      <x:c r="C356" s="31" t="s">
        <x:v>1623</x:v>
      </x:c>
      <x:c r="D356" s="32" t="s">
        <x:v>1642</x:v>
      </x:c>
      <x:c r="E356" s="32" t="str">
        <x:v>Functional Migration Only</x:v>
      </x:c>
      <x:c r="F356" s="33" t="s">
        <x:v>118</x:v>
      </x:c>
      <x:c r="G356" s="34" t="s">
        <x:v>1638</x:v>
      </x:c>
      <x:c r="H356" s="33" t="s">
        <x:v>87</x:v>
      </x:c>
      <x:c r="I356" s="33" t="s">
        <x:v>1626</x:v>
      </x:c>
      <x:c r="J356" s="33" t="s">
        <x:v>82</x:v>
      </x:c>
      <x:c r="K356" s="33" t="s">
        <x:v>64</x:v>
      </x:c>
      <x:c r="L356" s="33" t="s">
        <x:v>75</x:v>
      </x:c>
      <x:c r="M356" s="35">
        <x:v>108</x:v>
      </x:c>
      <x:c r="N356" s="35">
        <x:v>741339779</x:v>
      </x:c>
      <x:c r="O356" s="33" t="s">
        <x:v>73</x:v>
      </x:c>
      <x:c r="P356" s="33" t="s">
        <x:v>73</x:v>
      </x:c>
      <x:c r="Q356" s="33" t="s">
        <x:v>120</x:v>
      </x:c>
      <x:c r="R356" s="33" t="s">
        <x:v>115</x:v>
      </x:c>
      <x:c r="S356" s="31" t="s">
        <x:v>968</x:v>
      </x:c>
      <x:c r="T356" s="31" t="s">
        <x:v>1776</x:v>
      </x:c>
      <x:c r="U356" s="31" t="s">
        <x:v>276</x:v>
      </x:c>
      <x:c r="V356" s="33" t="s">
        <x:v>444</x:v>
      </x:c>
      <x:c r="W356" s="33"/>
      <x:c r="X356" s="33" t="s">
        <x:v>238</x:v>
      </x:c>
      <x:c r="Y356" s="36">
        <x:v>46629</x:v>
      </x:c>
      <x:c r="Z356" s="36"/>
      <x:c r="AA356" s="33" t="s">
        <x:v>120</x:v>
      </x:c>
      <x:c r="AB356" s="37" t="n">
        <x:f>IFERROR(INDEX(Effort_Model!$J$6:$J$33,MATCH(K356&amp;"|"&amp;L356,Effort_Model!$B$6:$B$33,0)),"")</x:f>
        <x:v>106.4</x:v>
      </x:c>
      <x:c r="AC356" s="38">
        <x:v>1593</x:v>
      </x:c>
      <x:c r="AD356" s="37">
        <x:f t="shared" si="5"/>
        <x:v>1898.3333</x:v>
      </x:c>
      <x:c r="AE356" s="37" t="n">
        <x:f>IFERROR(ROUND(IFERROR(INDEX(Scoring_Rules!$C$43:$C$44,MATCH(Q356,Scoring_Rules!$B$43:$B$44,0)),0)*Scoring_Rules!$C$6+IFERROR(INDEX(Scoring_Rules!$C$34:$C$40,MATCH(K356,Scoring_Rules!$B$34:$B$40,0)),0)*Scoring_Rules!$C$7+IFERROR(INDEX(Scoring_Rules!$C$16:$C$19,MATCH(P356,Scoring_Rules!$B$16:$B$19,0)),0)*Scoring_Rules!$C$8+IFERROR(INDEX(Scoring_Rules!$C$22:$C$25,MATCH(O356,Scoring_Rules!$B$22:$B$25,0)),0)*Scoring_Rules!$C$9+IFERROR(INDEX(Scoring_Rules!$C$47:$C$50,MATCH(X356,Scoring_Rules!$B$47:$B$50,0)),0)*Scoring_Rules!$C$10+IFERROR(INDEX(Scoring_Rules!$C$28:$C$31,MATCH(R356,Scoring_Rules!$B$28:$B$31,0)),0)*Scoring_Rules!$C$11,1),"")</x:f>
        <x:v>46.5</x:v>
      </x:c>
      <x:c r="AF356" s="35">
        <x:v>6</x:v>
      </x:c>
      <x:c r="AG356" s="33" t="s">
        <x:v>1634</x:v>
      </x:c>
      <x:c r="AH356" s="36">
        <x:v>46300</x:v>
      </x:c>
      <x:c r="AI356" s="33" t="s">
        <x:v>127</x:v>
      </x:c>
      <x:c r="AJ356" s="34" t="s">
        <x:v>342</x:v>
      </x:c>
    </x:row>
    <x:row r="357" ht="15" customHeight="1">
      <x:c r="A357" s="31" t="s">
        <x:v>1777</x:v>
      </x:c>
      <x:c r="B357" s="31" t="s">
        <x:v>1778</x:v>
      </x:c>
      <x:c r="C357" s="31" t="s">
        <x:v>1623</x:v>
      </x:c>
      <x:c r="D357" s="32" t="s">
        <x:v>1624</x:v>
      </x:c>
      <x:c r="E357" s="32" t="str">
        <x:v>Data Migration Only</x:v>
      </x:c>
      <x:c r="F357" s="33" t="s">
        <x:v>118</x:v>
      </x:c>
      <x:c r="G357" s="34" t="s">
        <x:v>1648</x:v>
      </x:c>
      <x:c r="H357" s="33" t="s">
        <x:v>87</x:v>
      </x:c>
      <x:c r="I357" s="33" t="s">
        <x:v>1626</x:v>
      </x:c>
      <x:c r="J357" s="33" t="s">
        <x:v>80</x:v>
      </x:c>
      <x:c r="K357" s="33" t="s">
        <x:v>64</x:v>
      </x:c>
      <x:c r="L357" s="33" t="s">
        <x:v>77</x:v>
      </x:c>
      <x:c r="M357" s="35">
        <x:v>143</x:v>
      </x:c>
      <x:c r="N357" s="35">
        <x:v>1344495770</x:v>
      </x:c>
      <x:c r="O357" s="33" t="s">
        <x:v>101</x:v>
      </x:c>
      <x:c r="P357" s="33" t="s">
        <x:v>109</x:v>
      </x:c>
      <x:c r="Q357" s="33" t="s">
        <x:v>120</x:v>
      </x:c>
      <x:c r="R357" s="33" t="s">
        <x:v>101</x:v>
      </x:c>
      <x:c r="S357" s="31" t="s">
        <x:v>968</x:v>
      </x:c>
      <x:c r="T357" s="31" t="s">
        <x:v>1776</x:v>
      </x:c>
      <x:c r="U357" s="31" t="s">
        <x:v>522</x:v>
      </x:c>
      <x:c r="V357" s="33" t="s">
        <x:v>277</x:v>
      </x:c>
      <x:c r="W357" s="33"/>
      <x:c r="X357" s="33" t="s">
        <x:v>238</x:v>
      </x:c>
      <x:c r="Y357" s="36">
        <x:v>46560</x:v>
      </x:c>
      <x:c r="Z357" s="36"/>
      <x:c r="AA357" s="33" t="s">
        <x:v>120</x:v>
      </x:c>
      <x:c r="AB357" s="37" t="n">
        <x:f>IFERROR(INDEX(Effort_Model!$J$6:$J$33,MATCH(K357&amp;"|"&amp;L357,Effort_Model!$B$6:$B$33,0)),"")</x:f>
        <x:v>106.4</x:v>
      </x:c>
      <x:c r="AC357" s="38">
        <x:v>1387.8</x:v>
      </x:c>
      <x:c r="AD357" s="37">
        <x:f t="shared" si="5"/>
        <x:v>1789.1333</x:v>
      </x:c>
      <x:c r="AE357" s="37" t="n">
        <x:f>IFERROR(ROUND(IFERROR(INDEX(Scoring_Rules!$C$43:$C$44,MATCH(Q357,Scoring_Rules!$B$43:$B$44,0)),0)*Scoring_Rules!$C$6+IFERROR(INDEX(Scoring_Rules!$C$34:$C$40,MATCH(K357,Scoring_Rules!$B$34:$B$40,0)),0)*Scoring_Rules!$C$7+IFERROR(INDEX(Scoring_Rules!$C$16:$C$19,MATCH(P357,Scoring_Rules!$B$16:$B$19,0)),0)*Scoring_Rules!$C$8+IFERROR(INDEX(Scoring_Rules!$C$22:$C$25,MATCH(O357,Scoring_Rules!$B$22:$B$25,0)),0)*Scoring_Rules!$C$9+IFERROR(INDEX(Scoring_Rules!$C$47:$C$50,MATCH(X357,Scoring_Rules!$B$47:$B$50,0)),0)*Scoring_Rules!$C$10+IFERROR(INDEX(Scoring_Rules!$C$28:$C$31,MATCH(R357,Scoring_Rules!$B$28:$B$31,0)),0)*Scoring_Rules!$C$11,1),"")</x:f>
        <x:v>29</x:v>
      </x:c>
      <x:c r="AF357" s="35">
        <x:v>8</x:v>
      </x:c>
      <x:c r="AG357" s="33" t="s">
        <x:v>1639</x:v>
      </x:c>
      <x:c r="AH357" s="36">
        <x:v>46312</x:v>
      </x:c>
      <x:c r="AI357" s="33" t="s">
        <x:v>127</x:v>
      </x:c>
      <x:c r="AJ357" s="34"/>
    </x:row>
    <x:row r="358" ht="15" customHeight="1">
      <x:c r="A358" s="31" t="s">
        <x:v>1779</x:v>
      </x:c>
      <x:c r="B358" s="31" t="s">
        <x:v>1780</x:v>
      </x:c>
      <x:c r="C358" s="31" t="s">
        <x:v>1623</x:v>
      </x:c>
      <x:c r="D358" s="32" t="s">
        <x:v>1730</x:v>
      </x:c>
      <x:c r="E358" s="32" t="str">
        <x:v>Data Migration Only</x:v>
      </x:c>
      <x:c r="F358" s="33" t="s">
        <x:v>118</x:v>
      </x:c>
      <x:c r="G358" s="34" t="s">
        <x:v>1648</x:v>
      </x:c>
      <x:c r="H358" s="33" t="s">
        <x:v>87</x:v>
      </x:c>
      <x:c r="I358" s="33" t="s">
        <x:v>1626</x:v>
      </x:c>
      <x:c r="J358" s="33" t="s">
        <x:v>80</x:v>
      </x:c>
      <x:c r="K358" s="33" t="s">
        <x:v>64</x:v>
      </x:c>
      <x:c r="L358" s="33" t="s">
        <x:v>71</x:v>
      </x:c>
      <x:c r="M358" s="35">
        <x:v>82</x:v>
      </x:c>
      <x:c r="N358" s="35">
        <x:v>924886732</x:v>
      </x:c>
      <x:c r="O358" s="33" t="s">
        <x:v>73</x:v>
      </x:c>
      <x:c r="P358" s="33" t="s">
        <x:v>73</x:v>
      </x:c>
      <x:c r="Q358" s="33" t="s">
        <x:v>120</x:v>
      </x:c>
      <x:c r="R358" s="33" t="s">
        <x:v>73</x:v>
      </x:c>
      <x:c r="S358" s="31" t="s">
        <x:v>968</x:v>
      </x:c>
      <x:c r="T358" s="31" t="s">
        <x:v>1776</x:v>
      </x:c>
      <x:c r="U358" s="31" t="s">
        <x:v>522</x:v>
      </x:c>
      <x:c r="V358" s="33" t="s">
        <x:v>289</x:v>
      </x:c>
      <x:c r="W358" s="33"/>
      <x:c r="X358" s="33" t="s">
        <x:v>238</x:v>
      </x:c>
      <x:c r="Y358" s="36"/>
      <x:c r="Z358" s="36"/>
      <x:c r="AA358" s="33" t="s">
        <x:v>120</x:v>
      </x:c>
      <x:c r="AB358" s="37" t="n">
        <x:f>IFERROR(INDEX(Effort_Model!$J$6:$J$33,MATCH(K358&amp;"|"&amp;L358,Effort_Model!$B$6:$B$33,0)),"")</x:f>
        <x:v>18.4</x:v>
      </x:c>
      <x:c r="AC358" s="38">
        <x:v>626.70000000000005</x:v>
      </x:c>
      <x:c r="AD358" s="37">
        <x:f t="shared" si="5"/>
        <x:v>733.1</x:v>
      </x:c>
      <x:c r="AE358" s="37" t="n">
        <x:f>IFERROR(ROUND(IFERROR(INDEX(Scoring_Rules!$C$43:$C$44,MATCH(Q358,Scoring_Rules!$B$43:$B$44,0)),0)*Scoring_Rules!$C$6+IFERROR(INDEX(Scoring_Rules!$C$34:$C$40,MATCH(K358,Scoring_Rules!$B$34:$B$40,0)),0)*Scoring_Rules!$C$7+IFERROR(INDEX(Scoring_Rules!$C$16:$C$19,MATCH(P358,Scoring_Rules!$B$16:$B$19,0)),0)*Scoring_Rules!$C$8+IFERROR(INDEX(Scoring_Rules!$C$22:$C$25,MATCH(O358,Scoring_Rules!$B$22:$B$25,0)),0)*Scoring_Rules!$C$9+IFERROR(INDEX(Scoring_Rules!$C$47:$C$50,MATCH(X358,Scoring_Rules!$B$47:$B$50,0)),0)*Scoring_Rules!$C$10+IFERROR(INDEX(Scoring_Rules!$C$28:$C$31,MATCH(R358,Scoring_Rules!$B$28:$B$31,0)),0)*Scoring_Rules!$C$11,1),"")</x:f>
        <x:v>50</x:v>
      </x:c>
      <x:c r="AF358" s="35">
        <x:v>3</x:v>
      </x:c>
      <x:c r="AG358" s="33" t="s">
        <x:v>1645</x:v>
      </x:c>
      <x:c r="AH358" s="36">
        <x:v>46362</x:v>
      </x:c>
      <x:c r="AI358" s="33" t="s">
        <x:v>125</x:v>
      </x:c>
      <x:c r="AJ358" s="34" t="s">
        <x:v>342</x:v>
      </x:c>
    </x:row>
    <x:row r="359" ht="23.25" customHeight="1">
      <x:c r="A359" s="31" t="s">
        <x:v>1781</x:v>
      </x:c>
      <x:c r="B359" s="31" t="s">
        <x:v>1782</x:v>
      </x:c>
      <x:c r="C359" s="31" t="s">
        <x:v>1623</x:v>
      </x:c>
      <x:c r="D359" s="32" t="s">
        <x:v>1783</x:v>
      </x:c>
      <x:c r="E359" s="32" t="str">
        <x:v>Functional Migration Only</x:v>
      </x:c>
      <x:c r="F359" s="33" t="s">
        <x:v>118</x:v>
      </x:c>
      <x:c r="G359" s="34" t="s">
        <x:v>1625</x:v>
      </x:c>
      <x:c r="H359" s="33" t="s">
        <x:v>87</x:v>
      </x:c>
      <x:c r="I359" s="33" t="s">
        <x:v>1626</x:v>
      </x:c>
      <x:c r="J359" s="33" t="s">
        <x:v>82</x:v>
      </x:c>
      <x:c r="K359" s="33" t="s">
        <x:v>64</x:v>
      </x:c>
      <x:c r="L359" s="33" t="s">
        <x:v>73</x:v>
      </x:c>
      <x:c r="M359" s="35">
        <x:v>91</x:v>
      </x:c>
      <x:c r="N359" s="35">
        <x:v>984764402</x:v>
      </x:c>
      <x:c r="O359" s="33" t="s">
        <x:v>101</x:v>
      </x:c>
      <x:c r="P359" s="33" t="s">
        <x:v>73</x:v>
      </x:c>
      <x:c r="Q359" s="33" t="s">
        <x:v>120</x:v>
      </x:c>
      <x:c r="R359" s="33" t="s">
        <x:v>101</x:v>
      </x:c>
      <x:c r="S359" s="31" t="s">
        <x:v>1784</x:v>
      </x:c>
      <x:c r="T359" s="31" t="s">
        <x:v>1785</x:v>
      </x:c>
      <x:c r="U359" s="31" t="s">
        <x:v>522</x:v>
      </x:c>
      <x:c r="V359" s="33" t="s">
        <x:v>379</x:v>
      </x:c>
      <x:c r="W359" s="33" t="s">
        <x:v>1770</x:v>
      </x:c>
      <x:c r="X359" s="33" t="s">
        <x:v>240</x:v>
      </x:c>
      <x:c r="Y359" s="36"/>
      <x:c r="Z359" s="36"/>
      <x:c r="AA359" s="33" t="s">
        <x:v>120</x:v>
      </x:c>
      <x:c r="AB359" s="37" t="n">
        <x:f>IFERROR(INDEX(Effort_Model!$J$6:$J$33,MATCH(K359&amp;"|"&amp;L359,Effort_Model!$B$6:$B$33,0)),"")</x:f>
        <x:v>106.4</x:v>
      </x:c>
      <x:c r="AC359" s="38">
        <x:v>1099.5</x:v>
      </x:c>
      <x:c r="AD359" s="37">
        <x:f t="shared" si="5"/>
        <x:v>1304.5</x:v>
      </x:c>
      <x:c r="AE359" s="37" t="n">
        <x:f>IFERROR(ROUND(IFERROR(INDEX(Scoring_Rules!$C$43:$C$44,MATCH(Q359,Scoring_Rules!$B$43:$B$44,0)),0)*Scoring_Rules!$C$6+IFERROR(INDEX(Scoring_Rules!$C$34:$C$40,MATCH(K359,Scoring_Rules!$B$34:$B$40,0)),0)*Scoring_Rules!$C$7+IFERROR(INDEX(Scoring_Rules!$C$16:$C$19,MATCH(P359,Scoring_Rules!$B$16:$B$19,0)),0)*Scoring_Rules!$C$8+IFERROR(INDEX(Scoring_Rules!$C$22:$C$25,MATCH(O359,Scoring_Rules!$B$22:$B$25,0)),0)*Scoring_Rules!$C$9+IFERROR(INDEX(Scoring_Rules!$C$47:$C$50,MATCH(X359,Scoring_Rules!$B$47:$B$50,0)),0)*Scoring_Rules!$C$10+IFERROR(INDEX(Scoring_Rules!$C$28:$C$31,MATCH(R359,Scoring_Rules!$B$28:$B$31,0)),0)*Scoring_Rules!$C$11,1),"")</x:f>
        <x:v>32.5</x:v>
      </x:c>
      <x:c r="AF359" s="35">
        <x:v>5</x:v>
      </x:c>
      <x:c r="AG359" s="33" t="s">
        <x:v>1629</x:v>
      </x:c>
      <x:c r="AH359" s="36">
        <x:v>46305</x:v>
      </x:c>
      <x:c r="AI359" s="33" t="s">
        <x:v>126</x:v>
      </x:c>
      <x:c r="AJ359" s="34"/>
    </x:row>
    <x:row r="360" ht="15" customHeight="1">
      <x:c r="A360" s="31" t="s">
        <x:v>1786</x:v>
      </x:c>
      <x:c r="B360" s="31" t="s">
        <x:v>1787</x:v>
      </x:c>
      <x:c r="C360" s="31" t="s">
        <x:v>1623</x:v>
      </x:c>
      <x:c r="D360" s="32" t="s">
        <x:v>1624</x:v>
      </x:c>
      <x:c r="E360" s="32" t="str">
        <x:v>Data Migration Only</x:v>
      </x:c>
      <x:c r="F360" s="33" t="s">
        <x:v>118</x:v>
      </x:c>
      <x:c r="G360" s="34" t="s">
        <x:v>1648</x:v>
      </x:c>
      <x:c r="H360" s="33" t="s">
        <x:v>87</x:v>
      </x:c>
      <x:c r="I360" s="33" t="s">
        <x:v>1626</x:v>
      </x:c>
      <x:c r="J360" s="33" t="s">
        <x:v>80</x:v>
      </x:c>
      <x:c r="K360" s="33" t="s">
        <x:v>60</x:v>
      </x:c>
      <x:c r="L360" s="33" t="s">
        <x:v>77</x:v>
      </x:c>
      <x:c r="M360" s="35">
        <x:v>39</x:v>
      </x:c>
      <x:c r="N360" s="35">
        <x:v>4175925</x:v>
      </x:c>
      <x:c r="O360" s="33" t="s">
        <x:v>103</x:v>
      </x:c>
      <x:c r="P360" s="33" t="s">
        <x:v>101</x:v>
      </x:c>
      <x:c r="Q360" s="33" t="s">
        <x:v>120</x:v>
      </x:c>
      <x:c r="R360" s="33" t="s">
        <x:v>101</x:v>
      </x:c>
      <x:c r="S360" s="31" t="s">
        <x:v>1788</x:v>
      </x:c>
      <x:c r="T360" s="31" t="s">
        <x:v>1789</x:v>
      </x:c>
      <x:c r="U360" s="31" t="s">
        <x:v>276</x:v>
      </x:c>
      <x:c r="V360" s="33" t="s">
        <x:v>303</x:v>
      </x:c>
      <x:c r="W360" s="33" t="s">
        <x:v>1757</x:v>
      </x:c>
      <x:c r="X360" s="33" t="s">
        <x:v>239</x:v>
      </x:c>
      <x:c r="Y360" s="36">
        <x:v>46318</x:v>
      </x:c>
      <x:c r="Z360" s="36"/>
      <x:c r="AA360" s="33" t="s">
        <x:v>120</x:v>
      </x:c>
      <x:c r="AB360" s="37" t="n">
        <x:f>IFERROR(INDEX(Effort_Model!$J$6:$J$33,MATCH(K360&amp;"|"&amp;L360,Effort_Model!$B$6:$B$33,0)),"")</x:f>
        <x:v>42.4</x:v>
      </x:c>
      <x:c r="AC360" s="38">
        <x:v>444.7</x:v>
      </x:c>
      <x:c r="AD360" s="37">
        <x:f t="shared" si="5"/>
        <x:v>590.03330000000005</x:v>
      </x:c>
      <x:c r="AE360" s="37" t="n">
        <x:f>IFERROR(ROUND(IFERROR(INDEX(Scoring_Rules!$C$43:$C$44,MATCH(Q360,Scoring_Rules!$B$43:$B$44,0)),0)*Scoring_Rules!$C$6+IFERROR(INDEX(Scoring_Rules!$C$34:$C$40,MATCH(K360,Scoring_Rules!$B$34:$B$40,0)),0)*Scoring_Rules!$C$7+IFERROR(INDEX(Scoring_Rules!$C$16:$C$19,MATCH(P360,Scoring_Rules!$B$16:$B$19,0)),0)*Scoring_Rules!$C$8+IFERROR(INDEX(Scoring_Rules!$C$22:$C$25,MATCH(O360,Scoring_Rules!$B$22:$B$25,0)),0)*Scoring_Rules!$C$9+IFERROR(INDEX(Scoring_Rules!$C$47:$C$50,MATCH(X360,Scoring_Rules!$B$47:$B$50,0)),0)*Scoring_Rules!$C$10+IFERROR(INDEX(Scoring_Rules!$C$28:$C$31,MATCH(R360,Scoring_Rules!$B$28:$B$31,0)),0)*Scoring_Rules!$C$11,1),"")</x:f>
        <x:v>34.3</x:v>
      </x:c>
      <x:c r="AF360" s="35">
        <x:v>8</x:v>
      </x:c>
      <x:c r="AG360" s="33" t="s">
        <x:v>1634</x:v>
      </x:c>
      <x:c r="AH360" s="36">
        <x:v>46343</x:v>
      </x:c>
      <x:c r="AI360" s="33" t="s">
        <x:v>125</x:v>
      </x:c>
      <x:c r="AJ360" s="34" t="s">
        <x:v>312</x:v>
      </x:c>
    </x:row>
    <x:row r="361" ht="23.25" customHeight="1">
      <x:c r="A361" s="31" t="s">
        <x:v>1790</x:v>
      </x:c>
      <x:c r="B361" s="31" t="s">
        <x:v>1791</x:v>
      </x:c>
      <x:c r="C361" s="31" t="s">
        <x:v>1623</x:v>
      </x:c>
      <x:c r="D361" s="32" t="s">
        <x:v>1642</x:v>
      </x:c>
      <x:c r="E361" s="32" t="str">
        <x:v>Functional Migration Only</x:v>
      </x:c>
      <x:c r="F361" s="33" t="s">
        <x:v>118</x:v>
      </x:c>
      <x:c r="G361" s="34" t="s">
        <x:v>1655</x:v>
      </x:c>
      <x:c r="H361" s="33" t="s">
        <x:v>87</x:v>
      </x:c>
      <x:c r="I361" s="33" t="s">
        <x:v>1626</x:v>
      </x:c>
      <x:c r="J361" s="33" t="s">
        <x:v>82</x:v>
      </x:c>
      <x:c r="K361" s="33" t="s">
        <x:v>64</x:v>
      </x:c>
      <x:c r="L361" s="33" t="s">
        <x:v>77</x:v>
      </x:c>
      <x:c r="M361" s="35">
        <x:v>91</x:v>
      </x:c>
      <x:c r="N361" s="35">
        <x:v>1261951231</x:v>
      </x:c>
      <x:c r="O361" s="33" t="s">
        <x:v>103</x:v>
      </x:c>
      <x:c r="P361" s="33" t="s">
        <x:v>101</x:v>
      </x:c>
      <x:c r="Q361" s="33" t="s">
        <x:v>120</x:v>
      </x:c>
      <x:c r="R361" s="33" t="s">
        <x:v>101</x:v>
      </x:c>
      <x:c r="S361" s="31" t="s">
        <x:v>1792</x:v>
      </x:c>
      <x:c r="T361" s="31" t="s">
        <x:v>1793</x:v>
      </x:c>
      <x:c r="U361" s="31" t="s">
        <x:v>276</x:v>
      </x:c>
      <x:c r="V361" s="33" t="s">
        <x:v>303</x:v>
      </x:c>
      <x:c r="W361" s="33"/>
      <x:c r="X361" s="33" t="s">
        <x:v>238</x:v>
      </x:c>
      <x:c r="Y361" s="36"/>
      <x:c r="Z361" s="36"/>
      <x:c r="AA361" s="33" t="s">
        <x:v>120</x:v>
      </x:c>
      <x:c r="AB361" s="37" t="n">
        <x:f>IFERROR(INDEX(Effort_Model!$J$6:$J$33,MATCH(K361&amp;"|"&amp;L361,Effort_Model!$B$6:$B$33,0)),"")</x:f>
        <x:v>106.4</x:v>
      </x:c>
      <x:c r="AC361" s="38">
        <x:v>2009.1</x:v>
      </x:c>
      <x:c r="AD361" s="37">
        <x:f t="shared" si="5"/>
        <x:v>2410.4332999999997</x:v>
      </x:c>
      <x:c r="AE361" s="37" t="n">
        <x:f>IFERROR(ROUND(IFERROR(INDEX(Scoring_Rules!$C$43:$C$44,MATCH(Q361,Scoring_Rules!$B$43:$B$44,0)),0)*Scoring_Rules!$C$6+IFERROR(INDEX(Scoring_Rules!$C$34:$C$40,MATCH(K361,Scoring_Rules!$B$34:$B$40,0)),0)*Scoring_Rules!$C$7+IFERROR(INDEX(Scoring_Rules!$C$16:$C$19,MATCH(P361,Scoring_Rules!$B$16:$B$19,0)),0)*Scoring_Rules!$C$8+IFERROR(INDEX(Scoring_Rules!$C$22:$C$25,MATCH(O361,Scoring_Rules!$B$22:$B$25,0)),0)*Scoring_Rules!$C$9+IFERROR(INDEX(Scoring_Rules!$C$47:$C$50,MATCH(X361,Scoring_Rules!$B$47:$B$50,0)),0)*Scoring_Rules!$C$10+IFERROR(INDEX(Scoring_Rules!$C$28:$C$31,MATCH(R361,Scoring_Rules!$B$28:$B$31,0)),0)*Scoring_Rules!$C$11,1),"")</x:f>
        <x:v>30.8</x:v>
      </x:c>
      <x:c r="AF361" s="35">
        <x:v>8</x:v>
      </x:c>
      <x:c r="AG361" s="33" t="s">
        <x:v>1639</x:v>
      </x:c>
      <x:c r="AH361" s="36">
        <x:v>46385</x:v>
      </x:c>
      <x:c r="AI361" s="33" t="s">
        <x:v>124</x:v>
      </x:c>
      <x:c r="AJ361" s="34"/>
    </x:row>
    <x:row r="362" ht="15" customHeight="1">
      <x:c r="A362" s="31" t="s">
        <x:v>1794</x:v>
      </x:c>
      <x:c r="B362" s="31" t="s">
        <x:v>1795</x:v>
      </x:c>
      <x:c r="C362" s="31" t="s">
        <x:v>1623</x:v>
      </x:c>
      <x:c r="D362" s="32" t="s">
        <x:v>1686</x:v>
      </x:c>
      <x:c r="E362" s="32" t="str">
        <x:v>Functional Migration Only</x:v>
      </x:c>
      <x:c r="F362" s="33" t="s">
        <x:v>118</x:v>
      </x:c>
      <x:c r="G362" s="34" t="s">
        <x:v>1625</x:v>
      </x:c>
      <x:c r="H362" s="33" t="s">
        <x:v>87</x:v>
      </x:c>
      <x:c r="I362" s="33" t="s">
        <x:v>1626</x:v>
      </x:c>
      <x:c r="J362" s="33" t="s">
        <x:v>82</x:v>
      </x:c>
      <x:c r="K362" s="33" t="s">
        <x:v>62</x:v>
      </x:c>
      <x:c r="L362" s="33" t="s">
        <x:v>77</x:v>
      </x:c>
      <x:c r="M362" s="35">
        <x:v>72</x:v>
      </x:c>
      <x:c r="N362" s="35">
        <x:v>52480408</x:v>
      </x:c>
      <x:c r="O362" s="33" t="s">
        <x:v>101</x:v>
      </x:c>
      <x:c r="P362" s="33" t="s">
        <x:v>101</x:v>
      </x:c>
      <x:c r="Q362" s="33" t="s">
        <x:v>120</x:v>
      </x:c>
      <x:c r="R362" s="33" t="s">
        <x:v>73</x:v>
      </x:c>
      <x:c r="S362" s="31" t="s">
        <x:v>1796</x:v>
      </x:c>
      <x:c r="T362" s="31" t="s">
        <x:v>1797</x:v>
      </x:c>
      <x:c r="U362" s="31" t="s">
        <x:v>276</x:v>
      </x:c>
      <x:c r="V362" s="33" t="s">
        <x:v>277</x:v>
      </x:c>
      <x:c r="W362" s="33"/>
      <x:c r="X362" s="33" t="s">
        <x:v>238</x:v>
      </x:c>
      <x:c r="Y362" s="36"/>
      <x:c r="Z362" s="36"/>
      <x:c r="AA362" s="33" t="s">
        <x:v>120</x:v>
      </x:c>
      <x:c r="AB362" s="37" t="n">
        <x:f>IFERROR(INDEX(Effort_Model!$J$6:$J$33,MATCH(K362&amp;"|"&amp;L362,Effort_Model!$B$6:$B$33,0)),"")</x:f>
        <x:v>74.4</x:v>
      </x:c>
      <x:c r="AC362" s="38">
        <x:v>1257.7</x:v>
      </x:c>
      <x:c r="AD362" s="37">
        <x:f t="shared" si="5"/>
        <x:v>1531.0333000000001</x:v>
      </x:c>
      <x:c r="AE362" s="37" t="n">
        <x:f>IFERROR(ROUND(IFERROR(INDEX(Scoring_Rules!$C$43:$C$44,MATCH(Q362,Scoring_Rules!$B$43:$B$44,0)),0)*Scoring_Rules!$C$6+IFERROR(INDEX(Scoring_Rules!$C$34:$C$40,MATCH(K362,Scoring_Rules!$B$34:$B$40,0)),0)*Scoring_Rules!$C$7+IFERROR(INDEX(Scoring_Rules!$C$16:$C$19,MATCH(P362,Scoring_Rules!$B$16:$B$19,0)),0)*Scoring_Rules!$C$8+IFERROR(INDEX(Scoring_Rules!$C$22:$C$25,MATCH(O362,Scoring_Rules!$B$22:$B$25,0)),0)*Scoring_Rules!$C$9+IFERROR(INDEX(Scoring_Rules!$C$47:$C$50,MATCH(X362,Scoring_Rules!$B$47:$B$50,0)),0)*Scoring_Rules!$C$10+IFERROR(INDEX(Scoring_Rules!$C$28:$C$31,MATCH(R362,Scoring_Rules!$B$28:$B$31,0)),0)*Scoring_Rules!$C$11,1),"")</x:f>
        <x:v>41.8</x:v>
      </x:c>
      <x:c r="AF362" s="35">
        <x:v>8</x:v>
      </x:c>
      <x:c r="AG362" s="33" t="s">
        <x:v>1645</x:v>
      </x:c>
      <x:c r="AH362" s="36">
        <x:v>46364</x:v>
      </x:c>
      <x:c r="AI362" s="33" t="s">
        <x:v>124</x:v>
      </x:c>
      <x:c r="AJ362" s="34" t="s">
        <x:v>395</x:v>
      </x:c>
    </x:row>
    <x:row r="363" ht="23.25" customHeight="1">
      <x:c r="A363" s="31" t="s">
        <x:v>1798</x:v>
      </x:c>
      <x:c r="B363" s="31" t="s">
        <x:v>1799</x:v>
      </x:c>
      <x:c r="C363" s="31" t="s">
        <x:v>1623</x:v>
      </x:c>
      <x:c r="D363" s="32" t="s">
        <x:v>1642</x:v>
      </x:c>
      <x:c r="E363" s="32" t="str">
        <x:v>Functional Migration Only</x:v>
      </x:c>
      <x:c r="F363" s="33" t="s">
        <x:v>118</x:v>
      </x:c>
      <x:c r="G363" s="34" t="s">
        <x:v>1625</x:v>
      </x:c>
      <x:c r="H363" s="33" t="s">
        <x:v>87</x:v>
      </x:c>
      <x:c r="I363" s="33" t="s">
        <x:v>1626</x:v>
      </x:c>
      <x:c r="J363" s="33" t="s">
        <x:v>82</x:v>
      </x:c>
      <x:c r="K363" s="33" t="s">
        <x:v>62</x:v>
      </x:c>
      <x:c r="L363" s="33" t="s">
        <x:v>75</x:v>
      </x:c>
      <x:c r="M363" s="35">
        <x:v>50</x:v>
      </x:c>
      <x:c r="N363" s="35">
        <x:v>77496252</x:v>
      </x:c>
      <x:c r="O363" s="33" t="s">
        <x:v>98</x:v>
      </x:c>
      <x:c r="P363" s="33" t="s">
        <x:v>101</x:v>
      </x:c>
      <x:c r="Q363" s="33" t="s">
        <x:v>120</x:v>
      </x:c>
      <x:c r="R363" s="33" t="s">
        <x:v>115</x:v>
      </x:c>
      <x:c r="S363" s="31" t="s">
        <x:v>1011</x:v>
      </x:c>
      <x:c r="T363" s="31" t="s">
        <x:v>1012</x:v>
      </x:c>
      <x:c r="U363" s="31" t="s">
        <x:v>276</x:v>
      </x:c>
      <x:c r="V363" s="33" t="s">
        <x:v>289</x:v>
      </x:c>
      <x:c r="W363" s="33" t="s">
        <x:v>1757</x:v>
      </x:c>
      <x:c r="X363" s="33" t="s">
        <x:v>240</x:v>
      </x:c>
      <x:c r="Y363" s="36"/>
      <x:c r="Z363" s="36"/>
      <x:c r="AA363" s="33" t="s">
        <x:v>118</x:v>
      </x:c>
      <x:c r="AB363" s="37" t="n">
        <x:f>IFERROR(INDEX(Effort_Model!$J$6:$J$33,MATCH(K363&amp;"|"&amp;L363,Effort_Model!$B$6:$B$33,0)),"")</x:f>
        <x:v>74.4</x:v>
      </x:c>
      <x:c r="AC363" s="38">
        <x:v>1063.7</x:v>
      </x:c>
      <x:c r="AD363" s="37">
        <x:f t="shared" si="5"/>
        <x:v>1273.0333000000001</x:v>
      </x:c>
      <x:c r="AE363" s="37" t="n">
        <x:f>IFERROR(ROUND(IFERROR(INDEX(Scoring_Rules!$C$43:$C$44,MATCH(Q363,Scoring_Rules!$B$43:$B$44,0)),0)*Scoring_Rules!$C$6+IFERROR(INDEX(Scoring_Rules!$C$34:$C$40,MATCH(K363,Scoring_Rules!$B$34:$B$40,0)),0)*Scoring_Rules!$C$7+IFERROR(INDEX(Scoring_Rules!$C$16:$C$19,MATCH(P363,Scoring_Rules!$B$16:$B$19,0)),0)*Scoring_Rules!$C$8+IFERROR(INDEX(Scoring_Rules!$C$22:$C$25,MATCH(O363,Scoring_Rules!$B$22:$B$25,0)),0)*Scoring_Rules!$C$9+IFERROR(INDEX(Scoring_Rules!$C$47:$C$50,MATCH(X363,Scoring_Rules!$B$47:$B$50,0)),0)*Scoring_Rules!$C$10+IFERROR(INDEX(Scoring_Rules!$C$28:$C$31,MATCH(R363,Scoring_Rules!$B$28:$B$31,0)),0)*Scoring_Rules!$C$11,1),"")</x:f>
        <x:v>37.5</x:v>
      </x:c>
      <x:c r="AF363" s="35"/>
      <x:c r="AG363" s="33" t="s">
        <x:v>1629</x:v>
      </x:c>
      <x:c r="AH363" s="36">
        <x:v>46332</x:v>
      </x:c>
      <x:c r="AI363" s="33" t="s">
        <x:v>127</x:v>
      </x:c>
      <x:c r="AJ363" s="34"/>
    </x:row>
    <x:row r="364" ht="15" customHeight="1">
      <x:c r="A364" s="31" t="s">
        <x:v>1800</x:v>
      </x:c>
      <x:c r="B364" s="31" t="s">
        <x:v>1801</x:v>
      </x:c>
      <x:c r="C364" s="31" t="s">
        <x:v>1623</x:v>
      </x:c>
      <x:c r="D364" s="32" t="s">
        <x:v>1686</x:v>
      </x:c>
      <x:c r="E364" s="32" t="str">
        <x:v>Data Migration Only</x:v>
      </x:c>
      <x:c r="F364" s="33" t="s">
        <x:v>120</x:v>
      </x:c>
      <x:c r="G364" s="34" t="s">
        <x:v>1638</x:v>
      </x:c>
      <x:c r="H364" s="33" t="s">
        <x:v>87</x:v>
      </x:c>
      <x:c r="I364" s="33" t="s">
        <x:v>1626</x:v>
      </x:c>
      <x:c r="J364" s="33" t="s">
        <x:v>80</x:v>
      </x:c>
      <x:c r="K364" s="33" t="s">
        <x:v>62</x:v>
      </x:c>
      <x:c r="L364" s="33" t="s">
        <x:v>73</x:v>
      </x:c>
      <x:c r="M364" s="35">
        <x:v>55</x:v>
      </x:c>
      <x:c r="N364" s="35">
        <x:v>75555452</x:v>
      </x:c>
      <x:c r="O364" s="33" t="s">
        <x:v>101</x:v>
      </x:c>
      <x:c r="P364" s="33" t="s">
        <x:v>98</x:v>
      </x:c>
      <x:c r="Q364" s="33" t="s">
        <x:v>120</x:v>
      </x:c>
      <x:c r="R364" s="33" t="s">
        <x:v>101</x:v>
      </x:c>
      <x:c r="S364" s="31" t="s">
        <x:v>1714</x:v>
      </x:c>
      <x:c r="T364" s="31" t="s">
        <x:v>1715</x:v>
      </x:c>
      <x:c r="U364" s="31" t="s">
        <x:v>522</x:v>
      </x:c>
      <x:c r="V364" s="33" t="s">
        <x:v>303</x:v>
      </x:c>
      <x:c r="W364" s="33" t="s">
        <x:v>1733</x:v>
      </x:c>
      <x:c r="X364" s="33" t="s">
        <x:v>240</x:v>
      </x:c>
      <x:c r="Y364" s="36"/>
      <x:c r="Z364" s="36"/>
      <x:c r="AA364" s="33" t="s">
        <x:v>120</x:v>
      </x:c>
      <x:c r="AB364" s="37" t="n">
        <x:f>IFERROR(INDEX(Effort_Model!$J$6:$J$33,MATCH(K364&amp;"|"&amp;L364,Effort_Model!$B$6:$B$33,0)),"")</x:f>
        <x:v>74.4</x:v>
      </x:c>
      <x:c r="AC364" s="38">
        <x:v>507.6</x:v>
      </x:c>
      <x:c r="AD364" s="37">
        <x:f t="shared" si="5"/>
        <x:v>648.6</x:v>
      </x:c>
      <x:c r="AE364" s="37" t="n">
        <x:f>IFERROR(ROUND(IFERROR(INDEX(Scoring_Rules!$C$43:$C$44,MATCH(Q364,Scoring_Rules!$B$43:$B$44,0)),0)*Scoring_Rules!$C$6+IFERROR(INDEX(Scoring_Rules!$C$34:$C$40,MATCH(K364,Scoring_Rules!$B$34:$B$40,0)),0)*Scoring_Rules!$C$7+IFERROR(INDEX(Scoring_Rules!$C$16:$C$19,MATCH(P364,Scoring_Rules!$B$16:$B$19,0)),0)*Scoring_Rules!$C$8+IFERROR(INDEX(Scoring_Rules!$C$22:$C$25,MATCH(O364,Scoring_Rules!$B$22:$B$25,0)),0)*Scoring_Rules!$C$9+IFERROR(INDEX(Scoring_Rules!$C$47:$C$50,MATCH(X364,Scoring_Rules!$B$47:$B$50,0)),0)*Scoring_Rules!$C$10+IFERROR(INDEX(Scoring_Rules!$C$28:$C$31,MATCH(R364,Scoring_Rules!$B$28:$B$31,0)),0)*Scoring_Rules!$C$11,1),"")</x:f>
        <x:v>42.5</x:v>
      </x:c>
      <x:c r="AF364" s="35">
        <x:v>3</x:v>
      </x:c>
      <x:c r="AG364" s="33" t="s">
        <x:v>1634</x:v>
      </x:c>
      <x:c r="AH364" s="36">
        <x:v>46306</x:v>
      </x:c>
      <x:c r="AI364" s="33" t="s">
        <x:v>127</x:v>
      </x:c>
      <x:c r="AJ364" s="34" t="s">
        <x:v>336</x:v>
      </x:c>
    </x:row>
    <x:row r="365" ht="23.25" customHeight="1">
      <x:c r="A365" s="31" t="s">
        <x:v>1802</x:v>
      </x:c>
      <x:c r="B365" s="31" t="s">
        <x:v>1803</x:v>
      </x:c>
      <x:c r="C365" s="31" t="s">
        <x:v>1623</x:v>
      </x:c>
      <x:c r="D365" s="32" t="s">
        <x:v>1642</x:v>
      </x:c>
      <x:c r="E365" s="32" t="str">
        <x:v>Data Migration Only</x:v>
      </x:c>
      <x:c r="F365" s="33" t="s">
        <x:v>118</x:v>
      </x:c>
      <x:c r="G365" s="34" t="s">
        <x:v>1655</x:v>
      </x:c>
      <x:c r="H365" s="33" t="s">
        <x:v>87</x:v>
      </x:c>
      <x:c r="I365" s="33" t="s">
        <x:v>1626</x:v>
      </x:c>
      <x:c r="J365" s="33" t="s">
        <x:v>80</x:v>
      </x:c>
      <x:c r="K365" s="33" t="s">
        <x:v>62</x:v>
      </x:c>
      <x:c r="L365" s="33" t="s">
        <x:v>75</x:v>
      </x:c>
      <x:c r="M365" s="35">
        <x:v>62</x:v>
      </x:c>
      <x:c r="N365" s="35">
        <x:v>144935705</x:v>
      </x:c>
      <x:c r="O365" s="33" t="s">
        <x:v>98</x:v>
      </x:c>
      <x:c r="P365" s="33" t="s">
        <x:v>98</x:v>
      </x:c>
      <x:c r="Q365" s="33" t="s">
        <x:v>120</x:v>
      </x:c>
      <x:c r="R365" s="33" t="s">
        <x:v>101</x:v>
      </x:c>
      <x:c r="S365" s="31" t="s">
        <x:v>1804</x:v>
      </x:c>
      <x:c r="T365" s="31" t="s">
        <x:v>1805</x:v>
      </x:c>
      <x:c r="U365" s="31" t="s">
        <x:v>276</x:v>
      </x:c>
      <x:c r="V365" s="33" t="s">
        <x:v>329</x:v>
      </x:c>
      <x:c r="W365" s="33"/>
      <x:c r="X365" s="33" t="s">
        <x:v>238</x:v>
      </x:c>
      <x:c r="Y365" s="36"/>
      <x:c r="Z365" s="36"/>
      <x:c r="AA365" s="33" t="s">
        <x:v>118</x:v>
      </x:c>
      <x:c r="AB365" s="37" t="n">
        <x:f>IFERROR(INDEX(Effort_Model!$J$6:$J$33,MATCH(K365&amp;"|"&amp;L365,Effort_Model!$B$6:$B$33,0)),"")</x:f>
        <x:v>74.4</x:v>
      </x:c>
      <x:c r="AC365" s="38">
        <x:v>553.5</x:v>
      </x:c>
      <x:c r="AD365" s="37">
        <x:f t="shared" si="5"/>
        <x:v>762.83330000000001</x:v>
      </x:c>
      <x:c r="AE365" s="37" t="n">
        <x:f>IFERROR(ROUND(IFERROR(INDEX(Scoring_Rules!$C$43:$C$44,MATCH(Q365,Scoring_Rules!$B$43:$B$44,0)),0)*Scoring_Rules!$C$6+IFERROR(INDEX(Scoring_Rules!$C$34:$C$40,MATCH(K365,Scoring_Rules!$B$34:$B$40,0)),0)*Scoring_Rules!$C$7+IFERROR(INDEX(Scoring_Rules!$C$16:$C$19,MATCH(P365,Scoring_Rules!$B$16:$B$19,0)),0)*Scoring_Rules!$C$8+IFERROR(INDEX(Scoring_Rules!$C$22:$C$25,MATCH(O365,Scoring_Rules!$B$22:$B$25,0)),0)*Scoring_Rules!$C$9+IFERROR(INDEX(Scoring_Rules!$C$47:$C$50,MATCH(X365,Scoring_Rules!$B$47:$B$50,0)),0)*Scoring_Rules!$C$10+IFERROR(INDEX(Scoring_Rules!$C$28:$C$31,MATCH(R365,Scoring_Rules!$B$28:$B$31,0)),0)*Scoring_Rules!$C$11,1),"")</x:f>
        <x:v>62.8</x:v>
      </x:c>
      <x:c r="AF365" s="35"/>
      <x:c r="AG365" s="33" t="s">
        <x:v>1639</x:v>
      </x:c>
      <x:c r="AH365" s="36">
        <x:v>46383</x:v>
      </x:c>
      <x:c r="AI365" s="33" t="s">
        <x:v>125</x:v>
      </x:c>
      <x:c r="AJ365" s="34" t="s">
        <x:v>342</x:v>
      </x:c>
    </x:row>
    <x:row r="366" ht="23.25" customHeight="1">
      <x:c r="A366" s="31" t="s">
        <x:v>1806</x:v>
      </x:c>
      <x:c r="B366" s="31" t="s">
        <x:v>1807</x:v>
      </x:c>
      <x:c r="C366" s="31" t="s">
        <x:v>1623</x:v>
      </x:c>
      <x:c r="D366" s="32" t="s">
        <x:v>1808</x:v>
      </x:c>
      <x:c r="E366" s="32" t="str">
        <x:v>Data Migration Only</x:v>
      </x:c>
      <x:c r="F366" s="33" t="s">
        <x:v>118</x:v>
      </x:c>
      <x:c r="G366" s="34" t="s">
        <x:v>1648</x:v>
      </x:c>
      <x:c r="H366" s="33" t="s">
        <x:v>87</x:v>
      </x:c>
      <x:c r="I366" s="33" t="s">
        <x:v>1626</x:v>
      </x:c>
      <x:c r="J366" s="33" t="s">
        <x:v>80</x:v>
      </x:c>
      <x:c r="K366" s="33" t="s">
        <x:v>62</x:v>
      </x:c>
      <x:c r="L366" s="33" t="s">
        <x:v>73</x:v>
      </x:c>
      <x:c r="M366" s="35">
        <x:v>70</x:v>
      </x:c>
      <x:c r="N366" s="35">
        <x:v>100043237</x:v>
      </x:c>
      <x:c r="O366" s="33" t="s">
        <x:v>73</x:v>
      </x:c>
      <x:c r="P366" s="33" t="s">
        <x:v>98</x:v>
      </x:c>
      <x:c r="Q366" s="33" t="s">
        <x:v>120</x:v>
      </x:c>
      <x:c r="R366" s="33" t="s">
        <x:v>101</x:v>
      </x:c>
      <x:c r="S366" s="31" t="s">
        <x:v>1809</x:v>
      </x:c>
      <x:c r="T366" s="31" t="s">
        <x:v>1810</x:v>
      </x:c>
      <x:c r="U366" s="31" t="s">
        <x:v>522</x:v>
      </x:c>
      <x:c r="V366" s="33" t="s">
        <x:v>365</x:v>
      </x:c>
      <x:c r="W366" s="33"/>
      <x:c r="X366" s="33" t="s">
        <x:v>238</x:v>
      </x:c>
      <x:c r="Y366" s="36">
        <x:v>46712</x:v>
      </x:c>
      <x:c r="Z366" s="36"/>
      <x:c r="AA366" s="33" t="s">
        <x:v>120</x:v>
      </x:c>
      <x:c r="AB366" s="37" t="n">
        <x:f>IFERROR(INDEX(Effort_Model!$J$6:$J$33,MATCH(K366&amp;"|"&amp;L366,Effort_Model!$B$6:$B$33,0)),"")</x:f>
        <x:v>74.4</x:v>
      </x:c>
      <x:c r="AC366" s="38">
        <x:v>495.3</x:v>
      </x:c>
      <x:c r="AD366" s="37">
        <x:f t="shared" si="5"/>
        <x:v>636.29999999999995</x:v>
      </x:c>
      <x:c r="AE366" s="37" t="n">
        <x:f>IFERROR(ROUND(IFERROR(INDEX(Scoring_Rules!$C$43:$C$44,MATCH(Q366,Scoring_Rules!$B$43:$B$44,0)),0)*Scoring_Rules!$C$6+IFERROR(INDEX(Scoring_Rules!$C$34:$C$40,MATCH(K366,Scoring_Rules!$B$34:$B$40,0)),0)*Scoring_Rules!$C$7+IFERROR(INDEX(Scoring_Rules!$C$16:$C$19,MATCH(P366,Scoring_Rules!$B$16:$B$19,0)),0)*Scoring_Rules!$C$8+IFERROR(INDEX(Scoring_Rules!$C$22:$C$25,MATCH(O366,Scoring_Rules!$B$22:$B$25,0)),0)*Scoring_Rules!$C$9+IFERROR(INDEX(Scoring_Rules!$C$47:$C$50,MATCH(X366,Scoring_Rules!$B$47:$B$50,0)),0)*Scoring_Rules!$C$10+IFERROR(INDEX(Scoring_Rules!$C$28:$C$31,MATCH(R366,Scoring_Rules!$B$28:$B$31,0)),0)*Scoring_Rules!$C$11,1),"")</x:f>
        <x:v>58.3</x:v>
      </x:c>
      <x:c r="AF366" s="35">
        <x:v>3</x:v>
      </x:c>
      <x:c r="AG366" s="33" t="s">
        <x:v>1645</x:v>
      </x:c>
      <x:c r="AH366" s="36">
        <x:v>46321</x:v>
      </x:c>
      <x:c r="AI366" s="33" t="s">
        <x:v>127</x:v>
      </x:c>
      <x:c r="AJ366" s="34" t="s">
        <x:v>312</x:v>
      </x:c>
    </x:row>
    <x:row r="367" ht="15" customHeight="1">
      <x:c r="A367" s="31" t="s">
        <x:v>1811</x:v>
      </x:c>
      <x:c r="B367" s="31" t="s">
        <x:v>1812</x:v>
      </x:c>
      <x:c r="C367" s="31" t="s">
        <x:v>1623</x:v>
      </x:c>
      <x:c r="D367" s="32" t="s">
        <x:v>1686</x:v>
      </x:c>
      <x:c r="E367" s="32" t="str">
        <x:v>Data Migration Only</x:v>
      </x:c>
      <x:c r="F367" s="33" t="s">
        <x:v>118</x:v>
      </x:c>
      <x:c r="G367" s="34" t="s">
        <x:v>1655</x:v>
      </x:c>
      <x:c r="H367" s="33" t="s">
        <x:v>87</x:v>
      </x:c>
      <x:c r="I367" s="33" t="s">
        <x:v>1626</x:v>
      </x:c>
      <x:c r="J367" s="33" t="s">
        <x:v>80</x:v>
      </x:c>
      <x:c r="K367" s="33" t="s">
        <x:v>60</x:v>
      </x:c>
      <x:c r="L367" s="33" t="s">
        <x:v>73</x:v>
      </x:c>
      <x:c r="M367" s="35">
        <x:v>42</x:v>
      </x:c>
      <x:c r="N367" s="35">
        <x:v>6996967</x:v>
      </x:c>
      <x:c r="O367" s="33" t="s">
        <x:v>98</x:v>
      </x:c>
      <x:c r="P367" s="33" t="s">
        <x:v>73</x:v>
      </x:c>
      <x:c r="Q367" s="33" t="s">
        <x:v>118</x:v>
      </x:c>
      <x:c r="R367" s="33" t="s">
        <x:v>115</x:v>
      </x:c>
      <x:c r="S367" s="31" t="s">
        <x:v>1147</x:v>
      </x:c>
      <x:c r="T367" s="31" t="s">
        <x:v>1813</x:v>
      </x:c>
      <x:c r="U367" s="31" t="s">
        <x:v>276</x:v>
      </x:c>
      <x:c r="V367" s="33" t="s">
        <x:v>277</x:v>
      </x:c>
      <x:c r="W367" s="33" t="s">
        <x:v>1814</x:v>
      </x:c>
      <x:c r="X367" s="33" t="s">
        <x:v>240</x:v>
      </x:c>
      <x:c r="Y367" s="36"/>
      <x:c r="Z367" s="36"/>
      <x:c r="AA367" s="33" t="s">
        <x:v>120</x:v>
      </x:c>
      <x:c r="AB367" s="37" t="n">
        <x:f>IFERROR(INDEX(Effort_Model!$J$6:$J$33,MATCH(K367&amp;"|"&amp;L367,Effort_Model!$B$6:$B$33,0)),"")</x:f>
        <x:v>42.4</x:v>
      </x:c>
      <x:c r="AC367" s="38">
        <x:v>284.7</x:v>
      </x:c>
      <x:c r="AD367" s="37">
        <x:f t="shared" si="5"/>
        <x:v>361.7</x:v>
      </x:c>
      <x:c r="AE367" s="37" t="n">
        <x:f>IFERROR(ROUND(IFERROR(INDEX(Scoring_Rules!$C$43:$C$44,MATCH(Q367,Scoring_Rules!$B$43:$B$44,0)),0)*Scoring_Rules!$C$6+IFERROR(INDEX(Scoring_Rules!$C$34:$C$40,MATCH(K367,Scoring_Rules!$B$34:$B$40,0)),0)*Scoring_Rules!$C$7+IFERROR(INDEX(Scoring_Rules!$C$16:$C$19,MATCH(P367,Scoring_Rules!$B$16:$B$19,0)),0)*Scoring_Rules!$C$8+IFERROR(INDEX(Scoring_Rules!$C$22:$C$25,MATCH(O367,Scoring_Rules!$B$22:$B$25,0)),0)*Scoring_Rules!$C$9+IFERROR(INDEX(Scoring_Rules!$C$47:$C$50,MATCH(X367,Scoring_Rules!$B$47:$B$50,0)),0)*Scoring_Rules!$C$10+IFERROR(INDEX(Scoring_Rules!$C$28:$C$31,MATCH(R367,Scoring_Rules!$B$28:$B$31,0)),0)*Scoring_Rules!$C$11,1),"")</x:f>
        <x:v>73.5</x:v>
      </x:c>
      <x:c r="AF367" s="35">
        <x:v>1</x:v>
      </x:c>
      <x:c r="AG367" s="33" t="s">
        <x:v>1629</x:v>
      </x:c>
      <x:c r="AH367" s="36">
        <x:v>46387</x:v>
      </x:c>
      <x:c r="AI367" s="33" t="s">
        <x:v>124</x:v>
      </x:c>
      <x:c r="AJ367" s="34" t="s">
        <x:v>383</x:v>
      </x:c>
    </x:row>
    <x:row r="368" ht="15" customHeight="1">
      <x:c r="A368" s="31" t="s">
        <x:v>1815</x:v>
      </x:c>
      <x:c r="B368" s="31" t="s">
        <x:v>1816</x:v>
      </x:c>
      <x:c r="C368" s="31" t="s">
        <x:v>1623</x:v>
      </x:c>
      <x:c r="D368" s="32" t="s">
        <x:v>362</x:v>
      </x:c>
      <x:c r="E368" s="32" t="str">
        <x:v>Data Migration Only</x:v>
      </x:c>
      <x:c r="F368" s="33" t="s">
        <x:v>118</x:v>
      </x:c>
      <x:c r="G368" s="34" t="s">
        <x:v>1817</x:v>
      </x:c>
      <x:c r="H368" s="33" t="s">
        <x:v>89</x:v>
      </x:c>
      <x:c r="I368" s="33" t="s">
        <x:v>1626</x:v>
      </x:c>
      <x:c r="J368" s="33" t="s">
        <x:v>80</x:v>
      </x:c>
      <x:c r="K368" s="33" t="s">
        <x:v>68</x:v>
      </x:c>
      <x:c r="L368" s="33" t="s">
        <x:v>75</x:v>
      </x:c>
      <x:c r="M368" s="35">
        <x:v>369</x:v>
      </x:c>
      <x:c r="N368" s="35">
        <x:v>86889242748</x:v>
      </x:c>
      <x:c r="O368" s="33" t="s">
        <x:v>101</x:v>
      </x:c>
      <x:c r="P368" s="33" t="s">
        <x:v>101</x:v>
      </x:c>
      <x:c r="Q368" s="33" t="s">
        <x:v>120</x:v>
      </x:c>
      <x:c r="R368" s="33" t="s">
        <x:v>101</x:v>
      </x:c>
      <x:c r="S368" s="31" t="s">
        <x:v>1818</x:v>
      </x:c>
      <x:c r="T368" s="31" t="s">
        <x:v>1819</x:v>
      </x:c>
      <x:c r="U368" s="31" t="s">
        <x:v>1514</x:v>
      </x:c>
      <x:c r="V368" s="33" t="s">
        <x:v>277</x:v>
      </x:c>
      <x:c r="W368" s="33"/>
      <x:c r="X368" s="33" t="s">
        <x:v>238</x:v>
      </x:c>
      <x:c r="Y368" s="36">
        <x:v>46539</x:v>
      </x:c>
      <x:c r="Z368" s="36">
        <x:v>46577</x:v>
      </x:c>
      <x:c r="AA368" s="33" t="s">
        <x:v>120</x:v>
      </x:c>
      <x:c r="AB368" s="37" t="n">
        <x:f>IFERROR(INDEX(Effort_Model!$J$6:$J$33,MATCH(K368&amp;"|"&amp;L368,Effort_Model!$B$6:$B$33,0)),"")</x:f>
        <x:v>170.4</x:v>
      </x:c>
      <x:c r="AC368" s="38">
        <x:v>2249.5</x:v>
      </x:c>
      <x:c r="AD368" s="37">
        <x:f t="shared" si="5"/>
        <x:v>2746.8333000000002</x:v>
      </x:c>
      <x:c r="AE368" s="37" t="n">
        <x:f>IFERROR(ROUND(IFERROR(INDEX(Scoring_Rules!$C$43:$C$44,MATCH(Q368,Scoring_Rules!$B$43:$B$44,0)),0)*Scoring_Rules!$C$6+IFERROR(INDEX(Scoring_Rules!$C$34:$C$40,MATCH(K368,Scoring_Rules!$B$34:$B$40,0)),0)*Scoring_Rules!$C$7+IFERROR(INDEX(Scoring_Rules!$C$16:$C$19,MATCH(P368,Scoring_Rules!$B$16:$B$19,0)),0)*Scoring_Rules!$C$8+IFERROR(INDEX(Scoring_Rules!$C$22:$C$25,MATCH(O368,Scoring_Rules!$B$22:$B$25,0)),0)*Scoring_Rules!$C$9+IFERROR(INDEX(Scoring_Rules!$C$47:$C$50,MATCH(X368,Scoring_Rules!$B$47:$B$50,0)),0)*Scoring_Rules!$C$10+IFERROR(INDEX(Scoring_Rules!$C$28:$C$31,MATCH(R368,Scoring_Rules!$B$28:$B$31,0)),0)*Scoring_Rules!$C$11,1),"")</x:f>
        <x:v>29</x:v>
      </x:c>
      <x:c r="AF368" s="35"/>
      <x:c r="AG368" s="33" t="s">
        <x:v>1634</x:v>
      </x:c>
      <x:c r="AH368" s="36">
        <x:v>46389</x:v>
      </x:c>
      <x:c r="AI368" s="33" t="s">
        <x:v>125</x:v>
      </x:c>
      <x:c r="AJ368" s="34"/>
    </x:row>
    <x:row r="369" ht="23.25" customHeight="1">
      <x:c r="A369" s="31" t="s">
        <x:v>1820</x:v>
      </x:c>
      <x:c r="B369" s="31" t="s">
        <x:v>1821</x:v>
      </x:c>
      <x:c r="C369" s="31" t="s">
        <x:v>1623</x:v>
      </x:c>
      <x:c r="D369" s="32" t="s">
        <x:v>1822</x:v>
      </x:c>
      <x:c r="E369" s="32" t="str">
        <x:v>Functional Migration Only</x:v>
      </x:c>
      <x:c r="F369" s="33" t="s">
        <x:v>120</x:v>
      </x:c>
      <x:c r="G369" s="34" t="s">
        <x:v>1638</x:v>
      </x:c>
      <x:c r="H369" s="33" t="s">
        <x:v>87</x:v>
      </x:c>
      <x:c r="I369" s="33" t="s">
        <x:v>1626</x:v>
      </x:c>
      <x:c r="J369" s="33" t="s">
        <x:v>82</x:v>
      </x:c>
      <x:c r="K369" s="33" t="s">
        <x:v>62</x:v>
      </x:c>
      <x:c r="L369" s="33" t="s">
        <x:v>75</x:v>
      </x:c>
      <x:c r="M369" s="35">
        <x:v>70</x:v>
      </x:c>
      <x:c r="N369" s="35">
        <x:v>115126647</x:v>
      </x:c>
      <x:c r="O369" s="33" t="s">
        <x:v>73</x:v>
      </x:c>
      <x:c r="P369" s="33" t="s">
        <x:v>101</x:v>
      </x:c>
      <x:c r="Q369" s="33" t="s">
        <x:v>120</x:v>
      </x:c>
      <x:c r="R369" s="33" t="s">
        <x:v>115</x:v>
      </x:c>
      <x:c r="S369" s="31" t="s">
        <x:v>1740</x:v>
      </x:c>
      <x:c r="T369" s="31" t="s">
        <x:v>1823</x:v>
      </x:c>
      <x:c r="U369" s="31" t="s">
        <x:v>276</x:v>
      </x:c>
      <x:c r="V369" s="33" t="s">
        <x:v>365</x:v>
      </x:c>
      <x:c r="W369" s="33"/>
      <x:c r="X369" s="33" t="s">
        <x:v>238</x:v>
      </x:c>
      <x:c r="Y369" s="36"/>
      <x:c r="Z369" s="36"/>
      <x:c r="AA369" s="33" t="s">
        <x:v>120</x:v>
      </x:c>
      <x:c r="AB369" s="37" t="n">
        <x:f>IFERROR(INDEX(Effort_Model!$J$6:$J$33,MATCH(K369&amp;"|"&amp;L369,Effort_Model!$B$6:$B$33,0)),"")</x:f>
        <x:v>74.4</x:v>
      </x:c>
      <x:c r="AC369" s="38">
        <x:v>1052.5</x:v>
      </x:c>
      <x:c r="AD369" s="37">
        <x:f t="shared" si="5"/>
        <x:v>1261.8333</x:v>
      </x:c>
      <x:c r="AE369" s="37" t="n">
        <x:f>IFERROR(ROUND(IFERROR(INDEX(Scoring_Rules!$C$43:$C$44,MATCH(Q369,Scoring_Rules!$B$43:$B$44,0)),0)*Scoring_Rules!$C$6+IFERROR(INDEX(Scoring_Rules!$C$34:$C$40,MATCH(K369,Scoring_Rules!$B$34:$B$40,0)),0)*Scoring_Rules!$C$7+IFERROR(INDEX(Scoring_Rules!$C$16:$C$19,MATCH(P369,Scoring_Rules!$B$16:$B$19,0)),0)*Scoring_Rules!$C$8+IFERROR(INDEX(Scoring_Rules!$C$22:$C$25,MATCH(O369,Scoring_Rules!$B$22:$B$25,0)),0)*Scoring_Rules!$C$9+IFERROR(INDEX(Scoring_Rules!$C$47:$C$50,MATCH(X369,Scoring_Rules!$B$47:$B$50,0)),0)*Scoring_Rules!$C$10+IFERROR(INDEX(Scoring_Rules!$C$28:$C$31,MATCH(R369,Scoring_Rules!$B$28:$B$31,0)),0)*Scoring_Rules!$C$11,1),"")</x:f>
        <x:v>43.5</x:v>
      </x:c>
      <x:c r="AF369" s="35">
        <x:v>6</x:v>
      </x:c>
      <x:c r="AG369" s="33" t="s">
        <x:v>1639</x:v>
      </x:c>
      <x:c r="AH369" s="36">
        <x:v>46315</x:v>
      </x:c>
      <x:c r="AI369" s="33" t="s">
        <x:v>126</x:v>
      </x:c>
      <x:c r="AJ369" s="34" t="s">
        <x:v>312</x:v>
      </x:c>
    </x:row>
    <x:row r="370" ht="15" customHeight="1">
      <x:c r="A370" s="31" t="s">
        <x:v>1824</x:v>
      </x:c>
      <x:c r="B370" s="31" t="s">
        <x:v>1825</x:v>
      </x:c>
      <x:c r="C370" s="31" t="s">
        <x:v>1623</x:v>
      </x:c>
      <x:c r="D370" s="32" t="s">
        <x:v>1024</x:v>
      </x:c>
      <x:c r="E370" s="32" t="str">
        <x:v>Functional Migration Only</x:v>
      </x:c>
      <x:c r="F370" s="33" t="s">
        <x:v>118</x:v>
      </x:c>
      <x:c r="G370" s="34" t="s">
        <x:v>1638</x:v>
      </x:c>
      <x:c r="H370" s="33" t="s">
        <x:v>87</x:v>
      </x:c>
      <x:c r="I370" s="33" t="s">
        <x:v>1626</x:v>
      </x:c>
      <x:c r="J370" s="33" t="s">
        <x:v>82</x:v>
      </x:c>
      <x:c r="K370" s="33" t="s">
        <x:v>62</x:v>
      </x:c>
      <x:c r="L370" s="33" t="s">
        <x:v>73</x:v>
      </x:c>
      <x:c r="M370" s="35">
        <x:v>50</x:v>
      </x:c>
      <x:c r="N370" s="35">
        <x:v>125842099</x:v>
      </x:c>
      <x:c r="O370" s="33" t="s">
        <x:v>101</x:v>
      </x:c>
      <x:c r="P370" s="33" t="s">
        <x:v>101</x:v>
      </x:c>
      <x:c r="Q370" s="33" t="s">
        <x:v>120</x:v>
      </x:c>
      <x:c r="R370" s="33" t="s">
        <x:v>73</x:v>
      </x:c>
      <x:c r="S370" s="31" t="s">
        <x:v>1826</x:v>
      </x:c>
      <x:c r="T370" s="31" t="s">
        <x:v>1827</x:v>
      </x:c>
      <x:c r="U370" s="31" t="s">
        <x:v>522</x:v>
      </x:c>
      <x:c r="V370" s="33" t="s">
        <x:v>451</x:v>
      </x:c>
      <x:c r="W370" s="33" t="s">
        <x:v>1828</x:v>
      </x:c>
      <x:c r="X370" s="33" t="s">
        <x:v>240</x:v>
      </x:c>
      <x:c r="Y370" s="36"/>
      <x:c r="Z370" s="36">
        <x:v>46973</x:v>
      </x:c>
      <x:c r="AA370" s="33" t="s">
        <x:v>120</x:v>
      </x:c>
      <x:c r="AB370" s="37" t="n">
        <x:f>IFERROR(INDEX(Effort_Model!$J$6:$J$33,MATCH(K370&amp;"|"&amp;L370,Effort_Model!$B$6:$B$33,0)),"")</x:f>
        <x:v>74.4</x:v>
      </x:c>
      <x:c r="AC370" s="38">
        <x:v>665.8</x:v>
      </x:c>
      <x:c r="AD370" s="37">
        <x:f t="shared" si="5"/>
        <x:v>806.8</x:v>
      </x:c>
      <x:c r="AE370" s="37" t="n">
        <x:f>IFERROR(ROUND(IFERROR(INDEX(Scoring_Rules!$C$43:$C$44,MATCH(Q370,Scoring_Rules!$B$43:$B$44,0)),0)*Scoring_Rules!$C$6+IFERROR(INDEX(Scoring_Rules!$C$34:$C$40,MATCH(K370,Scoring_Rules!$B$34:$B$40,0)),0)*Scoring_Rules!$C$7+IFERROR(INDEX(Scoring_Rules!$C$16:$C$19,MATCH(P370,Scoring_Rules!$B$16:$B$19,0)),0)*Scoring_Rules!$C$8+IFERROR(INDEX(Scoring_Rules!$C$22:$C$25,MATCH(O370,Scoring_Rules!$B$22:$B$25,0)),0)*Scoring_Rules!$C$9+IFERROR(INDEX(Scoring_Rules!$C$47:$C$50,MATCH(X370,Scoring_Rules!$B$47:$B$50,0)),0)*Scoring_Rules!$C$10+IFERROR(INDEX(Scoring_Rules!$C$28:$C$31,MATCH(R370,Scoring_Rules!$B$28:$B$31,0)),0)*Scoring_Rules!$C$11,1),"")</x:f>
        <x:v>31.3</x:v>
      </x:c>
      <x:c r="AF370" s="35">
        <x:v>6</x:v>
      </x:c>
      <x:c r="AG370" s="33" t="s">
        <x:v>1645</x:v>
      </x:c>
      <x:c r="AH370" s="36">
        <x:v>46364</x:v>
      </x:c>
      <x:c r="AI370" s="33" t="s">
        <x:v>126</x:v>
      </x:c>
      <x:c r="AJ370" s="34" t="s">
        <x:v>312</x:v>
      </x:c>
    </x:row>
    <x:row r="371" ht="15" customHeight="1">
      <x:c r="A371" s="31" t="s">
        <x:v>1829</x:v>
      </x:c>
      <x:c r="B371" s="31" t="s">
        <x:v>1830</x:v>
      </x:c>
      <x:c r="C371" s="31" t="s">
        <x:v>1623</x:v>
      </x:c>
      <x:c r="D371" s="32" t="s">
        <x:v>1024</x:v>
      </x:c>
      <x:c r="E371" s="32" t="str">
        <x:v>Functional Migration Only</x:v>
      </x:c>
      <x:c r="F371" s="33" t="s">
        <x:v>120</x:v>
      </x:c>
      <x:c r="G371" s="34" t="s">
        <x:v>1655</x:v>
      </x:c>
      <x:c r="H371" s="33" t="s">
        <x:v>87</x:v>
      </x:c>
      <x:c r="I371" s="33" t="s">
        <x:v>1626</x:v>
      </x:c>
      <x:c r="J371" s="33" t="s">
        <x:v>82</x:v>
      </x:c>
      <x:c r="K371" s="33" t="s">
        <x:v>62</x:v>
      </x:c>
      <x:c r="L371" s="33" t="s">
        <x:v>75</x:v>
      </x:c>
      <x:c r="M371" s="35">
        <x:v>71</x:v>
      </x:c>
      <x:c r="N371" s="35">
        <x:v>110297254</x:v>
      </x:c>
      <x:c r="O371" s="33" t="s">
        <x:v>103</x:v>
      </x:c>
      <x:c r="P371" s="33" t="s">
        <x:v>73</x:v>
      </x:c>
      <x:c r="Q371" s="33" t="s">
        <x:v>120</x:v>
      </x:c>
      <x:c r="R371" s="33" t="s">
        <x:v>101</x:v>
      </x:c>
      <x:c r="S371" s="31" t="s">
        <x:v>1627</x:v>
      </x:c>
      <x:c r="T371" s="31" t="s">
        <x:v>1831</x:v>
      </x:c>
      <x:c r="U371" s="31" t="s">
        <x:v>1514</x:v>
      </x:c>
      <x:c r="V371" s="33" t="s">
        <x:v>365</x:v>
      </x:c>
      <x:c r="W371" s="33"/>
      <x:c r="X371" s="33" t="s">
        <x:v>238</x:v>
      </x:c>
      <x:c r="Y371" s="36"/>
      <x:c r="Z371" s="36"/>
      <x:c r="AA371" s="33" t="s">
        <x:v>120</x:v>
      </x:c>
      <x:c r="AB371" s="37" t="n">
        <x:f>IFERROR(INDEX(Effort_Model!$J$6:$J$33,MATCH(K371&amp;"|"&amp;L371,Effort_Model!$B$6:$B$33,0)),"")</x:f>
        <x:v>74.4</x:v>
      </x:c>
      <x:c r="AC371" s="38">
        <x:v>867.1</x:v>
      </x:c>
      <x:c r="AD371" s="37">
        <x:f t="shared" si="5"/>
        <x:v>1076.4333000000001</x:v>
      </x:c>
      <x:c r="AE371" s="37" t="n">
        <x:f>IFERROR(ROUND(IFERROR(INDEX(Scoring_Rules!$C$43:$C$44,MATCH(Q371,Scoring_Rules!$B$43:$B$44,0)),0)*Scoring_Rules!$C$6+IFERROR(INDEX(Scoring_Rules!$C$34:$C$40,MATCH(K371,Scoring_Rules!$B$34:$B$40,0)),0)*Scoring_Rules!$C$7+IFERROR(INDEX(Scoring_Rules!$C$16:$C$19,MATCH(P371,Scoring_Rules!$B$16:$B$19,0)),0)*Scoring_Rules!$C$8+IFERROR(INDEX(Scoring_Rules!$C$22:$C$25,MATCH(O371,Scoring_Rules!$B$22:$B$25,0)),0)*Scoring_Rules!$C$9+IFERROR(INDEX(Scoring_Rules!$C$47:$C$50,MATCH(X371,Scoring_Rules!$B$47:$B$50,0)),0)*Scoring_Rules!$C$10+IFERROR(INDEX(Scoring_Rules!$C$28:$C$31,MATCH(R371,Scoring_Rules!$B$28:$B$31,0)),0)*Scoring_Rules!$C$11,1),"")</x:f>
        <x:v>41.8</x:v>
      </x:c>
      <x:c r="AF371" s="35">
        <x:v>6</x:v>
      </x:c>
      <x:c r="AG371" s="33" t="s">
        <x:v>1629</x:v>
      </x:c>
      <x:c r="AH371" s="36">
        <x:v>46386</x:v>
      </x:c>
      <x:c r="AI371" s="33" t="s">
        <x:v>126</x:v>
      </x:c>
      <x:c r="AJ371" s="34"/>
    </x:row>
    <x:row r="372" ht="15" customHeight="1">
      <x:c r="A372" s="31" t="s">
        <x:v>1832</x:v>
      </x:c>
      <x:c r="B372" s="31" t="s">
        <x:v>1833</x:v>
      </x:c>
      <x:c r="C372" s="31" t="s">
        <x:v>1623</x:v>
      </x:c>
      <x:c r="D372" s="32" t="s">
        <x:v>1624</x:v>
      </x:c>
      <x:c r="E372" s="32" t="str">
        <x:v>Functional Migration Only</x:v>
      </x:c>
      <x:c r="F372" s="33" t="s">
        <x:v>118</x:v>
      </x:c>
      <x:c r="G372" s="34" t="s">
        <x:v>1648</x:v>
      </x:c>
      <x:c r="H372" s="33" t="s">
        <x:v>87</x:v>
      </x:c>
      <x:c r="I372" s="33" t="s">
        <x:v>1626</x:v>
      </x:c>
      <x:c r="J372" s="33" t="s">
        <x:v>82</x:v>
      </x:c>
      <x:c r="K372" s="33" t="s">
        <x:v>62</x:v>
      </x:c>
      <x:c r="L372" s="33" t="s">
        <x:v>77</x:v>
      </x:c>
      <x:c r="M372" s="35">
        <x:v>50</x:v>
      </x:c>
      <x:c r="N372" s="35">
        <x:v>143789036</x:v>
      </x:c>
      <x:c r="O372" s="33" t="s">
        <x:v>73</x:v>
      </x:c>
      <x:c r="P372" s="33" t="s">
        <x:v>109</x:v>
      </x:c>
      <x:c r="Q372" s="33" t="s">
        <x:v>120</x:v>
      </x:c>
      <x:c r="R372" s="33" t="s">
        <x:v>98</x:v>
      </x:c>
      <x:c r="S372" s="31" t="s">
        <x:v>1834</x:v>
      </x:c>
      <x:c r="T372" s="31" t="s">
        <x:v>1835</x:v>
      </x:c>
      <x:c r="U372" s="31" t="s">
        <x:v>276</x:v>
      </x:c>
      <x:c r="V372" s="33" t="s">
        <x:v>365</x:v>
      </x:c>
      <x:c r="W372" s="33" t="s">
        <x:v>1836</x:v>
      </x:c>
      <x:c r="X372" s="33" t="s">
        <x:v>239</x:v>
      </x:c>
      <x:c r="Y372" s="36"/>
      <x:c r="Z372" s="36"/>
      <x:c r="AA372" s="33" t="s">
        <x:v>120</x:v>
      </x:c>
      <x:c r="AB372" s="37" t="n">
        <x:f>IFERROR(INDEX(Effort_Model!$J$6:$J$33,MATCH(K372&amp;"|"&amp;L372,Effort_Model!$B$6:$B$33,0)),"")</x:f>
        <x:v>74.4</x:v>
      </x:c>
      <x:c r="AC372" s="38">
        <x:v>1184.5</x:v>
      </x:c>
      <x:c r="AD372" s="37">
        <x:f t="shared" si="5"/>
        <x:v>1457.8333</x:v>
      </x:c>
      <x:c r="AE372" s="37" t="n">
        <x:f>IFERROR(ROUND(IFERROR(INDEX(Scoring_Rules!$C$43:$C$44,MATCH(Q372,Scoring_Rules!$B$43:$B$44,0)),0)*Scoring_Rules!$C$6+IFERROR(INDEX(Scoring_Rules!$C$34:$C$40,MATCH(K372,Scoring_Rules!$B$34:$B$40,0)),0)*Scoring_Rules!$C$7+IFERROR(INDEX(Scoring_Rules!$C$16:$C$19,MATCH(P372,Scoring_Rules!$B$16:$B$19,0)),0)*Scoring_Rules!$C$8+IFERROR(INDEX(Scoring_Rules!$C$22:$C$25,MATCH(O372,Scoring_Rules!$B$22:$B$25,0)),0)*Scoring_Rules!$C$9+IFERROR(INDEX(Scoring_Rules!$C$47:$C$50,MATCH(X372,Scoring_Rules!$B$47:$B$50,0)),0)*Scoring_Rules!$C$10+IFERROR(INDEX(Scoring_Rules!$C$28:$C$31,MATCH(R372,Scoring_Rules!$B$28:$B$31,0)),0)*Scoring_Rules!$C$11,1),"")</x:f>
        <x:v>37</x:v>
      </x:c>
      <x:c r="AF372" s="35">
        <x:v>8</x:v>
      </x:c>
      <x:c r="AG372" s="33" t="s">
        <x:v>1634</x:v>
      </x:c>
      <x:c r="AH372" s="36">
        <x:v>46357</x:v>
      </x:c>
      <x:c r="AI372" s="33" t="s">
        <x:v>127</x:v>
      </x:c>
      <x:c r="AJ372" s="34" t="s">
        <x:v>354</x:v>
      </x:c>
    </x:row>
    <x:row r="373" ht="15" customHeight="1">
      <x:c r="A373" s="31" t="s">
        <x:v>1837</x:v>
      </x:c>
      <x:c r="B373" s="31" t="s">
        <x:v>1838</x:v>
      </x:c>
      <x:c r="C373" s="31" t="s">
        <x:v>1623</x:v>
      </x:c>
      <x:c r="D373" s="32" t="s">
        <x:v>1730</x:v>
      </x:c>
      <x:c r="E373" s="32" t="str">
        <x:v>Data Migration Only</x:v>
      </x:c>
      <x:c r="F373" s="33" t="s">
        <x:v>118</x:v>
      </x:c>
      <x:c r="G373" s="34" t="s">
        <x:v>629</x:v>
      </x:c>
      <x:c r="H373" s="33" t="s">
        <x:v>89</x:v>
      </x:c>
      <x:c r="I373" s="33" t="s">
        <x:v>1626</x:v>
      </x:c>
      <x:c r="J373" s="33" t="s">
        <x:v>80</x:v>
      </x:c>
      <x:c r="K373" s="33" t="s">
        <x:v>60</x:v>
      </x:c>
      <x:c r="L373" s="33" t="s">
        <x:v>71</x:v>
      </x:c>
      <x:c r="M373" s="35">
        <x:v>48</x:v>
      </x:c>
      <x:c r="N373" s="35">
        <x:v>6230691</x:v>
      </x:c>
      <x:c r="O373" s="33" t="s">
        <x:v>101</x:v>
      </x:c>
      <x:c r="P373" s="33" t="s">
        <x:v>73</x:v>
      </x:c>
      <x:c r="Q373" s="33" t="s">
        <x:v>120</x:v>
      </x:c>
      <x:c r="R373" s="33" t="s">
        <x:v>73</x:v>
      </x:c>
      <x:c r="S373" s="31" t="s">
        <x:v>1839</x:v>
      </x:c>
      <x:c r="T373" s="31" t="s">
        <x:v>1840</x:v>
      </x:c>
      <x:c r="U373" s="31" t="s">
        <x:v>471</x:v>
      </x:c>
      <x:c r="V373" s="33" t="s">
        <x:v>365</x:v>
      </x:c>
      <x:c r="W373" s="33" t="s">
        <x:v>1646</x:v>
      </x:c>
      <x:c r="X373" s="33" t="s">
        <x:v>239</x:v>
      </x:c>
      <x:c r="Y373" s="36"/>
      <x:c r="Z373" s="36"/>
      <x:c r="AA373" s="33" t="s">
        <x:v>120</x:v>
      </x:c>
      <x:c r="AB373" s="37" t="n">
        <x:f>IFERROR(INDEX(Effort_Model!$J$6:$J$33,MATCH(K373&amp;"|"&amp;L373,Effort_Model!$B$6:$B$33,0)),"")</x:f>
        <x:v>18.4</x:v>
      </x:c>
      <x:c r="AC373" s="38">
        <x:v>194.2</x:v>
      </x:c>
      <x:c r="AD373" s="37">
        <x:f t="shared" si="5"/>
        <x:v>236.6</x:v>
      </x:c>
      <x:c r="AE373" s="37" t="n">
        <x:f>IFERROR(ROUND(IFERROR(INDEX(Scoring_Rules!$C$43:$C$44,MATCH(Q373,Scoring_Rules!$B$43:$B$44,0)),0)*Scoring_Rules!$C$6+IFERROR(INDEX(Scoring_Rules!$C$34:$C$40,MATCH(K373,Scoring_Rules!$B$34:$B$40,0)),0)*Scoring_Rules!$C$7+IFERROR(INDEX(Scoring_Rules!$C$16:$C$19,MATCH(P373,Scoring_Rules!$B$16:$B$19,0)),0)*Scoring_Rules!$C$8+IFERROR(INDEX(Scoring_Rules!$C$22:$C$25,MATCH(O373,Scoring_Rules!$B$22:$B$25,0)),0)*Scoring_Rules!$C$9+IFERROR(INDEX(Scoring_Rules!$C$47:$C$50,MATCH(X373,Scoring_Rules!$B$47:$B$50,0)),0)*Scoring_Rules!$C$10+IFERROR(INDEX(Scoring_Rules!$C$28:$C$31,MATCH(R373,Scoring_Rules!$B$28:$B$31,0)),0)*Scoring_Rules!$C$11,1),"")</x:f>
        <x:v>48.3</x:v>
      </x:c>
      <x:c r="AF373" s="35"/>
      <x:c r="AG373" s="33" t="s">
        <x:v>1639</x:v>
      </x:c>
      <x:c r="AH373" s="36">
        <x:v>46342</x:v>
      </x:c>
      <x:c r="AI373" s="33" t="s">
        <x:v>125</x:v>
      </x:c>
      <x:c r="AJ373" s="34"/>
    </x:row>
    <x:row r="374" ht="15" customHeight="1">
      <x:c r="A374" s="31" t="s">
        <x:v>1841</x:v>
      </x:c>
      <x:c r="B374" s="31" t="s">
        <x:v>1842</x:v>
      </x:c>
      <x:c r="C374" s="31" t="s">
        <x:v>1623</x:v>
      </x:c>
      <x:c r="D374" s="32" t="s">
        <x:v>1024</x:v>
      </x:c>
      <x:c r="E374" s="32" t="str">
        <x:v>Data Migration Only</x:v>
      </x:c>
      <x:c r="F374" s="33" t="s">
        <x:v>120</x:v>
      </x:c>
      <x:c r="G374" s="34" t="s">
        <x:v>1638</x:v>
      </x:c>
      <x:c r="H374" s="33" t="s">
        <x:v>87</x:v>
      </x:c>
      <x:c r="I374" s="33" t="s">
        <x:v>1626</x:v>
      </x:c>
      <x:c r="J374" s="33" t="s">
        <x:v>80</x:v>
      </x:c>
      <x:c r="K374" s="33" t="s">
        <x:v>58</x:v>
      </x:c>
      <x:c r="L374" s="33" t="s">
        <x:v>73</x:v>
      </x:c>
      <x:c r="M374" s="35">
        <x:v>20</x:v>
      </x:c>
      <x:c r="N374" s="35">
        <x:v>1332517</x:v>
      </x:c>
      <x:c r="O374" s="33" t="s">
        <x:v>73</x:v>
      </x:c>
      <x:c r="P374" s="33" t="s">
        <x:v>98</x:v>
      </x:c>
      <x:c r="Q374" s="33" t="s">
        <x:v>118</x:v>
      </x:c>
      <x:c r="R374" s="33" t="s">
        <x:v>73</x:v>
      </x:c>
      <x:c r="S374" s="31" t="s">
        <x:v>1843</x:v>
      </x:c>
      <x:c r="T374" s="31" t="s">
        <x:v>1844</x:v>
      </x:c>
      <x:c r="U374" s="31" t="s">
        <x:v>471</x:v>
      </x:c>
      <x:c r="V374" s="33" t="s">
        <x:v>277</x:v>
      </x:c>
      <x:c r="W374" s="33"/>
      <x:c r="X374" s="33" t="s">
        <x:v>238</x:v>
      </x:c>
      <x:c r="Y374" s="36"/>
      <x:c r="Z374" s="36"/>
      <x:c r="AA374" s="33" t="s">
        <x:v>120</x:v>
      </x:c>
      <x:c r="AB374" s="37" t="n">
        <x:f>IFERROR(INDEX(Effort_Model!$J$6:$J$33,MATCH(K374&amp;"|"&amp;L374,Effort_Model!$B$6:$B$33,0)),"")</x:f>
        <x:v>26.4</x:v>
      </x:c>
      <x:c r="AC374" s="38">
        <x:v>144.1</x:v>
      </x:c>
      <x:c r="AD374" s="37">
        <x:f t="shared" si="5"/>
        <x:v>189.1</x:v>
      </x:c>
      <x:c r="AE374" s="37" t="n">
        <x:f>IFERROR(ROUND(IFERROR(INDEX(Scoring_Rules!$C$43:$C$44,MATCH(Q374,Scoring_Rules!$B$43:$B$44,0)),0)*Scoring_Rules!$C$6+IFERROR(INDEX(Scoring_Rules!$C$34:$C$40,MATCH(K374,Scoring_Rules!$B$34:$B$40,0)),0)*Scoring_Rules!$C$7+IFERROR(INDEX(Scoring_Rules!$C$16:$C$19,MATCH(P374,Scoring_Rules!$B$16:$B$19,0)),0)*Scoring_Rules!$C$8+IFERROR(INDEX(Scoring_Rules!$C$22:$C$25,MATCH(O374,Scoring_Rules!$B$22:$B$25,0)),0)*Scoring_Rules!$C$9+IFERROR(INDEX(Scoring_Rules!$C$47:$C$50,MATCH(X374,Scoring_Rules!$B$47:$B$50,0)),0)*Scoring_Rules!$C$10+IFERROR(INDEX(Scoring_Rules!$C$28:$C$31,MATCH(R374,Scoring_Rules!$B$28:$B$31,0)),0)*Scoring_Rules!$C$11,1),"")</x:f>
        <x:v>92</x:v>
      </x:c>
      <x:c r="AF374" s="35">
        <x:v>1</x:v>
      </x:c>
      <x:c r="AG374" s="33" t="s">
        <x:v>1645</x:v>
      </x:c>
      <x:c r="AH374" s="36">
        <x:v>46388</x:v>
      </x:c>
      <x:c r="AI374" s="33" t="s">
        <x:v>127</x:v>
      </x:c>
      <x:c r="AJ374" s="34"/>
    </x:row>
    <x:row r="375" ht="15" customHeight="1">
      <x:c r="A375" s="31" t="s">
        <x:v>1845</x:v>
      </x:c>
      <x:c r="B375" s="31" t="s">
        <x:v>1846</x:v>
      </x:c>
      <x:c r="C375" s="31" t="s">
        <x:v>1623</x:v>
      </x:c>
      <x:c r="D375" s="32" t="s">
        <x:v>1637</x:v>
      </x:c>
      <x:c r="E375" s="32" t="str">
        <x:v>Functional Migration Only</x:v>
      </x:c>
      <x:c r="F375" s="33" t="s">
        <x:v>118</x:v>
      </x:c>
      <x:c r="G375" s="34" t="s">
        <x:v>1625</x:v>
      </x:c>
      <x:c r="H375" s="33" t="s">
        <x:v>87</x:v>
      </x:c>
      <x:c r="I375" s="33" t="s">
        <x:v>1626</x:v>
      </x:c>
      <x:c r="J375" s="33" t="s">
        <x:v>82</x:v>
      </x:c>
      <x:c r="K375" s="33" t="s">
        <x:v>58</x:v>
      </x:c>
      <x:c r="L375" s="33" t="s">
        <x:v>75</x:v>
      </x:c>
      <x:c r="M375" s="35">
        <x:v>29</x:v>
      </x:c>
      <x:c r="N375" s="35">
        <x:v>1126185</x:v>
      </x:c>
      <x:c r="O375" s="33" t="s">
        <x:v>73</x:v>
      </x:c>
      <x:c r="P375" s="33" t="s">
        <x:v>73</x:v>
      </x:c>
      <x:c r="Q375" s="33" t="s">
        <x:v>120</x:v>
      </x:c>
      <x:c r="R375" s="33" t="s">
        <x:v>101</x:v>
      </x:c>
      <x:c r="S375" s="31" t="s">
        <x:v>1847</x:v>
      </x:c>
      <x:c r="T375" s="31" t="s">
        <x:v>1848</x:v>
      </x:c>
      <x:c r="U375" s="31" t="s">
        <x:v>522</x:v>
      </x:c>
      <x:c r="V375" s="33" t="s">
        <x:v>277</x:v>
      </x:c>
      <x:c r="W375" s="33"/>
      <x:c r="X375" s="33" t="s">
        <x:v>238</x:v>
      </x:c>
      <x:c r="Y375" s="36"/>
      <x:c r="Z375" s="36"/>
      <x:c r="AA375" s="33" t="s">
        <x:v>120</x:v>
      </x:c>
      <x:c r="AB375" s="37" t="n">
        <x:f>IFERROR(INDEX(Effort_Model!$J$6:$J$33,MATCH(K375&amp;"|"&amp;L375,Effort_Model!$B$6:$B$33,0)),"")</x:f>
        <x:v>26.4</x:v>
      </x:c>
      <x:c r="AC375" s="38">
        <x:v>279.60000000000002</x:v>
      </x:c>
      <x:c r="AD375" s="37">
        <x:f t="shared" si="5"/>
        <x:v>344.93330000000003</x:v>
      </x:c>
      <x:c r="AE375" s="37" t="n">
        <x:f>IFERROR(ROUND(IFERROR(INDEX(Scoring_Rules!$C$43:$C$44,MATCH(Q375,Scoring_Rules!$B$43:$B$44,0)),0)*Scoring_Rules!$C$6+IFERROR(INDEX(Scoring_Rules!$C$34:$C$40,MATCH(K375,Scoring_Rules!$B$34:$B$40,0)),0)*Scoring_Rules!$C$7+IFERROR(INDEX(Scoring_Rules!$C$16:$C$19,MATCH(P375,Scoring_Rules!$B$16:$B$19,0)),0)*Scoring_Rules!$C$8+IFERROR(INDEX(Scoring_Rules!$C$22:$C$25,MATCH(O375,Scoring_Rules!$B$22:$B$25,0)),0)*Scoring_Rules!$C$9+IFERROR(INDEX(Scoring_Rules!$C$47:$C$50,MATCH(X375,Scoring_Rules!$B$47:$B$50,0)),0)*Scoring_Rules!$C$10+IFERROR(INDEX(Scoring_Rules!$C$28:$C$31,MATCH(R375,Scoring_Rules!$B$28:$B$31,0)),0)*Scoring_Rules!$C$11,1),"")</x:f>
        <x:v>59.3</x:v>
      </x:c>
      <x:c r="AF375" s="35">
        <x:v>4</x:v>
      </x:c>
      <x:c r="AG375" s="33" t="s">
        <x:v>1629</x:v>
      </x:c>
      <x:c r="AH375" s="36">
        <x:v>46401</x:v>
      </x:c>
      <x:c r="AI375" s="33" t="s">
        <x:v>127</x:v>
      </x:c>
      <x:c r="AJ375" s="34"/>
    </x:row>
    <x:row r="376" ht="15" customHeight="1">
      <x:c r="A376" s="31" t="s">
        <x:v>1849</x:v>
      </x:c>
      <x:c r="B376" s="31" t="s">
        <x:v>1850</x:v>
      </x:c>
      <x:c r="C376" s="31" t="s">
        <x:v>1623</x:v>
      </x:c>
      <x:c r="D376" s="32" t="s">
        <x:v>1624</x:v>
      </x:c>
      <x:c r="E376" s="32" t="str">
        <x:v>Data Migration Only</x:v>
      </x:c>
      <x:c r="F376" s="33" t="s">
        <x:v>118</x:v>
      </x:c>
      <x:c r="G376" s="34" t="s">
        <x:v>1625</x:v>
      </x:c>
      <x:c r="H376" s="33" t="s">
        <x:v>87</x:v>
      </x:c>
      <x:c r="I376" s="33" t="s">
        <x:v>1626</x:v>
      </x:c>
      <x:c r="J376" s="33" t="s">
        <x:v>80</x:v>
      </x:c>
      <x:c r="K376" s="33" t="s">
        <x:v>60</x:v>
      </x:c>
      <x:c r="L376" s="33" t="s">
        <x:v>77</x:v>
      </x:c>
      <x:c r="M376" s="35">
        <x:v>44</x:v>
      </x:c>
      <x:c r="N376" s="35">
        <x:v>5068851</x:v>
      </x:c>
      <x:c r="O376" s="33" t="s">
        <x:v>73</x:v>
      </x:c>
      <x:c r="P376" s="33" t="s">
        <x:v>101</x:v>
      </x:c>
      <x:c r="Q376" s="33" t="s">
        <x:v>120</x:v>
      </x:c>
      <x:c r="R376" s="33" t="s">
        <x:v>98</x:v>
      </x:c>
      <x:c r="S376" s="31" t="s">
        <x:v>1851</x:v>
      </x:c>
      <x:c r="T376" s="31" t="s">
        <x:v>1852</x:v>
      </x:c>
      <x:c r="U376" s="31" t="s">
        <x:v>522</x:v>
      </x:c>
      <x:c r="V376" s="33" t="s">
        <x:v>365</x:v>
      </x:c>
      <x:c r="W376" s="33"/>
      <x:c r="X376" s="33" t="s">
        <x:v>238</x:v>
      </x:c>
      <x:c r="Y376" s="36"/>
      <x:c r="Z376" s="36"/>
      <x:c r="AA376" s="33" t="s">
        <x:v>120</x:v>
      </x:c>
      <x:c r="AB376" s="37" t="n">
        <x:f>IFERROR(INDEX(Effort_Model!$J$6:$J$33,MATCH(K376&amp;"|"&amp;L376,Effort_Model!$B$6:$B$33,0)),"")</x:f>
        <x:v>42.4</x:v>
      </x:c>
      <x:c r="AC376" s="38">
        <x:v>435</x:v>
      </x:c>
      <x:c r="AD376" s="37">
        <x:f t="shared" si="5"/>
        <x:v>580.33330000000001</x:v>
      </x:c>
      <x:c r="AE376" s="37" t="n">
        <x:f>IFERROR(ROUND(IFERROR(INDEX(Scoring_Rules!$C$43:$C$44,MATCH(Q376,Scoring_Rules!$B$43:$B$44,0)),0)*Scoring_Rules!$C$6+IFERROR(INDEX(Scoring_Rules!$C$34:$C$40,MATCH(K376,Scoring_Rules!$B$34:$B$40,0)),0)*Scoring_Rules!$C$7+IFERROR(INDEX(Scoring_Rules!$C$16:$C$19,MATCH(P376,Scoring_Rules!$B$16:$B$19,0)),0)*Scoring_Rules!$C$8+IFERROR(INDEX(Scoring_Rules!$C$22:$C$25,MATCH(O376,Scoring_Rules!$B$22:$B$25,0)),0)*Scoring_Rules!$C$9+IFERROR(INDEX(Scoring_Rules!$C$47:$C$50,MATCH(X376,Scoring_Rules!$B$47:$B$50,0)),0)*Scoring_Rules!$C$10+IFERROR(INDEX(Scoring_Rules!$C$28:$C$31,MATCH(R376,Scoring_Rules!$B$28:$B$31,0)),0)*Scoring_Rules!$C$11,1),"")</x:f>
        <x:v>52.5</x:v>
      </x:c>
      <x:c r="AF376" s="35">
        <x:v>7</x:v>
      </x:c>
      <x:c r="AG376" s="33" t="s">
        <x:v>1634</x:v>
      </x:c>
      <x:c r="AH376" s="36">
        <x:v>46323</x:v>
      </x:c>
      <x:c r="AI376" s="33" t="s">
        <x:v>127</x:v>
      </x:c>
      <x:c r="AJ376" s="34" t="s">
        <x:v>354</x:v>
      </x:c>
    </x:row>
    <x:row r="377" ht="23.25" customHeight="1">
      <x:c r="A377" s="31" t="s">
        <x:v>1853</x:v>
      </x:c>
      <x:c r="B377" s="31" t="s">
        <x:v>1854</x:v>
      </x:c>
      <x:c r="C377" s="31" t="s">
        <x:v>1623</x:v>
      </x:c>
      <x:c r="D377" s="32" t="s">
        <x:v>1855</x:v>
      </x:c>
      <x:c r="E377" s="32" t="str">
        <x:v>Data Migration Only</x:v>
      </x:c>
      <x:c r="F377" s="33" t="s">
        <x:v>118</x:v>
      </x:c>
      <x:c r="G377" s="34" t="s">
        <x:v>1638</x:v>
      </x:c>
      <x:c r="H377" s="33" t="s">
        <x:v>87</x:v>
      </x:c>
      <x:c r="I377" s="33" t="s">
        <x:v>1626</x:v>
      </x:c>
      <x:c r="J377" s="33" t="s">
        <x:v>80</x:v>
      </x:c>
      <x:c r="K377" s="33" t="s">
        <x:v>58</x:v>
      </x:c>
      <x:c r="L377" s="33" t="s">
        <x:v>73</x:v>
      </x:c>
      <x:c r="M377" s="35">
        <x:v>23</x:v>
      </x:c>
      <x:c r="N377" s="35">
        <x:v>1013125</x:v>
      </x:c>
      <x:c r="O377" s="33" t="s">
        <x:v>98</x:v>
      </x:c>
      <x:c r="P377" s="33" t="s">
        <x:v>73</x:v>
      </x:c>
      <x:c r="Q377" s="33" t="s">
        <x:v>118</x:v>
      </x:c>
      <x:c r="R377" s="33" t="s">
        <x:v>101</x:v>
      </x:c>
      <x:c r="S377" s="31" t="s">
        <x:v>1856</x:v>
      </x:c>
      <x:c r="T377" s="31" t="s">
        <x:v>1857</x:v>
      </x:c>
      <x:c r="U377" s="31" t="s">
        <x:v>276</x:v>
      </x:c>
      <x:c r="V377" s="33" t="s">
        <x:v>329</x:v>
      </x:c>
      <x:c r="W377" s="33" t="s">
        <x:v>1858</x:v>
      </x:c>
      <x:c r="X377" s="33" t="s">
        <x:v>240</x:v>
      </x:c>
      <x:c r="Y377" s="36"/>
      <x:c r="Z377" s="36"/>
      <x:c r="AA377" s="33" t="s">
        <x:v>120</x:v>
      </x:c>
      <x:c r="AB377" s="37" t="n">
        <x:f>IFERROR(INDEX(Effort_Model!$J$6:$J$33,MATCH(K377&amp;"|"&amp;L377,Effort_Model!$B$6:$B$33,0)),"")</x:f>
        <x:v>26.4</x:v>
      </x:c>
      <x:c r="AC377" s="38">
        <x:v>161.30000000000001</x:v>
      </x:c>
      <x:c r="AD377" s="37">
        <x:f t="shared" si="5"/>
        <x:v>206.3</x:v>
      </x:c>
      <x:c r="AE377" s="37" t="n">
        <x:f>IFERROR(ROUND(IFERROR(INDEX(Scoring_Rules!$C$43:$C$44,MATCH(Q377,Scoring_Rules!$B$43:$B$44,0)),0)*Scoring_Rules!$C$6+IFERROR(INDEX(Scoring_Rules!$C$34:$C$40,MATCH(K377,Scoring_Rules!$B$34:$B$40,0)),0)*Scoring_Rules!$C$7+IFERROR(INDEX(Scoring_Rules!$C$16:$C$19,MATCH(P377,Scoring_Rules!$B$16:$B$19,0)),0)*Scoring_Rules!$C$8+IFERROR(INDEX(Scoring_Rules!$C$22:$C$25,MATCH(O377,Scoring_Rules!$B$22:$B$25,0)),0)*Scoring_Rules!$C$9+IFERROR(INDEX(Scoring_Rules!$C$47:$C$50,MATCH(X377,Scoring_Rules!$B$47:$B$50,0)),0)*Scoring_Rules!$C$10+IFERROR(INDEX(Scoring_Rules!$C$28:$C$31,MATCH(R377,Scoring_Rules!$B$28:$B$31,0)),0)*Scoring_Rules!$C$11,1),"")</x:f>
        <x:v>78.3</x:v>
      </x:c>
      <x:c r="AF377" s="35">
        <x:v>1</x:v>
      </x:c>
      <x:c r="AG377" s="33" t="s">
        <x:v>1639</x:v>
      </x:c>
      <x:c r="AH377" s="36">
        <x:v>46325</x:v>
      </x:c>
      <x:c r="AI377" s="33" t="s">
        <x:v>128</x:v>
      </x:c>
      <x:c r="AJ377" s="34" t="s">
        <x:v>354</x:v>
      </x:c>
    </x:row>
    <x:row r="378" ht="15" customHeight="1">
      <x:c r="A378" s="31" t="s">
        <x:v>1859</x:v>
      </x:c>
      <x:c r="B378" s="31" t="s">
        <x:v>1860</x:v>
      </x:c>
      <x:c r="C378" s="31" t="s">
        <x:v>1623</x:v>
      </x:c>
      <x:c r="D378" s="32" t="s">
        <x:v>1686</x:v>
      </x:c>
      <x:c r="E378" s="32" t="str">
        <x:v>Data Migration Only</x:v>
      </x:c>
      <x:c r="F378" s="33" t="s">
        <x:v>118</x:v>
      </x:c>
      <x:c r="G378" s="34" t="s">
        <x:v>629</x:v>
      </x:c>
      <x:c r="H378" s="33" t="s">
        <x:v>89</x:v>
      </x:c>
      <x:c r="I378" s="33" t="s">
        <x:v>1626</x:v>
      </x:c>
      <x:c r="J378" s="33" t="s">
        <x:v>80</x:v>
      </x:c>
      <x:c r="K378" s="33" t="s">
        <x:v>64</x:v>
      </x:c>
      <x:c r="L378" s="33" t="s">
        <x:v>73</x:v>
      </x:c>
      <x:c r="M378" s="35">
        <x:v>135</x:v>
      </x:c>
      <x:c r="N378" s="35">
        <x:v>1194781576</x:v>
      </x:c>
      <x:c r="O378" s="33" t="s">
        <x:v>101</x:v>
      </x:c>
      <x:c r="P378" s="33" t="s">
        <x:v>73</x:v>
      </x:c>
      <x:c r="Q378" s="33" t="s">
        <x:v>120</x:v>
      </x:c>
      <x:c r="R378" s="33" t="s">
        <x:v>101</x:v>
      </x:c>
      <x:c r="S378" s="31" t="s">
        <x:v>1434</x:v>
      </x:c>
      <x:c r="T378" s="31" t="s">
        <x:v>1861</x:v>
      </x:c>
      <x:c r="U378" s="31" t="s">
        <x:v>276</x:v>
      </x:c>
      <x:c r="V378" s="33" t="s">
        <x:v>365</x:v>
      </x:c>
      <x:c r="W378" s="33"/>
      <x:c r="X378" s="33" t="s">
        <x:v>238</x:v>
      </x:c>
      <x:c r="Y378" s="36">
        <x:v>46528</x:v>
      </x:c>
      <x:c r="Z378" s="36"/>
      <x:c r="AA378" s="33" t="s">
        <x:v>120</x:v>
      </x:c>
      <x:c r="AB378" s="37" t="n">
        <x:f>IFERROR(INDEX(Effort_Model!$J$6:$J$33,MATCH(K378&amp;"|"&amp;L378,Effort_Model!$B$6:$B$33,0)),"")</x:f>
        <x:v>106.4</x:v>
      </x:c>
      <x:c r="AC378" s="38">
        <x:v>830.5</x:v>
      </x:c>
      <x:c r="AD378" s="37">
        <x:f t="shared" si="5"/>
        <x:v>1035.5</x:v>
      </x:c>
      <x:c r="AE378" s="37" t="n">
        <x:f>IFERROR(ROUND(IFERROR(INDEX(Scoring_Rules!$C$43:$C$44,MATCH(Q378,Scoring_Rules!$B$43:$B$44,0)),0)*Scoring_Rules!$C$6+IFERROR(INDEX(Scoring_Rules!$C$34:$C$40,MATCH(K378,Scoring_Rules!$B$34:$B$40,0)),0)*Scoring_Rules!$C$7+IFERROR(INDEX(Scoring_Rules!$C$16:$C$19,MATCH(P378,Scoring_Rules!$B$16:$B$19,0)),0)*Scoring_Rules!$C$8+IFERROR(INDEX(Scoring_Rules!$C$22:$C$25,MATCH(O378,Scoring_Rules!$B$22:$B$25,0)),0)*Scoring_Rules!$C$9+IFERROR(INDEX(Scoring_Rules!$C$47:$C$50,MATCH(X378,Scoring_Rules!$B$47:$B$50,0)),0)*Scoring_Rules!$C$10+IFERROR(INDEX(Scoring_Rules!$C$28:$C$31,MATCH(R378,Scoring_Rules!$B$28:$B$31,0)),0)*Scoring_Rules!$C$11,1),"")</x:f>
        <x:v>43</x:v>
      </x:c>
      <x:c r="AF378" s="35"/>
      <x:c r="AG378" s="33" t="s">
        <x:v>1645</x:v>
      </x:c>
      <x:c r="AH378" s="36">
        <x:v>46300</x:v>
      </x:c>
      <x:c r="AI378" s="33" t="s">
        <x:v>126</x:v>
      </x:c>
      <x:c r="AJ378" s="34" t="s">
        <x:v>354</x:v>
      </x:c>
    </x:row>
    <x:row r="379" ht="15" customHeight="1">
      <x:c r="A379" s="31" t="s">
        <x:v>1862</x:v>
      </x:c>
      <x:c r="B379" s="31" t="s">
        <x:v>1863</x:v>
      </x:c>
      <x:c r="C379" s="31" t="s">
        <x:v>1623</x:v>
      </x:c>
      <x:c r="D379" s="32" t="s">
        <x:v>1686</x:v>
      </x:c>
      <x:c r="E379" s="32" t="str">
        <x:v>Data Migration Only</x:v>
      </x:c>
      <x:c r="F379" s="33" t="s">
        <x:v>118</x:v>
      </x:c>
      <x:c r="G379" s="34" t="s">
        <x:v>561</x:v>
      </x:c>
      <x:c r="H379" s="33" t="s">
        <x:v>89</x:v>
      </x:c>
      <x:c r="I379" s="33" t="s">
        <x:v>1626</x:v>
      </x:c>
      <x:c r="J379" s="33" t="s">
        <x:v>80</x:v>
      </x:c>
      <x:c r="K379" s="33" t="s">
        <x:v>62</x:v>
      </x:c>
      <x:c r="L379" s="33" t="s">
        <x:v>73</x:v>
      </x:c>
      <x:c r="M379" s="35">
        <x:v>65</x:v>
      </x:c>
      <x:c r="N379" s="35">
        <x:v>123458617</x:v>
      </x:c>
      <x:c r="O379" s="33" t="s">
        <x:v>73</x:v>
      </x:c>
      <x:c r="P379" s="33" t="s">
        <x:v>73</x:v>
      </x:c>
      <x:c r="Q379" s="33" t="s">
        <x:v>120</x:v>
      </x:c>
      <x:c r="R379" s="33" t="s">
        <x:v>73</x:v>
      </x:c>
      <x:c r="S379" s="31" t="s">
        <x:v>316</x:v>
      </x:c>
      <x:c r="T379" s="31" t="s">
        <x:v>317</x:v>
      </x:c>
      <x:c r="U379" s="31" t="s">
        <x:v>276</x:v>
      </x:c>
      <x:c r="V379" s="33" t="s">
        <x:v>277</x:v>
      </x:c>
      <x:c r="W379" s="33"/>
      <x:c r="X379" s="33" t="s">
        <x:v>238</x:v>
      </x:c>
      <x:c r="Y379" s="36">
        <x:v>46311</x:v>
      </x:c>
      <x:c r="Z379" s="36"/>
      <x:c r="AA379" s="33" t="s">
        <x:v>120</x:v>
      </x:c>
      <x:c r="AB379" s="37" t="n">
        <x:f>IFERROR(INDEX(Effort_Model!$J$6:$J$33,MATCH(K379&amp;"|"&amp;L379,Effort_Model!$B$6:$B$33,0)),"")</x:f>
        <x:v>74.4</x:v>
      </x:c>
      <x:c r="AC379" s="38">
        <x:v>419.6</x:v>
      </x:c>
      <x:c r="AD379" s="37">
        <x:f t="shared" si="5"/>
        <x:v>560.6</x:v>
      </x:c>
      <x:c r="AE379" s="37" t="n">
        <x:f>IFERROR(ROUND(IFERROR(INDEX(Scoring_Rules!$C$43:$C$44,MATCH(Q379,Scoring_Rules!$B$43:$B$44,0)),0)*Scoring_Rules!$C$6+IFERROR(INDEX(Scoring_Rules!$C$34:$C$40,MATCH(K379,Scoring_Rules!$B$34:$B$40,0)),0)*Scoring_Rules!$C$7+IFERROR(INDEX(Scoring_Rules!$C$16:$C$19,MATCH(P379,Scoring_Rules!$B$16:$B$19,0)),0)*Scoring_Rules!$C$8+IFERROR(INDEX(Scoring_Rules!$C$22:$C$25,MATCH(O379,Scoring_Rules!$B$22:$B$25,0)),0)*Scoring_Rules!$C$9+IFERROR(INDEX(Scoring_Rules!$C$47:$C$50,MATCH(X379,Scoring_Rules!$B$47:$B$50,0)),0)*Scoring_Rules!$C$10+IFERROR(INDEX(Scoring_Rules!$C$28:$C$31,MATCH(R379,Scoring_Rules!$B$28:$B$31,0)),0)*Scoring_Rules!$C$11,1),"")</x:f>
        <x:v>54</x:v>
      </x:c>
      <x:c r="AF379" s="35"/>
      <x:c r="AG379" s="33" t="s">
        <x:v>1629</x:v>
      </x:c>
      <x:c r="AH379" s="36">
        <x:v>46380</x:v>
      </x:c>
      <x:c r="AI379" s="33" t="s">
        <x:v>126</x:v>
      </x:c>
      <x:c r="AJ379" s="34" t="s">
        <x:v>336</x:v>
      </x:c>
    </x:row>
    <x:row r="380" ht="57" customHeight="1">
      <x:c r="A380" s="31" t="s">
        <x:v>1864</x:v>
      </x:c>
      <x:c r="B380" s="31" t="s">
        <x:v>1865</x:v>
      </x:c>
      <x:c r="C380" s="31" t="s">
        <x:v>1623</x:v>
      </x:c>
      <x:c r="D380" s="32" t="s">
        <x:v>1866</x:v>
      </x:c>
      <x:c r="E380" s="32" t="str">
        <x:v>Data Migration Only</x:v>
      </x:c>
      <x:c r="F380" s="33" t="s">
        <x:v>118</x:v>
      </x:c>
      <x:c r="G380" s="34" t="s">
        <x:v>1648</x:v>
      </x:c>
      <x:c r="H380" s="33" t="s">
        <x:v>87</x:v>
      </x:c>
      <x:c r="I380" s="33" t="s">
        <x:v>1626</x:v>
      </x:c>
      <x:c r="J380" s="33" t="s">
        <x:v>80</x:v>
      </x:c>
      <x:c r="K380" s="33" t="s">
        <x:v>58</x:v>
      </x:c>
      <x:c r="L380" s="33" t="s">
        <x:v>73</x:v>
      </x:c>
      <x:c r="M380" s="35">
        <x:v>15</x:v>
      </x:c>
      <x:c r="N380" s="35">
        <x:v>718945</x:v>
      </x:c>
      <x:c r="O380" s="33" t="s">
        <x:v>98</x:v>
      </x:c>
      <x:c r="P380" s="33" t="s">
        <x:v>73</x:v>
      </x:c>
      <x:c r="Q380" s="33" t="s">
        <x:v>118</x:v>
      </x:c>
      <x:c r="R380" s="33" t="s">
        <x:v>115</x:v>
      </x:c>
      <x:c r="S380" s="31" t="s">
        <x:v>1867</x:v>
      </x:c>
      <x:c r="T380" s="31" t="s">
        <x:v>1868</x:v>
      </x:c>
      <x:c r="U380" s="31" t="s">
        <x:v>276</x:v>
      </x:c>
      <x:c r="V380" s="33" t="s">
        <x:v>303</x:v>
      </x:c>
      <x:c r="W380" s="33" t="s">
        <x:v>1869</x:v>
      </x:c>
      <x:c r="X380" s="33" t="s">
        <x:v>240</x:v>
      </x:c>
      <x:c r="Y380" s="36"/>
      <x:c r="Z380" s="36"/>
      <x:c r="AA380" s="33" t="s">
        <x:v>120</x:v>
      </x:c>
      <x:c r="AB380" s="37" t="n">
        <x:f>IFERROR(INDEX(Effort_Model!$J$6:$J$33,MATCH(K380&amp;"|"&amp;L380,Effort_Model!$B$6:$B$33,0)),"")</x:f>
        <x:v>26.4</x:v>
      </x:c>
      <x:c r="AC380" s="38">
        <x:v>146.9</x:v>
      </x:c>
      <x:c r="AD380" s="37">
        <x:f t="shared" si="5"/>
        <x:v>191.9</x:v>
      </x:c>
      <x:c r="AE380" s="37" t="n">
        <x:f>IFERROR(ROUND(IFERROR(INDEX(Scoring_Rules!$C$43:$C$44,MATCH(Q380,Scoring_Rules!$B$43:$B$44,0)),0)*Scoring_Rules!$C$6+IFERROR(INDEX(Scoring_Rules!$C$34:$C$40,MATCH(K380,Scoring_Rules!$B$34:$B$40,0)),0)*Scoring_Rules!$C$7+IFERROR(INDEX(Scoring_Rules!$C$16:$C$19,MATCH(P380,Scoring_Rules!$B$16:$B$19,0)),0)*Scoring_Rules!$C$8+IFERROR(INDEX(Scoring_Rules!$C$22:$C$25,MATCH(O380,Scoring_Rules!$B$22:$B$25,0)),0)*Scoring_Rules!$C$9+IFERROR(INDEX(Scoring_Rules!$C$47:$C$50,MATCH(X380,Scoring_Rules!$B$47:$B$50,0)),0)*Scoring_Rules!$C$10+IFERROR(INDEX(Scoring_Rules!$C$28:$C$31,MATCH(R380,Scoring_Rules!$B$28:$B$31,0)),0)*Scoring_Rules!$C$11,1),"")</x:f>
        <x:v>76.5</x:v>
      </x:c>
      <x:c r="AF380" s="35">
        <x:v>1</x:v>
      </x:c>
      <x:c r="AG380" s="33" t="s">
        <x:v>1634</x:v>
      </x:c>
      <x:c r="AH380" s="36">
        <x:v>46347</x:v>
      </x:c>
      <x:c r="AI380" s="33" t="s">
        <x:v>126</x:v>
      </x:c>
      <x:c r="AJ380" s="34" t="s">
        <x:v>336</x:v>
      </x:c>
    </x:row>
    <x:row r="381" ht="15" customHeight="1">
      <x:c r="A381" s="31" t="s">
        <x:v>1870</x:v>
      </x:c>
      <x:c r="B381" s="31" t="s">
        <x:v>1871</x:v>
      </x:c>
      <x:c r="C381" s="31" t="s">
        <x:v>1623</x:v>
      </x:c>
      <x:c r="D381" s="32" t="s">
        <x:v>1624</x:v>
      </x:c>
      <x:c r="E381" s="32" t="str">
        <x:v>Data Migration Only</x:v>
      </x:c>
      <x:c r="F381" s="33" t="s">
        <x:v>120</x:v>
      </x:c>
      <x:c r="G381" s="34" t="s">
        <x:v>1638</x:v>
      </x:c>
      <x:c r="H381" s="33" t="s">
        <x:v>87</x:v>
      </x:c>
      <x:c r="I381" s="33" t="s">
        <x:v>1626</x:v>
      </x:c>
      <x:c r="J381" s="33" t="s">
        <x:v>80</x:v>
      </x:c>
      <x:c r="K381" s="33" t="s">
        <x:v>64</x:v>
      </x:c>
      <x:c r="L381" s="33" t="s">
        <x:v>73</x:v>
      </x:c>
      <x:c r="M381" s="35">
        <x:v>91</x:v>
      </x:c>
      <x:c r="N381" s="35">
        <x:v>1294898116</x:v>
      </x:c>
      <x:c r="O381" s="33" t="s">
        <x:v>103</x:v>
      </x:c>
      <x:c r="P381" s="33" t="s">
        <x:v>73</x:v>
      </x:c>
      <x:c r="Q381" s="33" t="s">
        <x:v>120</x:v>
      </x:c>
      <x:c r="R381" s="33" t="s">
        <x:v>101</x:v>
      </x:c>
      <x:c r="S381" s="31" t="s">
        <x:v>1826</x:v>
      </x:c>
      <x:c r="T381" s="31" t="s">
        <x:v>1872</x:v>
      </x:c>
      <x:c r="U381" s="31" t="s">
        <x:v>276</x:v>
      </x:c>
      <x:c r="V381" s="33" t="s">
        <x:v>303</x:v>
      </x:c>
      <x:c r="W381" s="33" t="s">
        <x:v>1684</x:v>
      </x:c>
      <x:c r="X381" s="33" t="s">
        <x:v>239</x:v>
      </x:c>
      <x:c r="Y381" s="36">
        <x:v>46422</x:v>
      </x:c>
      <x:c r="Z381" s="36">
        <x:v>46854</x:v>
      </x:c>
      <x:c r="AA381" s="33" t="s">
        <x:v>120</x:v>
      </x:c>
      <x:c r="AB381" s="37" t="n">
        <x:f>IFERROR(INDEX(Effort_Model!$J$6:$J$33,MATCH(K381&amp;"|"&amp;L381,Effort_Model!$B$6:$B$33,0)),"")</x:f>
        <x:v>106.4</x:v>
      </x:c>
      <x:c r="AC381" s="38">
        <x:v>823.7</x:v>
      </x:c>
      <x:c r="AD381" s="37">
        <x:f t="shared" si="5"/>
        <x:v>1028.7</x:v>
      </x:c>
      <x:c r="AE381" s="37" t="n">
        <x:f>IFERROR(ROUND(IFERROR(INDEX(Scoring_Rules!$C$43:$C$44,MATCH(Q381,Scoring_Rules!$B$43:$B$44,0)),0)*Scoring_Rules!$C$6+IFERROR(INDEX(Scoring_Rules!$C$34:$C$40,MATCH(K381,Scoring_Rules!$B$34:$B$40,0)),0)*Scoring_Rules!$C$7+IFERROR(INDEX(Scoring_Rules!$C$16:$C$19,MATCH(P381,Scoring_Rules!$B$16:$B$19,0)),0)*Scoring_Rules!$C$8+IFERROR(INDEX(Scoring_Rules!$C$22:$C$25,MATCH(O381,Scoring_Rules!$B$22:$B$25,0)),0)*Scoring_Rules!$C$9+IFERROR(INDEX(Scoring_Rules!$C$47:$C$50,MATCH(X381,Scoring_Rules!$B$47:$B$50,0)),0)*Scoring_Rules!$C$10+IFERROR(INDEX(Scoring_Rules!$C$28:$C$31,MATCH(R381,Scoring_Rules!$B$28:$B$31,0)),0)*Scoring_Rules!$C$11,1),"")</x:f>
        <x:v>33.3</x:v>
      </x:c>
      <x:c r="AF381" s="35">
        <x:v>6</x:v>
      </x:c>
      <x:c r="AG381" s="33" t="s">
        <x:v>1639</x:v>
      </x:c>
      <x:c r="AH381" s="36">
        <x:v>46374</x:v>
      </x:c>
      <x:c r="AI381" s="33" t="s">
        <x:v>124</x:v>
      </x:c>
      <x:c r="AJ381" s="34" t="s">
        <x:v>395</x:v>
      </x:c>
    </x:row>
    <x:row r="382" ht="15" customHeight="1">
      <x:c r="A382" s="31" t="s">
        <x:v>1873</x:v>
      </x:c>
      <x:c r="B382" s="31" t="s">
        <x:v>1874</x:v>
      </x:c>
      <x:c r="C382" s="31" t="s">
        <x:v>1623</x:v>
      </x:c>
      <x:c r="D382" s="32" t="s">
        <x:v>1024</x:v>
      </x:c>
      <x:c r="E382" s="32" t="str">
        <x:v>Functional Migration Only</x:v>
      </x:c>
      <x:c r="F382" s="33" t="s">
        <x:v>118</x:v>
      </x:c>
      <x:c r="G382" s="34" t="s">
        <x:v>1625</x:v>
      </x:c>
      <x:c r="H382" s="33" t="s">
        <x:v>87</x:v>
      </x:c>
      <x:c r="I382" s="33" t="s">
        <x:v>1626</x:v>
      </x:c>
      <x:c r="J382" s="33" t="s">
        <x:v>82</x:v>
      </x:c>
      <x:c r="K382" s="33" t="s">
        <x:v>64</x:v>
      </x:c>
      <x:c r="L382" s="33" t="s">
        <x:v>75</x:v>
      </x:c>
      <x:c r="M382" s="35">
        <x:v>83</x:v>
      </x:c>
      <x:c r="N382" s="35">
        <x:v>667433541</x:v>
      </x:c>
      <x:c r="O382" s="33" t="s">
        <x:v>101</x:v>
      </x:c>
      <x:c r="P382" s="33" t="s">
        <x:v>73</x:v>
      </x:c>
      <x:c r="Q382" s="33" t="s">
        <x:v>120</x:v>
      </x:c>
      <x:c r="R382" s="33" t="s">
        <x:v>101</x:v>
      </x:c>
      <x:c r="S382" s="31" t="s">
        <x:v>1875</x:v>
      </x:c>
      <x:c r="T382" s="31" t="s">
        <x:v>1876</x:v>
      </x:c>
      <x:c r="U382" s="31" t="s">
        <x:v>522</x:v>
      </x:c>
      <x:c r="V382" s="33" t="s">
        <x:v>277</x:v>
      </x:c>
      <x:c r="W382" s="33"/>
      <x:c r="X382" s="33" t="s">
        <x:v>238</x:v>
      </x:c>
      <x:c r="Y382" s="36"/>
      <x:c r="Z382" s="36"/>
      <x:c r="AA382" s="33" t="s">
        <x:v>120</x:v>
      </x:c>
      <x:c r="AB382" s="37" t="n">
        <x:f>IFERROR(INDEX(Effort_Model!$J$6:$J$33,MATCH(K382&amp;"|"&amp;L382,Effort_Model!$B$6:$B$33,0)),"")</x:f>
        <x:v>106.4</x:v>
      </x:c>
      <x:c r="AC382" s="38">
        <x:v>1602.6</x:v>
      </x:c>
      <x:c r="AD382" s="37">
        <x:f t="shared" si="5"/>
        <x:v>1907.9332999999999</x:v>
      </x:c>
      <x:c r="AE382" s="37" t="n">
        <x:f>IFERROR(ROUND(IFERROR(INDEX(Scoring_Rules!$C$43:$C$44,MATCH(Q382,Scoring_Rules!$B$43:$B$44,0)),0)*Scoring_Rules!$C$6+IFERROR(INDEX(Scoring_Rules!$C$34:$C$40,MATCH(K382,Scoring_Rules!$B$34:$B$40,0)),0)*Scoring_Rules!$C$7+IFERROR(INDEX(Scoring_Rules!$C$16:$C$19,MATCH(P382,Scoring_Rules!$B$16:$B$19,0)),0)*Scoring_Rules!$C$8+IFERROR(INDEX(Scoring_Rules!$C$22:$C$25,MATCH(O382,Scoring_Rules!$B$22:$B$25,0)),0)*Scoring_Rules!$C$9+IFERROR(INDEX(Scoring_Rules!$C$47:$C$50,MATCH(X382,Scoring_Rules!$B$47:$B$50,0)),0)*Scoring_Rules!$C$10+IFERROR(INDEX(Scoring_Rules!$C$28:$C$31,MATCH(R382,Scoring_Rules!$B$28:$B$31,0)),0)*Scoring_Rules!$C$11,1),"")</x:f>
        <x:v>43</x:v>
      </x:c>
      <x:c r="AF382" s="35">
        <x:v>6</x:v>
      </x:c>
      <x:c r="AG382" s="33" t="s">
        <x:v>1645</x:v>
      </x:c>
      <x:c r="AH382" s="36">
        <x:v>46381</x:v>
      </x:c>
      <x:c r="AI382" s="33" t="s">
        <x:v>124</x:v>
      </x:c>
      <x:c r="AJ382" s="34" t="s">
        <x:v>354</x:v>
      </x:c>
    </x:row>
    <x:row r="383" ht="15" customHeight="1">
      <x:c r="A383" s="31" t="s">
        <x:v>1877</x:v>
      </x:c>
      <x:c r="B383" s="31" t="s">
        <x:v>1878</x:v>
      </x:c>
      <x:c r="C383" s="31" t="s">
        <x:v>1623</x:v>
      </x:c>
      <x:c r="D383" s="32" t="s">
        <x:v>1686</x:v>
      </x:c>
      <x:c r="E383" s="32" t="str">
        <x:v>Data Migration Only</x:v>
      </x:c>
      <x:c r="F383" s="33" t="s">
        <x:v>118</x:v>
      </x:c>
      <x:c r="G383" s="34" t="s">
        <x:v>1648</x:v>
      </x:c>
      <x:c r="H383" s="33" t="s">
        <x:v>87</x:v>
      </x:c>
      <x:c r="I383" s="33" t="s">
        <x:v>1626</x:v>
      </x:c>
      <x:c r="J383" s="33" t="s">
        <x:v>80</x:v>
      </x:c>
      <x:c r="K383" s="33" t="s">
        <x:v>60</x:v>
      </x:c>
      <x:c r="L383" s="33" t="s">
        <x:v>77</x:v>
      </x:c>
      <x:c r="M383" s="35">
        <x:v>44</x:v>
      </x:c>
      <x:c r="N383" s="35">
        <x:v>6452673</x:v>
      </x:c>
      <x:c r="O383" s="33" t="s">
        <x:v>103</x:v>
      </x:c>
      <x:c r="P383" s="33" t="s">
        <x:v>101</x:v>
      </x:c>
      <x:c r="Q383" s="33" t="s">
        <x:v>120</x:v>
      </x:c>
      <x:c r="R383" s="33" t="s">
        <x:v>115</x:v>
      </x:c>
      <x:c r="S383" s="31" t="s">
        <x:v>351</x:v>
      </x:c>
      <x:c r="T383" s="31" t="s">
        <x:v>352</x:v>
      </x:c>
      <x:c r="U383" s="31" t="s">
        <x:v>276</x:v>
      </x:c>
      <x:c r="V383" s="33" t="s">
        <x:v>444</x:v>
      </x:c>
      <x:c r="W383" s="33"/>
      <x:c r="X383" s="33" t="s">
        <x:v>238</x:v>
      </x:c>
      <x:c r="Y383" s="36">
        <x:v>46523</x:v>
      </x:c>
      <x:c r="Z383" s="36"/>
      <x:c r="AA383" s="33" t="s">
        <x:v>120</x:v>
      </x:c>
      <x:c r="AB383" s="37" t="n">
        <x:f>IFERROR(INDEX(Effort_Model!$J$6:$J$33,MATCH(K383&amp;"|"&amp;L383,Effort_Model!$B$6:$B$33,0)),"")</x:f>
        <x:v>42.4</x:v>
      </x:c>
      <x:c r="AC383" s="38">
        <x:v>408.7</x:v>
      </x:c>
      <x:c r="AD383" s="37">
        <x:f t="shared" si="5"/>
        <x:v>554.03330000000005</x:v>
      </x:c>
      <x:c r="AE383" s="37" t="n">
        <x:f>IFERROR(ROUND(IFERROR(INDEX(Scoring_Rules!$C$43:$C$44,MATCH(Q383,Scoring_Rules!$B$43:$B$44,0)),0)*Scoring_Rules!$C$6+IFERROR(INDEX(Scoring_Rules!$C$34:$C$40,MATCH(K383,Scoring_Rules!$B$34:$B$40,0)),0)*Scoring_Rules!$C$7+IFERROR(INDEX(Scoring_Rules!$C$16:$C$19,MATCH(P383,Scoring_Rules!$B$16:$B$19,0)),0)*Scoring_Rules!$C$8+IFERROR(INDEX(Scoring_Rules!$C$22:$C$25,MATCH(O383,Scoring_Rules!$B$22:$B$25,0)),0)*Scoring_Rules!$C$9+IFERROR(INDEX(Scoring_Rules!$C$47:$C$50,MATCH(X383,Scoring_Rules!$B$47:$B$50,0)),0)*Scoring_Rules!$C$10+IFERROR(INDEX(Scoring_Rules!$C$28:$C$31,MATCH(R383,Scoring_Rules!$B$28:$B$31,0)),0)*Scoring_Rules!$C$11,1),"")</x:f>
        <x:v>37</x:v>
      </x:c>
      <x:c r="AF383" s="35">
        <x:v>8</x:v>
      </x:c>
      <x:c r="AG383" s="33" t="s">
        <x:v>1629</x:v>
      </x:c>
      <x:c r="AH383" s="36">
        <x:v>46365</x:v>
      </x:c>
      <x:c r="AI383" s="33" t="s">
        <x:v>126</x:v>
      </x:c>
      <x:c r="AJ383" s="34"/>
    </x:row>
    <x:row r="384" ht="15" customHeight="1">
      <x:c r="A384" s="31" t="s">
        <x:v>1879</x:v>
      </x:c>
      <x:c r="B384" s="31" t="s">
        <x:v>1880</x:v>
      </x:c>
      <x:c r="C384" s="31" t="s">
        <x:v>1623</x:v>
      </x:c>
      <x:c r="D384" s="32" t="s">
        <x:v>1624</x:v>
      </x:c>
      <x:c r="E384" s="32" t="str">
        <x:v>Data Migration Only</x:v>
      </x:c>
      <x:c r="F384" s="33" t="s">
        <x:v>118</x:v>
      </x:c>
      <x:c r="G384" s="34" t="s">
        <x:v>1655</x:v>
      </x:c>
      <x:c r="H384" s="33" t="s">
        <x:v>87</x:v>
      </x:c>
      <x:c r="I384" s="33" t="s">
        <x:v>1626</x:v>
      </x:c>
      <x:c r="J384" s="33" t="s">
        <x:v>80</x:v>
      </x:c>
      <x:c r="K384" s="33" t="s">
        <x:v>62</x:v>
      </x:c>
      <x:c r="L384" s="33" t="s">
        <x:v>73</x:v>
      </x:c>
      <x:c r="M384" s="35">
        <x:v>61</x:v>
      </x:c>
      <x:c r="N384" s="35">
        <x:v>130450446</x:v>
      </x:c>
      <x:c r="O384" s="33" t="s">
        <x:v>101</x:v>
      </x:c>
      <x:c r="P384" s="33" t="s">
        <x:v>98</x:v>
      </x:c>
      <x:c r="Q384" s="33" t="s">
        <x:v>120</x:v>
      </x:c>
      <x:c r="R384" s="33" t="s">
        <x:v>73</x:v>
      </x:c>
      <x:c r="S384" s="31" t="s">
        <x:v>879</x:v>
      </x:c>
      <x:c r="T384" s="31" t="s">
        <x:v>1881</x:v>
      </x:c>
      <x:c r="U384" s="31" t="s">
        <x:v>522</x:v>
      </x:c>
      <x:c r="V384" s="33" t="s">
        <x:v>444</x:v>
      </x:c>
      <x:c r="W384" s="33" t="s">
        <x:v>1882</x:v>
      </x:c>
      <x:c r="X384" s="33" t="s">
        <x:v>240</x:v>
      </x:c>
      <x:c r="Y384" s="36">
        <x:v>46315</x:v>
      </x:c>
      <x:c r="Z384" s="36"/>
      <x:c r="AA384" s="33" t="s">
        <x:v>120</x:v>
      </x:c>
      <x:c r="AB384" s="37" t="n">
        <x:f>IFERROR(INDEX(Effort_Model!$J$6:$J$33,MATCH(K384&amp;"|"&amp;L384,Effort_Model!$B$6:$B$33,0)),"")</x:f>
        <x:v>74.4</x:v>
      </x:c>
      <x:c r="AC384" s="38">
        <x:v>440.7</x:v>
      </x:c>
      <x:c r="AD384" s="37">
        <x:f t="shared" si="5"/>
        <x:v>581.70000000000005</x:v>
      </x:c>
      <x:c r="AE384" s="37" t="n">
        <x:f>IFERROR(ROUND(IFERROR(INDEX(Scoring_Rules!$C$43:$C$44,MATCH(Q384,Scoring_Rules!$B$43:$B$44,0)),0)*Scoring_Rules!$C$6+IFERROR(INDEX(Scoring_Rules!$C$34:$C$40,MATCH(K384,Scoring_Rules!$B$34:$B$40,0)),0)*Scoring_Rules!$C$7+IFERROR(INDEX(Scoring_Rules!$C$16:$C$19,MATCH(P384,Scoring_Rules!$B$16:$B$19,0)),0)*Scoring_Rules!$C$8+IFERROR(INDEX(Scoring_Rules!$C$22:$C$25,MATCH(O384,Scoring_Rules!$B$22:$B$25,0)),0)*Scoring_Rules!$C$9+IFERROR(INDEX(Scoring_Rules!$C$47:$C$50,MATCH(X384,Scoring_Rules!$B$47:$B$50,0)),0)*Scoring_Rules!$C$10+IFERROR(INDEX(Scoring_Rules!$C$28:$C$31,MATCH(R384,Scoring_Rules!$B$28:$B$31,0)),0)*Scoring_Rules!$C$11,1),"")</x:f>
        <x:v>44.3</x:v>
      </x:c>
      <x:c r="AF384" s="35">
        <x:v>4</x:v>
      </x:c>
      <x:c r="AG384" s="33" t="s">
        <x:v>1634</x:v>
      </x:c>
      <x:c r="AH384" s="36">
        <x:v>46332</x:v>
      </x:c>
      <x:c r="AI384" s="33" t="s">
        <x:v>127</x:v>
      </x:c>
      <x:c r="AJ384" s="34"/>
    </x:row>
    <x:row r="385" ht="15" customHeight="1">
      <x:c r="A385" s="31" t="s">
        <x:v>1883</x:v>
      </x:c>
      <x:c r="B385" s="31" t="s">
        <x:v>1884</x:v>
      </x:c>
      <x:c r="C385" s="31" t="s">
        <x:v>1623</x:v>
      </x:c>
      <x:c r="D385" s="32" t="s">
        <x:v>1624</x:v>
      </x:c>
      <x:c r="E385" s="32" t="str">
        <x:v>Functional Migration Only</x:v>
      </x:c>
      <x:c r="F385" s="33" t="s">
        <x:v>118</x:v>
      </x:c>
      <x:c r="G385" s="34" t="s">
        <x:v>1638</x:v>
      </x:c>
      <x:c r="H385" s="33" t="s">
        <x:v>87</x:v>
      </x:c>
      <x:c r="I385" s="33" t="s">
        <x:v>1626</x:v>
      </x:c>
      <x:c r="J385" s="33" t="s">
        <x:v>82</x:v>
      </x:c>
      <x:c r="K385" s="33" t="s">
        <x:v>60</x:v>
      </x:c>
      <x:c r="L385" s="33" t="s">
        <x:v>75</x:v>
      </x:c>
      <x:c r="M385" s="35">
        <x:v>34</x:v>
      </x:c>
      <x:c r="N385" s="35">
        <x:v>6993620</x:v>
      </x:c>
      <x:c r="O385" s="33" t="s">
        <x:v>73</x:v>
      </x:c>
      <x:c r="P385" s="33" t="s">
        <x:v>98</x:v>
      </x:c>
      <x:c r="Q385" s="33" t="s">
        <x:v>120</x:v>
      </x:c>
      <x:c r="R385" s="33" t="s">
        <x:v>115</x:v>
      </x:c>
      <x:c r="S385" s="31" t="s">
        <x:v>1885</x:v>
      </x:c>
      <x:c r="T385" s="31" t="s">
        <x:v>1886</x:v>
      </x:c>
      <x:c r="U385" s="31" t="s">
        <x:v>522</x:v>
      </x:c>
      <x:c r="V385" s="33" t="s">
        <x:v>451</x:v>
      </x:c>
      <x:c r="W385" s="33"/>
      <x:c r="X385" s="33" t="s">
        <x:v>238</x:v>
      </x:c>
      <x:c r="Y385" s="36"/>
      <x:c r="Z385" s="36"/>
      <x:c r="AA385" s="33" t="s">
        <x:v>120</x:v>
      </x:c>
      <x:c r="AB385" s="37" t="n">
        <x:f>IFERROR(INDEX(Effort_Model!$J$6:$J$33,MATCH(K385&amp;"|"&amp;L385,Effort_Model!$B$6:$B$33,0)),"")</x:f>
        <x:v>42.4</x:v>
      </x:c>
      <x:c r="AC385" s="38">
        <x:v>567.6</x:v>
      </x:c>
      <x:c r="AD385" s="37">
        <x:f t="shared" si="5"/>
        <x:v>680.93330000000003</x:v>
      </x:c>
      <x:c r="AE385" s="37" t="n">
        <x:f>IFERROR(ROUND(IFERROR(INDEX(Scoring_Rules!$C$43:$C$44,MATCH(Q385,Scoring_Rules!$B$43:$B$44,0)),0)*Scoring_Rules!$C$6+IFERROR(INDEX(Scoring_Rules!$C$34:$C$40,MATCH(K385,Scoring_Rules!$B$34:$B$40,0)),0)*Scoring_Rules!$C$7+IFERROR(INDEX(Scoring_Rules!$C$16:$C$19,MATCH(P385,Scoring_Rules!$B$16:$B$19,0)),0)*Scoring_Rules!$C$8+IFERROR(INDEX(Scoring_Rules!$C$22:$C$25,MATCH(O385,Scoring_Rules!$B$22:$B$25,0)),0)*Scoring_Rules!$C$9+IFERROR(INDEX(Scoring_Rules!$C$47:$C$50,MATCH(X385,Scoring_Rules!$B$47:$B$50,0)),0)*Scoring_Rules!$C$10+IFERROR(INDEX(Scoring_Rules!$C$28:$C$31,MATCH(R385,Scoring_Rules!$B$28:$B$31,0)),0)*Scoring_Rules!$C$11,1),"")</x:f>
        <x:v>60.5</x:v>
      </x:c>
      <x:c r="AF385" s="35">
        <x:v>4</x:v>
      </x:c>
      <x:c r="AG385" s="33" t="s">
        <x:v>1639</x:v>
      </x:c>
      <x:c r="AH385" s="36">
        <x:v>46365</x:v>
      </x:c>
      <x:c r="AI385" s="33" t="s">
        <x:v>128</x:v>
      </x:c>
      <x:c r="AJ385" s="34" t="s">
        <x:v>336</x:v>
      </x:c>
    </x:row>
    <x:row r="386" ht="15" customHeight="1">
      <x:c r="A386" s="31" t="s">
        <x:v>1887</x:v>
      </x:c>
      <x:c r="B386" s="31" t="s">
        <x:v>1888</x:v>
      </x:c>
      <x:c r="C386" s="31" t="s">
        <x:v>1623</x:v>
      </x:c>
      <x:c r="D386" s="32" t="s">
        <x:v>333</x:v>
      </x:c>
      <x:c r="E386" s="32" t="str">
        <x:v>Functional Migration Only</x:v>
      </x:c>
      <x:c r="F386" s="33" t="s">
        <x:v>118</x:v>
      </x:c>
      <x:c r="G386" s="34" t="s">
        <x:v>1655</x:v>
      </x:c>
      <x:c r="H386" s="33" t="s">
        <x:v>87</x:v>
      </x:c>
      <x:c r="I386" s="33" t="s">
        <x:v>1626</x:v>
      </x:c>
      <x:c r="J386" s="33" t="s">
        <x:v>82</x:v>
      </x:c>
      <x:c r="K386" s="33" t="s">
        <x:v>64</x:v>
      </x:c>
      <x:c r="L386" s="33" t="s">
        <x:v>73</x:v>
      </x:c>
      <x:c r="M386" s="35">
        <x:v>101</x:v>
      </x:c>
      <x:c r="N386" s="35">
        <x:v>974438251</x:v>
      </x:c>
      <x:c r="O386" s="33" t="s">
        <x:v>101</x:v>
      </x:c>
      <x:c r="P386" s="33" t="s">
        <x:v>73</x:v>
      </x:c>
      <x:c r="Q386" s="33" t="s">
        <x:v>120</x:v>
      </x:c>
      <x:c r="R386" s="33" t="s">
        <x:v>101</x:v>
      </x:c>
      <x:c r="S386" s="31" t="s">
        <x:v>1889</x:v>
      </x:c>
      <x:c r="T386" s="31" t="s">
        <x:v>1890</x:v>
      </x:c>
      <x:c r="U386" s="31" t="s">
        <x:v>276</x:v>
      </x:c>
      <x:c r="V386" s="33" t="s">
        <x:v>451</x:v>
      </x:c>
      <x:c r="W386" s="33" t="s">
        <x:v>1832</x:v>
      </x:c>
      <x:c r="X386" s="33" t="s">
        <x:v>240</x:v>
      </x:c>
      <x:c r="Y386" s="36"/>
      <x:c r="Z386" s="36"/>
      <x:c r="AA386" s="33" t="s">
        <x:v>120</x:v>
      </x:c>
      <x:c r="AB386" s="37" t="n">
        <x:f>IFERROR(INDEX(Effort_Model!$J$6:$J$33,MATCH(K386&amp;"|"&amp;L386,Effort_Model!$B$6:$B$33,0)),"")</x:f>
        <x:v>106.4</x:v>
      </x:c>
      <x:c r="AC386" s="38">
        <x:v>1232.0999999999999</x:v>
      </x:c>
      <x:c r="AD386" s="37" t="n">
        <x:f t="shared" ref="AD386:AD449" si="6">IFERROR(AB386+N(AC386),"")</x:f>
        <x:v>1338.5</x:v>
      </x:c>
      <x:c r="AE386" s="37" t="n">
        <x:f>IFERROR(ROUND(IFERROR(INDEX(Scoring_Rules!$C$43:$C$44,MATCH(Q386,Scoring_Rules!$B$43:$B$44,0)),0)*Scoring_Rules!$C$6+IFERROR(INDEX(Scoring_Rules!$C$34:$C$40,MATCH(K386,Scoring_Rules!$B$34:$B$40,0)),0)*Scoring_Rules!$C$7+IFERROR(INDEX(Scoring_Rules!$C$16:$C$19,MATCH(P386,Scoring_Rules!$B$16:$B$19,0)),0)*Scoring_Rules!$C$8+IFERROR(INDEX(Scoring_Rules!$C$22:$C$25,MATCH(O386,Scoring_Rules!$B$22:$B$25,0)),0)*Scoring_Rules!$C$9+IFERROR(INDEX(Scoring_Rules!$C$47:$C$50,MATCH(X386,Scoring_Rules!$B$47:$B$50,0)),0)*Scoring_Rules!$C$10+IFERROR(INDEX(Scoring_Rules!$C$28:$C$31,MATCH(R386,Scoring_Rules!$B$28:$B$31,0)),0)*Scoring_Rules!$C$11,1),"")</x:f>
        <x:v>32.5</x:v>
      </x:c>
      <x:c r="AF386" s="35">
        <x:v>5</x:v>
      </x:c>
      <x:c r="AG386" s="33" t="s">
        <x:v>1645</x:v>
      </x:c>
      <x:c r="AH386" s="36">
        <x:v>46394</x:v>
      </x:c>
      <x:c r="AI386" s="33" t="s">
        <x:v>127</x:v>
      </x:c>
      <x:c r="AJ386" s="34" t="s">
        <x:v>395</x:v>
      </x:c>
    </x:row>
    <x:row r="387" ht="15" customHeight="1">
      <x:c r="A387" s="31" t="s">
        <x:v>1891</x:v>
      </x:c>
      <x:c r="B387" s="31" t="s">
        <x:v>1892</x:v>
      </x:c>
      <x:c r="C387" s="31" t="s">
        <x:v>1623</x:v>
      </x:c>
      <x:c r="D387" s="32" t="s">
        <x:v>1654</x:v>
      </x:c>
      <x:c r="E387" s="32" t="str">
        <x:v>Data Migration Only</x:v>
      </x:c>
      <x:c r="F387" s="33" t="s">
        <x:v>118</x:v>
      </x:c>
      <x:c r="G387" s="34" t="s">
        <x:v>1648</x:v>
      </x:c>
      <x:c r="H387" s="33" t="s">
        <x:v>87</x:v>
      </x:c>
      <x:c r="I387" s="33" t="s">
        <x:v>1626</x:v>
      </x:c>
      <x:c r="J387" s="33" t="s">
        <x:v>80</x:v>
      </x:c>
      <x:c r="K387" s="33" t="s">
        <x:v>60</x:v>
      </x:c>
      <x:c r="L387" s="33" t="s">
        <x:v>73</x:v>
      </x:c>
      <x:c r="M387" s="35">
        <x:v>42</x:v>
      </x:c>
      <x:c r="N387" s="35">
        <x:v>6051366</x:v>
      </x:c>
      <x:c r="O387" s="33" t="s">
        <x:v>98</x:v>
      </x:c>
      <x:c r="P387" s="33" t="s">
        <x:v>73</x:v>
      </x:c>
      <x:c r="Q387" s="33" t="s">
        <x:v>118</x:v>
      </x:c>
      <x:c r="R387" s="33" t="s">
        <x:v>101</x:v>
      </x:c>
      <x:c r="S387" s="31" t="s">
        <x:v>1885</x:v>
      </x:c>
      <x:c r="T387" s="31" t="s">
        <x:v>1886</x:v>
      </x:c>
      <x:c r="U387" s="31" t="s">
        <x:v>276</x:v>
      </x:c>
      <x:c r="V387" s="33" t="s">
        <x:v>365</x:v>
      </x:c>
      <x:c r="W387" s="33"/>
      <x:c r="X387" s="33" t="s">
        <x:v>238</x:v>
      </x:c>
      <x:c r="Y387" s="36"/>
      <x:c r="Z387" s="36"/>
      <x:c r="AA387" s="33" t="s">
        <x:v>120</x:v>
      </x:c>
      <x:c r="AB387" s="37" t="n">
        <x:f>IFERROR(INDEX(Effort_Model!$J$6:$J$33,MATCH(K387&amp;"|"&amp;L387,Effort_Model!$B$6:$B$33,0)),"")</x:f>
        <x:v>42.4</x:v>
      </x:c>
      <x:c r="AC387" s="38">
        <x:v>261</x:v>
      </x:c>
      <x:c r="AD387" s="37">
        <x:f t="shared" si="6"/>
        <x:v>338</x:v>
      </x:c>
      <x:c r="AE387" s="37" t="n">
        <x:f>IFERROR(ROUND(IFERROR(INDEX(Scoring_Rules!$C$43:$C$44,MATCH(Q387,Scoring_Rules!$B$43:$B$44,0)),0)*Scoring_Rules!$C$6+IFERROR(INDEX(Scoring_Rules!$C$34:$C$40,MATCH(K387,Scoring_Rules!$B$34:$B$40,0)),0)*Scoring_Rules!$C$7+IFERROR(INDEX(Scoring_Rules!$C$16:$C$19,MATCH(P387,Scoring_Rules!$B$16:$B$19,0)),0)*Scoring_Rules!$C$8+IFERROR(INDEX(Scoring_Rules!$C$22:$C$25,MATCH(O387,Scoring_Rules!$B$22:$B$25,0)),0)*Scoring_Rules!$C$9+IFERROR(INDEX(Scoring_Rules!$C$47:$C$50,MATCH(X387,Scoring_Rules!$B$47:$B$50,0)),0)*Scoring_Rules!$C$10+IFERROR(INDEX(Scoring_Rules!$C$28:$C$31,MATCH(R387,Scoring_Rules!$B$28:$B$31,0)),0)*Scoring_Rules!$C$11,1),"")</x:f>
        <x:v>85.8</x:v>
      </x:c>
      <x:c r="AF387" s="35">
        <x:v>1</x:v>
      </x:c>
      <x:c r="AG387" s="33" t="s">
        <x:v>1629</x:v>
      </x:c>
      <x:c r="AH387" s="36">
        <x:v>46348</x:v>
      </x:c>
      <x:c r="AI387" s="33" t="s">
        <x:v>127</x:v>
      </x:c>
      <x:c r="AJ387" s="34"/>
    </x:row>
    <x:row r="388" ht="15" customHeight="1">
      <x:c r="A388" s="31" t="s">
        <x:v>1893</x:v>
      </x:c>
      <x:c r="B388" s="31" t="s">
        <x:v>1894</x:v>
      </x:c>
      <x:c r="C388" s="31" t="s">
        <x:v>1623</x:v>
      </x:c>
      <x:c r="D388" s="32" t="s">
        <x:v>1637</x:v>
      </x:c>
      <x:c r="E388" s="32" t="str">
        <x:v>Data Migration Only</x:v>
      </x:c>
      <x:c r="F388" s="33" t="s">
        <x:v>118</x:v>
      </x:c>
      <x:c r="G388" s="34" t="s">
        <x:v>1648</x:v>
      </x:c>
      <x:c r="H388" s="33" t="s">
        <x:v>87</x:v>
      </x:c>
      <x:c r="I388" s="33" t="s">
        <x:v>1626</x:v>
      </x:c>
      <x:c r="J388" s="33" t="s">
        <x:v>80</x:v>
      </x:c>
      <x:c r="K388" s="33" t="s">
        <x:v>58</x:v>
      </x:c>
      <x:c r="L388" s="33" t="s">
        <x:v>73</x:v>
      </x:c>
      <x:c r="M388" s="35">
        <x:v>25</x:v>
      </x:c>
      <x:c r="N388" s="35">
        <x:v>608638</x:v>
      </x:c>
      <x:c r="O388" s="33" t="s">
        <x:v>98</x:v>
      </x:c>
      <x:c r="P388" s="33" t="s">
        <x:v>98</x:v>
      </x:c>
      <x:c r="Q388" s="33" t="s">
        <x:v>120</x:v>
      </x:c>
      <x:c r="R388" s="33" t="s">
        <x:v>115</x:v>
      </x:c>
      <x:c r="S388" s="31" t="s">
        <x:v>1895</x:v>
      </x:c>
      <x:c r="T388" s="31" t="s">
        <x:v>1896</x:v>
      </x:c>
      <x:c r="U388" s="31" t="s">
        <x:v>276</x:v>
      </x:c>
      <x:c r="V388" s="33" t="s">
        <x:v>277</x:v>
      </x:c>
      <x:c r="W388" s="33"/>
      <x:c r="X388" s="33" t="s">
        <x:v>238</x:v>
      </x:c>
      <x:c r="Y388" s="36"/>
      <x:c r="Z388" s="36">
        <x:v>46963</x:v>
      </x:c>
      <x:c r="AA388" s="33" t="s">
        <x:v>120</x:v>
      </x:c>
      <x:c r="AB388" s="37" t="n">
        <x:f>IFERROR(INDEX(Effort_Model!$J$6:$J$33,MATCH(K388&amp;"|"&amp;L388,Effort_Model!$B$6:$B$33,0)),"")</x:f>
        <x:v>26.4</x:v>
      </x:c>
      <x:c r="AC388" s="38">
        <x:v>140.80000000000001</x:v>
      </x:c>
      <x:c r="AD388" s="37">
        <x:f t="shared" si="6"/>
        <x:v>185.8</x:v>
      </x:c>
      <x:c r="AE388" s="37" t="n">
        <x:f>IFERROR(ROUND(IFERROR(INDEX(Scoring_Rules!$C$43:$C$44,MATCH(Q388,Scoring_Rules!$B$43:$B$44,0)),0)*Scoring_Rules!$C$6+IFERROR(INDEX(Scoring_Rules!$C$34:$C$40,MATCH(K388,Scoring_Rules!$B$34:$B$40,0)),0)*Scoring_Rules!$C$7+IFERROR(INDEX(Scoring_Rules!$C$16:$C$19,MATCH(P388,Scoring_Rules!$B$16:$B$19,0)),0)*Scoring_Rules!$C$8+IFERROR(INDEX(Scoring_Rules!$C$22:$C$25,MATCH(O388,Scoring_Rules!$B$22:$B$25,0)),0)*Scoring_Rules!$C$9+IFERROR(INDEX(Scoring_Rules!$C$47:$C$50,MATCH(X388,Scoring_Rules!$B$47:$B$50,0)),0)*Scoring_Rules!$C$10+IFERROR(INDEX(Scoring_Rules!$C$28:$C$31,MATCH(R388,Scoring_Rules!$B$28:$B$31,0)),0)*Scoring_Rules!$C$11,1),"")</x:f>
        <x:v>68</x:v>
      </x:c>
      <x:c r="AF388" s="35">
        <x:v>2</x:v>
      </x:c>
      <x:c r="AG388" s="33" t="s">
        <x:v>1634</x:v>
      </x:c>
      <x:c r="AH388" s="36">
        <x:v>46384</x:v>
      </x:c>
      <x:c r="AI388" s="33" t="s">
        <x:v>126</x:v>
      </x:c>
      <x:c r="AJ388" s="34" t="s">
        <x:v>395</x:v>
      </x:c>
    </x:row>
    <x:row r="389" ht="23.25" customHeight="1">
      <x:c r="A389" s="31" t="s">
        <x:v>1897</x:v>
      </x:c>
      <x:c r="B389" s="31" t="s">
        <x:v>1898</x:v>
      </x:c>
      <x:c r="C389" s="31" t="s">
        <x:v>1623</x:v>
      </x:c>
      <x:c r="D389" s="32" t="s">
        <x:v>1642</x:v>
      </x:c>
      <x:c r="E389" s="32" t="str">
        <x:v>Functional Migration Only</x:v>
      </x:c>
      <x:c r="F389" s="33" t="s">
        <x:v>118</x:v>
      </x:c>
      <x:c r="G389" s="34" t="s">
        <x:v>1655</x:v>
      </x:c>
      <x:c r="H389" s="33" t="s">
        <x:v>87</x:v>
      </x:c>
      <x:c r="I389" s="33" t="s">
        <x:v>1626</x:v>
      </x:c>
      <x:c r="J389" s="33" t="s">
        <x:v>82</x:v>
      </x:c>
      <x:c r="K389" s="33" t="s">
        <x:v>58</x:v>
      </x:c>
      <x:c r="L389" s="33" t="s">
        <x:v>75</x:v>
      </x:c>
      <x:c r="M389" s="35">
        <x:v>15</x:v>
      </x:c>
      <x:c r="N389" s="35">
        <x:v>826772</x:v>
      </x:c>
      <x:c r="O389" s="33" t="s">
        <x:v>73</x:v>
      </x:c>
      <x:c r="P389" s="33" t="s">
        <x:v>73</x:v>
      </x:c>
      <x:c r="Q389" s="33" t="s">
        <x:v>120</x:v>
      </x:c>
      <x:c r="R389" s="33" t="s">
        <x:v>115</x:v>
      </x:c>
      <x:c r="S389" s="31" t="s">
        <x:v>1899</x:v>
      </x:c>
      <x:c r="T389" s="31" t="s">
        <x:v>1900</x:v>
      </x:c>
      <x:c r="U389" s="31" t="s">
        <x:v>276</x:v>
      </x:c>
      <x:c r="V389" s="33" t="s">
        <x:v>347</x:v>
      </x:c>
      <x:c r="W389" s="33"/>
      <x:c r="X389" s="33" t="s">
        <x:v>238</x:v>
      </x:c>
      <x:c r="Y389" s="36"/>
      <x:c r="Z389" s="36"/>
      <x:c r="AA389" s="33" t="s">
        <x:v>120</x:v>
      </x:c>
      <x:c r="AB389" s="37" t="n">
        <x:f>IFERROR(INDEX(Effort_Model!$J$6:$J$33,MATCH(K389&amp;"|"&amp;L389,Effort_Model!$B$6:$B$33,0)),"")</x:f>
        <x:v>26.4</x:v>
      </x:c>
      <x:c r="AC389" s="38">
        <x:v>302.3</x:v>
      </x:c>
      <x:c r="AD389" s="37">
        <x:f t="shared" si="6"/>
        <x:v>367.63330000000002</x:v>
      </x:c>
      <x:c r="AE389" s="37" t="n">
        <x:f>IFERROR(ROUND(IFERROR(INDEX(Scoring_Rules!$C$43:$C$44,MATCH(Q389,Scoring_Rules!$B$43:$B$44,0)),0)*Scoring_Rules!$C$6+IFERROR(INDEX(Scoring_Rules!$C$34:$C$40,MATCH(K389,Scoring_Rules!$B$34:$B$40,0)),0)*Scoring_Rules!$C$7+IFERROR(INDEX(Scoring_Rules!$C$16:$C$19,MATCH(P389,Scoring_Rules!$B$16:$B$19,0)),0)*Scoring_Rules!$C$8+IFERROR(INDEX(Scoring_Rules!$C$22:$C$25,MATCH(O389,Scoring_Rules!$B$22:$B$25,0)),0)*Scoring_Rules!$C$9+IFERROR(INDEX(Scoring_Rules!$C$47:$C$50,MATCH(X389,Scoring_Rules!$B$47:$B$50,0)),0)*Scoring_Rules!$C$10+IFERROR(INDEX(Scoring_Rules!$C$28:$C$31,MATCH(R389,Scoring_Rules!$B$28:$B$31,0)),0)*Scoring_Rules!$C$11,1),"")</x:f>
        <x:v>57.5</x:v>
      </x:c>
      <x:c r="AF389" s="35">
        <x:v>4</x:v>
      </x:c>
      <x:c r="AG389" s="33" t="s">
        <x:v>1639</x:v>
      </x:c>
      <x:c r="AH389" s="36">
        <x:v>46385</x:v>
      </x:c>
      <x:c r="AI389" s="33" t="s">
        <x:v>126</x:v>
      </x:c>
      <x:c r="AJ389" s="34" t="s">
        <x:v>336</x:v>
      </x:c>
    </x:row>
    <x:row r="390" ht="15" customHeight="1">
      <x:c r="A390" s="31" t="s">
        <x:v>1901</x:v>
      </x:c>
      <x:c r="B390" s="31" t="s">
        <x:v>1902</x:v>
      </x:c>
      <x:c r="C390" s="31" t="s">
        <x:v>1623</x:v>
      </x:c>
      <x:c r="D390" s="32" t="s">
        <x:v>1624</x:v>
      </x:c>
      <x:c r="E390" s="32" t="str">
        <x:v>Functional Migration Only</x:v>
      </x:c>
      <x:c r="F390" s="33" t="s">
        <x:v>118</x:v>
      </x:c>
      <x:c r="G390" s="34" t="s">
        <x:v>1655</x:v>
      </x:c>
      <x:c r="H390" s="33" t="s">
        <x:v>87</x:v>
      </x:c>
      <x:c r="I390" s="33" t="s">
        <x:v>1626</x:v>
      </x:c>
      <x:c r="J390" s="33" t="s">
        <x:v>82</x:v>
      </x:c>
      <x:c r="K390" s="33" t="s">
        <x:v>62</x:v>
      </x:c>
      <x:c r="L390" s="33" t="s">
        <x:v>75</x:v>
      </x:c>
      <x:c r="M390" s="35">
        <x:v>71</x:v>
      </x:c>
      <x:c r="N390" s="35">
        <x:v>95895643</x:v>
      </x:c>
      <x:c r="O390" s="33" t="s">
        <x:v>101</x:v>
      </x:c>
      <x:c r="P390" s="33" t="s">
        <x:v>101</x:v>
      </x:c>
      <x:c r="Q390" s="33" t="s">
        <x:v>120</x:v>
      </x:c>
      <x:c r="R390" s="33" t="s">
        <x:v>101</x:v>
      </x:c>
      <x:c r="S390" s="31" t="s">
        <x:v>1903</x:v>
      </x:c>
      <x:c r="T390" s="31" t="s">
        <x:v>1904</x:v>
      </x:c>
      <x:c r="U390" s="31" t="s">
        <x:v>276</x:v>
      </x:c>
      <x:c r="V390" s="33" t="s">
        <x:v>303</x:v>
      </x:c>
      <x:c r="W390" s="33" t="s">
        <x:v>1870</x:v>
      </x:c>
      <x:c r="X390" s="33" t="s">
        <x:v>239</x:v>
      </x:c>
      <x:c r="Y390" s="36"/>
      <x:c r="Z390" s="36"/>
      <x:c r="AA390" s="33" t="s">
        <x:v>120</x:v>
      </x:c>
      <x:c r="AB390" s="37" t="n">
        <x:f>IFERROR(INDEX(Effort_Model!$J$6:$J$33,MATCH(K390&amp;"|"&amp;L390,Effort_Model!$B$6:$B$33,0)),"")</x:f>
        <x:v>74.4</x:v>
      </x:c>
      <x:c r="AC390" s="38">
        <x:v>1068.7</x:v>
      </x:c>
      <x:c r="AD390" s="37">
        <x:f t="shared" si="6"/>
        <x:v>1278.0333000000001</x:v>
      </x:c>
      <x:c r="AE390" s="37" t="n">
        <x:f>IFERROR(ROUND(IFERROR(INDEX(Scoring_Rules!$C$43:$C$44,MATCH(Q390,Scoring_Rules!$B$43:$B$44,0)),0)*Scoring_Rules!$C$6+IFERROR(INDEX(Scoring_Rules!$C$34:$C$40,MATCH(K390,Scoring_Rules!$B$34:$B$40,0)),0)*Scoring_Rules!$C$7+IFERROR(INDEX(Scoring_Rules!$C$16:$C$19,MATCH(P390,Scoring_Rules!$B$16:$B$19,0)),0)*Scoring_Rules!$C$8+IFERROR(INDEX(Scoring_Rules!$C$22:$C$25,MATCH(O390,Scoring_Rules!$B$22:$B$25,0)),0)*Scoring_Rules!$C$9+IFERROR(INDEX(Scoring_Rules!$C$47:$C$50,MATCH(X390,Scoring_Rules!$B$47:$B$50,0)),0)*Scoring_Rules!$C$10+IFERROR(INDEX(Scoring_Rules!$C$28:$C$31,MATCH(R390,Scoring_Rules!$B$28:$B$31,0)),0)*Scoring_Rules!$C$11,1),"")</x:f>
        <x:v>35.5</x:v>
      </x:c>
      <x:c r="AF390" s="35">
        <x:v>7</x:v>
      </x:c>
      <x:c r="AG390" s="33" t="s">
        <x:v>1645</x:v>
      </x:c>
      <x:c r="AH390" s="36">
        <x:v>46389</x:v>
      </x:c>
      <x:c r="AI390" s="33" t="s">
        <x:v>125</x:v>
      </x:c>
      <x:c r="AJ390" s="34" t="s">
        <x:v>336</x:v>
      </x:c>
    </x:row>
    <x:row r="391" ht="15" customHeight="1">
      <x:c r="A391" s="31" t="s">
        <x:v>1905</x:v>
      </x:c>
      <x:c r="B391" s="31" t="s">
        <x:v>1906</x:v>
      </x:c>
      <x:c r="C391" s="31" t="s">
        <x:v>1623</x:v>
      </x:c>
      <x:c r="D391" s="32" t="s">
        <x:v>1624</x:v>
      </x:c>
      <x:c r="E391" s="32" t="str">
        <x:v>Functional Migration Only</x:v>
      </x:c>
      <x:c r="F391" s="33" t="s">
        <x:v>118</x:v>
      </x:c>
      <x:c r="G391" s="34" t="s">
        <x:v>1638</x:v>
      </x:c>
      <x:c r="H391" s="33" t="s">
        <x:v>87</x:v>
      </x:c>
      <x:c r="I391" s="33" t="s">
        <x:v>1626</x:v>
      </x:c>
      <x:c r="J391" s="33" t="s">
        <x:v>82</x:v>
      </x:c>
      <x:c r="K391" s="33" t="s">
        <x:v>60</x:v>
      </x:c>
      <x:c r="L391" s="33" t="s">
        <x:v>77</x:v>
      </x:c>
      <x:c r="M391" s="35">
        <x:v>35</x:v>
      </x:c>
      <x:c r="N391" s="35">
        <x:v>4660211</x:v>
      </x:c>
      <x:c r="O391" s="33" t="s">
        <x:v>101</x:v>
      </x:c>
      <x:c r="P391" s="33" t="s">
        <x:v>101</x:v>
      </x:c>
      <x:c r="Q391" s="33" t="s">
        <x:v>120</x:v>
      </x:c>
      <x:c r="R391" s="33" t="s">
        <x:v>101</x:v>
      </x:c>
      <x:c r="S391" s="31" t="s">
        <x:v>1903</x:v>
      </x:c>
      <x:c r="T391" s="31" t="s">
        <x:v>1904</x:v>
      </x:c>
      <x:c r="U391" s="31" t="s">
        <x:v>276</x:v>
      </x:c>
      <x:c r="V391" s="33" t="s">
        <x:v>323</x:v>
      </x:c>
      <x:c r="W391" s="33" t="s">
        <x:v>1907</x:v>
      </x:c>
      <x:c r="X391" s="33" t="s">
        <x:v>239</x:v>
      </x:c>
      <x:c r="Y391" s="36"/>
      <x:c r="Z391" s="36"/>
      <x:c r="AA391" s="33" t="s">
        <x:v>120</x:v>
      </x:c>
      <x:c r="AB391" s="37" t="n">
        <x:f>IFERROR(INDEX(Effort_Model!$J$6:$J$33,MATCH(K391&amp;"|"&amp;L391,Effort_Model!$B$6:$B$33,0)),"")</x:f>
        <x:v>42.4</x:v>
      </x:c>
      <x:c r="AC391" s="38">
        <x:v>727.2</x:v>
      </x:c>
      <x:c r="AD391" s="37">
        <x:f t="shared" si="6"/>
        <x:v>872.53330000000005</x:v>
      </x:c>
      <x:c r="AE391" s="37" t="n">
        <x:f>IFERROR(ROUND(IFERROR(INDEX(Scoring_Rules!$C$43:$C$44,MATCH(Q391,Scoring_Rules!$B$43:$B$44,0)),0)*Scoring_Rules!$C$6+IFERROR(INDEX(Scoring_Rules!$C$34:$C$40,MATCH(K391,Scoring_Rules!$B$34:$B$40,0)),0)*Scoring_Rules!$C$7+IFERROR(INDEX(Scoring_Rules!$C$16:$C$19,MATCH(P391,Scoring_Rules!$B$16:$B$19,0)),0)*Scoring_Rules!$C$8+IFERROR(INDEX(Scoring_Rules!$C$22:$C$25,MATCH(O391,Scoring_Rules!$B$22:$B$25,0)),0)*Scoring_Rules!$C$9+IFERROR(INDEX(Scoring_Rules!$C$47:$C$50,MATCH(X391,Scoring_Rules!$B$47:$B$50,0)),0)*Scoring_Rules!$C$10+IFERROR(INDEX(Scoring_Rules!$C$28:$C$31,MATCH(R391,Scoring_Rules!$B$28:$B$31,0)),0)*Scoring_Rules!$C$11,1),"")</x:f>
        <x:v>39.5</x:v>
      </x:c>
      <x:c r="AF391" s="35">
        <x:v>8</x:v>
      </x:c>
      <x:c r="AG391" s="33" t="s">
        <x:v>1629</x:v>
      </x:c>
      <x:c r="AH391" s="36">
        <x:v>46392</x:v>
      </x:c>
      <x:c r="AI391" s="33" t="s">
        <x:v>125</x:v>
      </x:c>
      <x:c r="AJ391" s="34"/>
    </x:row>
    <x:row r="392" ht="15" customHeight="1">
      <x:c r="A392" s="31" t="s">
        <x:v>1908</x:v>
      </x:c>
      <x:c r="B392" s="31" t="s">
        <x:v>1909</x:v>
      </x:c>
      <x:c r="C392" s="31" t="s">
        <x:v>1623</x:v>
      </x:c>
      <x:c r="D392" s="32" t="s">
        <x:v>1910</x:v>
      </x:c>
      <x:c r="E392" s="32" t="str">
        <x:v>Data Migration Only</x:v>
      </x:c>
      <x:c r="F392" s="33" t="s">
        <x:v>118</x:v>
      </x:c>
      <x:c r="G392" s="34" t="s">
        <x:v>1911</x:v>
      </x:c>
      <x:c r="H392" s="33" t="s">
        <x:v>89</x:v>
      </x:c>
      <x:c r="I392" s="33" t="s">
        <x:v>1626</x:v>
      </x:c>
      <x:c r="J392" s="33" t="s">
        <x:v>80</x:v>
      </x:c>
      <x:c r="K392" s="33" t="s">
        <x:v>66</x:v>
      </x:c>
      <x:c r="L392" s="33" t="s">
        <x:v>73</x:v>
      </x:c>
      <x:c r="M392" s="35">
        <x:v>198</x:v>
      </x:c>
      <x:c r="N392" s="35">
        <x:v>10528238946</x:v>
      </x:c>
      <x:c r="O392" s="33" t="s">
        <x:v>103</x:v>
      </x:c>
      <x:c r="P392" s="33" t="s">
        <x:v>98</x:v>
      </x:c>
      <x:c r="Q392" s="33" t="s">
        <x:v>120</x:v>
      </x:c>
      <x:c r="R392" s="33" t="s">
        <x:v>73</x:v>
      </x:c>
      <x:c r="S392" s="31" t="s">
        <x:v>429</x:v>
      </x:c>
      <x:c r="T392" s="31" t="s">
        <x:v>430</x:v>
      </x:c>
      <x:c r="U392" s="31" t="s">
        <x:v>276</x:v>
      </x:c>
      <x:c r="V392" s="33" t="s">
        <x:v>303</x:v>
      </x:c>
      <x:c r="W392" s="33"/>
      <x:c r="X392" s="33" t="s">
        <x:v>238</x:v>
      </x:c>
      <x:c r="Y392" s="36"/>
      <x:c r="Z392" s="36"/>
      <x:c r="AA392" s="33" t="s">
        <x:v>120</x:v>
      </x:c>
      <x:c r="AB392" s="37" t="n">
        <x:f>IFERROR(INDEX(Effort_Model!$J$6:$J$33,MATCH(K392&amp;"|"&amp;L392,Effort_Model!$B$6:$B$33,0)),"")</x:f>
        <x:v>138.4</x:v>
      </x:c>
      <x:c r="AC392" s="38">
        <x:v>993.6</x:v>
      </x:c>
      <x:c r="AD392" s="37">
        <x:f t="shared" si="6"/>
        <x:v>1262.5999999999999</x:v>
      </x:c>
      <x:c r="AE392" s="37" t="n">
        <x:f>IFERROR(ROUND(IFERROR(INDEX(Scoring_Rules!$C$43:$C$44,MATCH(Q392,Scoring_Rules!$B$43:$B$44,0)),0)*Scoring_Rules!$C$6+IFERROR(INDEX(Scoring_Rules!$C$34:$C$40,MATCH(K392,Scoring_Rules!$B$34:$B$40,0)),0)*Scoring_Rules!$C$7+IFERROR(INDEX(Scoring_Rules!$C$16:$C$19,MATCH(P392,Scoring_Rules!$B$16:$B$19,0)),0)*Scoring_Rules!$C$8+IFERROR(INDEX(Scoring_Rules!$C$22:$C$25,MATCH(O392,Scoring_Rules!$B$22:$B$25,0)),0)*Scoring_Rules!$C$9+IFERROR(INDEX(Scoring_Rules!$C$47:$C$50,MATCH(X392,Scoring_Rules!$B$47:$B$50,0)),0)*Scoring_Rules!$C$10+IFERROR(INDEX(Scoring_Rules!$C$28:$C$31,MATCH(R392,Scoring_Rules!$B$28:$B$31,0)),0)*Scoring_Rules!$C$11,1),"")</x:f>
        <x:v>42.5</x:v>
      </x:c>
      <x:c r="AF392" s="35"/>
      <x:c r="AG392" s="33" t="s">
        <x:v>1634</x:v>
      </x:c>
      <x:c r="AH392" s="36">
        <x:v>46395</x:v>
      </x:c>
      <x:c r="AI392" s="33" t="s">
        <x:v>126</x:v>
      </x:c>
      <x:c r="AJ392" s="34" t="s">
        <x:v>383</x:v>
      </x:c>
    </x:row>
    <x:row r="393" ht="23.25" customHeight="1">
      <x:c r="A393" s="31" t="s">
        <x:v>1912</x:v>
      </x:c>
      <x:c r="B393" s="31" t="s">
        <x:v>1913</x:v>
      </x:c>
      <x:c r="C393" s="31" t="s">
        <x:v>1623</x:v>
      </x:c>
      <x:c r="D393" s="32" t="s">
        <x:v>1642</x:v>
      </x:c>
      <x:c r="E393" s="32" t="str">
        <x:v>Functional Migration Only</x:v>
      </x:c>
      <x:c r="F393" s="33" t="s">
        <x:v>118</x:v>
      </x:c>
      <x:c r="G393" s="34" t="s">
        <x:v>1625</x:v>
      </x:c>
      <x:c r="H393" s="33" t="s">
        <x:v>87</x:v>
      </x:c>
      <x:c r="I393" s="33" t="s">
        <x:v>1626</x:v>
      </x:c>
      <x:c r="J393" s="33" t="s">
        <x:v>82</x:v>
      </x:c>
      <x:c r="K393" s="33" t="s">
        <x:v>64</x:v>
      </x:c>
      <x:c r="L393" s="33" t="s">
        <x:v>77</x:v>
      </x:c>
      <x:c r="M393" s="35">
        <x:v>125</x:v>
      </x:c>
      <x:c r="N393" s="35">
        <x:v>537774659</x:v>
      </x:c>
      <x:c r="O393" s="33" t="s">
        <x:v>101</x:v>
      </x:c>
      <x:c r="P393" s="33" t="s">
        <x:v>101</x:v>
      </x:c>
      <x:c r="Q393" s="33" t="s">
        <x:v>120</x:v>
      </x:c>
      <x:c r="R393" s="33" t="s">
        <x:v>73</x:v>
      </x:c>
      <x:c r="S393" s="31" t="s">
        <x:v>604</x:v>
      </x:c>
      <x:c r="T393" s="31" t="s">
        <x:v>1914</x:v>
      </x:c>
      <x:c r="U393" s="31" t="s">
        <x:v>276</x:v>
      </x:c>
      <x:c r="V393" s="33" t="s">
        <x:v>379</x:v>
      </x:c>
      <x:c r="W393" s="33" t="s">
        <x:v>1915</x:v>
      </x:c>
      <x:c r="X393" s="33" t="s">
        <x:v>240</x:v>
      </x:c>
      <x:c r="Y393" s="36">
        <x:v>46305</x:v>
      </x:c>
      <x:c r="Z393" s="36"/>
      <x:c r="AA393" s="33" t="s">
        <x:v>120</x:v>
      </x:c>
      <x:c r="AB393" s="37" t="n">
        <x:f>IFERROR(INDEX(Effort_Model!$J$6:$J$33,MATCH(K393&amp;"|"&amp;L393,Effort_Model!$B$6:$B$33,0)),"")</x:f>
        <x:v>106.4</x:v>
      </x:c>
      <x:c r="AC393" s="38">
        <x:v>1901.2</x:v>
      </x:c>
      <x:c r="AD393" s="37">
        <x:f t="shared" si="6"/>
        <x:v>2302.5333000000001</x:v>
      </x:c>
      <x:c r="AE393" s="37" t="n">
        <x:f>IFERROR(ROUND(IFERROR(INDEX(Scoring_Rules!$C$43:$C$44,MATCH(Q393,Scoring_Rules!$B$43:$B$44,0)),0)*Scoring_Rules!$C$6+IFERROR(INDEX(Scoring_Rules!$C$34:$C$40,MATCH(K393,Scoring_Rules!$B$34:$B$40,0)),0)*Scoring_Rules!$C$7+IFERROR(INDEX(Scoring_Rules!$C$16:$C$19,MATCH(P393,Scoring_Rules!$B$16:$B$19,0)),0)*Scoring_Rules!$C$8+IFERROR(INDEX(Scoring_Rules!$C$22:$C$25,MATCH(O393,Scoring_Rules!$B$22:$B$25,0)),0)*Scoring_Rules!$C$9+IFERROR(INDEX(Scoring_Rules!$C$47:$C$50,MATCH(X393,Scoring_Rules!$B$47:$B$50,0)),0)*Scoring_Rules!$C$10+IFERROR(INDEX(Scoring_Rules!$C$28:$C$31,MATCH(R393,Scoring_Rules!$B$28:$B$31,0)),0)*Scoring_Rules!$C$11,1),"")</x:f>
        <x:v>27.3</x:v>
      </x:c>
      <x:c r="AF393" s="35">
        <x:v>8</x:v>
      </x:c>
      <x:c r="AG393" s="33" t="s">
        <x:v>1639</x:v>
      </x:c>
      <x:c r="AH393" s="36">
        <x:v>46394</x:v>
      </x:c>
      <x:c r="AI393" s="33" t="s">
        <x:v>127</x:v>
      </x:c>
      <x:c r="AJ393" s="34" t="s">
        <x:v>354</x:v>
      </x:c>
    </x:row>
    <x:row r="394" ht="15" customHeight="1">
      <x:c r="A394" s="31" t="s">
        <x:v>1916</x:v>
      </x:c>
      <x:c r="B394" s="31" t="s">
        <x:v>1917</x:v>
      </x:c>
      <x:c r="C394" s="31" t="s">
        <x:v>1623</x:v>
      </x:c>
      <x:c r="D394" s="32" t="s">
        <x:v>1024</x:v>
      </x:c>
      <x:c r="E394" s="32" t="str">
        <x:v>Data Migration Only</x:v>
      </x:c>
      <x:c r="F394" s="33" t="s">
        <x:v>118</x:v>
      </x:c>
      <x:c r="G394" s="34" t="s">
        <x:v>1625</x:v>
      </x:c>
      <x:c r="H394" s="33" t="s">
        <x:v>87</x:v>
      </x:c>
      <x:c r="I394" s="33" t="s">
        <x:v>1626</x:v>
      </x:c>
      <x:c r="J394" s="33" t="s">
        <x:v>80</x:v>
      </x:c>
      <x:c r="K394" s="33" t="s">
        <x:v>62</x:v>
      </x:c>
      <x:c r="L394" s="33" t="s">
        <x:v>71</x:v>
      </x:c>
      <x:c r="M394" s="35">
        <x:v>64</x:v>
      </x:c>
      <x:c r="N394" s="35">
        <x:v>85808698</x:v>
      </x:c>
      <x:c r="O394" s="33" t="s">
        <x:v>101</x:v>
      </x:c>
      <x:c r="P394" s="33" t="s">
        <x:v>98</x:v>
      </x:c>
      <x:c r="Q394" s="33" t="s">
        <x:v>120</x:v>
      </x:c>
      <x:c r="R394" s="33" t="s">
        <x:v>101</x:v>
      </x:c>
      <x:c r="S394" s="31" t="s">
        <x:v>1744</x:v>
      </x:c>
      <x:c r="T394" s="31" t="s">
        <x:v>1745</x:v>
      </x:c>
      <x:c r="U394" s="31" t="s">
        <x:v>276</x:v>
      </x:c>
      <x:c r="V394" s="33" t="s">
        <x:v>451</x:v>
      </x:c>
      <x:c r="W394" s="33"/>
      <x:c r="X394" s="33" t="s">
        <x:v>238</x:v>
      </x:c>
      <x:c r="Y394" s="36"/>
      <x:c r="Z394" s="36"/>
      <x:c r="AA394" s="33" t="s">
        <x:v>120</x:v>
      </x:c>
      <x:c r="AB394" s="37" t="n">
        <x:f>IFERROR(INDEX(Effort_Model!$J$6:$J$33,MATCH(K394&amp;"|"&amp;L394,Effort_Model!$B$6:$B$33,0)),"")</x:f>
        <x:v>18.4</x:v>
      </x:c>
      <x:c r="AC394" s="38">
        <x:v>331.1</x:v>
      </x:c>
      <x:c r="AD394" s="37">
        <x:f t="shared" si="6"/>
        <x:v>405.5</x:v>
      </x:c>
      <x:c r="AE394" s="37" t="n">
        <x:f>IFERROR(ROUND(IFERROR(INDEX(Scoring_Rules!$C$43:$C$44,MATCH(Q394,Scoring_Rules!$B$43:$B$44,0)),0)*Scoring_Rules!$C$6+IFERROR(INDEX(Scoring_Rules!$C$34:$C$40,MATCH(K394,Scoring_Rules!$B$34:$B$40,0)),0)*Scoring_Rules!$C$7+IFERROR(INDEX(Scoring_Rules!$C$16:$C$19,MATCH(P394,Scoring_Rules!$B$16:$B$19,0)),0)*Scoring_Rules!$C$8+IFERROR(INDEX(Scoring_Rules!$C$22:$C$25,MATCH(O394,Scoring_Rules!$B$22:$B$25,0)),0)*Scoring_Rules!$C$9+IFERROR(INDEX(Scoring_Rules!$C$47:$C$50,MATCH(X394,Scoring_Rules!$B$47:$B$50,0)),0)*Scoring_Rules!$C$10+IFERROR(INDEX(Scoring_Rules!$C$28:$C$31,MATCH(R394,Scoring_Rules!$B$28:$B$31,0)),0)*Scoring_Rules!$C$11,1),"")</x:f>
        <x:v>53</x:v>
      </x:c>
      <x:c r="AF394" s="35">
        <x:v>2</x:v>
      </x:c>
      <x:c r="AG394" s="33" t="s">
        <x:v>1645</x:v>
      </x:c>
      <x:c r="AH394" s="36">
        <x:v>46306</x:v>
      </x:c>
      <x:c r="AI394" s="33" t="s">
        <x:v>126</x:v>
      </x:c>
      <x:c r="AJ394" s="34"/>
    </x:row>
    <x:row r="395" ht="15" customHeight="1">
      <x:c r="A395" s="31" t="s">
        <x:v>1918</x:v>
      </x:c>
      <x:c r="B395" s="31" t="s">
        <x:v>1919</x:v>
      </x:c>
      <x:c r="C395" s="31" t="s">
        <x:v>1623</x:v>
      </x:c>
      <x:c r="D395" s="32" t="s">
        <x:v>1910</x:v>
      </x:c>
      <x:c r="E395" s="32" t="str">
        <x:v>Data Migration Only</x:v>
      </x:c>
      <x:c r="F395" s="33" t="s">
        <x:v>118</x:v>
      </x:c>
      <x:c r="G395" s="34" t="s">
        <x:v>1625</x:v>
      </x:c>
      <x:c r="H395" s="33" t="s">
        <x:v>87</x:v>
      </x:c>
      <x:c r="I395" s="33" t="s">
        <x:v>1626</x:v>
      </x:c>
      <x:c r="J395" s="33" t="s">
        <x:v>80</x:v>
      </x:c>
      <x:c r="K395" s="33" t="s">
        <x:v>64</x:v>
      </x:c>
      <x:c r="L395" s="33" t="s">
        <x:v>75</x:v>
      </x:c>
      <x:c r="M395" s="35">
        <x:v>106</x:v>
      </x:c>
      <x:c r="N395" s="35">
        <x:v>874644703</x:v>
      </x:c>
      <x:c r="O395" s="33" t="s">
        <x:v>101</x:v>
      </x:c>
      <x:c r="P395" s="33" t="s">
        <x:v>109</x:v>
      </x:c>
      <x:c r="Q395" s="33" t="s">
        <x:v>120</x:v>
      </x:c>
      <x:c r="R395" s="33" t="s">
        <x:v>101</x:v>
      </x:c>
      <x:c r="S395" s="31" t="s">
        <x:v>1920</x:v>
      </x:c>
      <x:c r="T395" s="31" t="s">
        <x:v>1921</x:v>
      </x:c>
      <x:c r="U395" s="31" t="s">
        <x:v>276</x:v>
      </x:c>
      <x:c r="V395" s="33" t="s">
        <x:v>277</x:v>
      </x:c>
      <x:c r="W395" s="33"/>
      <x:c r="X395" s="33" t="s">
        <x:v>238</x:v>
      </x:c>
      <x:c r="Y395" s="36"/>
      <x:c r="Z395" s="36"/>
      <x:c r="AA395" s="33" t="s">
        <x:v>120</x:v>
      </x:c>
      <x:c r="AB395" s="37" t="n">
        <x:f>IFERROR(INDEX(Effort_Model!$J$6:$J$33,MATCH(K395&amp;"|"&amp;L395,Effort_Model!$B$6:$B$33,0)),"")</x:f>
        <x:v>106.4</x:v>
      </x:c>
      <x:c r="AC395" s="38">
        <x:v>1087.9000000000001</x:v>
      </x:c>
      <x:c r="AD395" s="37">
        <x:f t="shared" si="6"/>
        <x:v>1393.2333000000001</x:v>
      </x:c>
      <x:c r="AE395" s="37" t="n">
        <x:f>IFERROR(ROUND(IFERROR(INDEX(Scoring_Rules!$C$43:$C$44,MATCH(Q395,Scoring_Rules!$B$43:$B$44,0)),0)*Scoring_Rules!$C$6+IFERROR(INDEX(Scoring_Rules!$C$34:$C$40,MATCH(K395,Scoring_Rules!$B$34:$B$40,0)),0)*Scoring_Rules!$C$7+IFERROR(INDEX(Scoring_Rules!$C$16:$C$19,MATCH(P395,Scoring_Rules!$B$16:$B$19,0)),0)*Scoring_Rules!$C$8+IFERROR(INDEX(Scoring_Rules!$C$22:$C$25,MATCH(O395,Scoring_Rules!$B$22:$B$25,0)),0)*Scoring_Rules!$C$9+IFERROR(INDEX(Scoring_Rules!$C$47:$C$50,MATCH(X395,Scoring_Rules!$B$47:$B$50,0)),0)*Scoring_Rules!$C$10+IFERROR(INDEX(Scoring_Rules!$C$28:$C$31,MATCH(R395,Scoring_Rules!$B$28:$B$31,0)),0)*Scoring_Rules!$C$11,1),"")</x:f>
        <x:v>29</x:v>
      </x:c>
      <x:c r="AF395" s="35">
        <x:v>7</x:v>
      </x:c>
      <x:c r="AG395" s="33" t="s">
        <x:v>1629</x:v>
      </x:c>
      <x:c r="AH395" s="36">
        <x:v>46321</x:v>
      </x:c>
      <x:c r="AI395" s="33" t="s">
        <x:v>127</x:v>
      </x:c>
      <x:c r="AJ395" s="34"/>
    </x:row>
    <x:row r="396" ht="15" customHeight="1">
      <x:c r="A396" s="31" t="s">
        <x:v>1922</x:v>
      </x:c>
      <x:c r="B396" s="31" t="s">
        <x:v>1923</x:v>
      </x:c>
      <x:c r="C396" s="31" t="s">
        <x:v>1623</x:v>
      </x:c>
      <x:c r="D396" s="32" t="s">
        <x:v>1024</x:v>
      </x:c>
      <x:c r="E396" s="32" t="str">
        <x:v>Data Migration Only</x:v>
      </x:c>
      <x:c r="F396" s="33" t="s">
        <x:v>118</x:v>
      </x:c>
      <x:c r="G396" s="34" t="s">
        <x:v>1924</x:v>
      </x:c>
      <x:c r="H396" s="33" t="s">
        <x:v>89</x:v>
      </x:c>
      <x:c r="I396" s="33" t="s">
        <x:v>1626</x:v>
      </x:c>
      <x:c r="J396" s="33" t="s">
        <x:v>80</x:v>
      </x:c>
      <x:c r="K396" s="33" t="s">
        <x:v>64</x:v>
      </x:c>
      <x:c r="L396" s="33" t="s">
        <x:v>73</x:v>
      </x:c>
      <x:c r="M396" s="35">
        <x:v>99</x:v>
      </x:c>
      <x:c r="N396" s="35">
        <x:v>1124673353</x:v>
      </x:c>
      <x:c r="O396" s="33" t="s">
        <x:v>73</x:v>
      </x:c>
      <x:c r="P396" s="33" t="s">
        <x:v>73</x:v>
      </x:c>
      <x:c r="Q396" s="33" t="s">
        <x:v>120</x:v>
      </x:c>
      <x:c r="R396" s="33" t="s">
        <x:v>101</x:v>
      </x:c>
      <x:c r="S396" s="31" t="s">
        <x:v>1661</x:v>
      </x:c>
      <x:c r="T396" s="31" t="s">
        <x:v>1662</x:v>
      </x:c>
      <x:c r="U396" s="31" t="s">
        <x:v>522</x:v>
      </x:c>
      <x:c r="V396" s="33" t="s">
        <x:v>277</x:v>
      </x:c>
      <x:c r="W396" s="33" t="s">
        <x:v>1781</x:v>
      </x:c>
      <x:c r="X396" s="33" t="s">
        <x:v>239</x:v>
      </x:c>
      <x:c r="Y396" s="36"/>
      <x:c r="Z396" s="36"/>
      <x:c r="AA396" s="33" t="s">
        <x:v>120</x:v>
      </x:c>
      <x:c r="AB396" s="37" t="n">
        <x:f>IFERROR(INDEX(Effort_Model!$J$6:$J$33,MATCH(K396&amp;"|"&amp;L396,Effort_Model!$B$6:$B$33,0)),"")</x:f>
        <x:v>106.4</x:v>
      </x:c>
      <x:c r="AC396" s="38">
        <x:v>715.8</x:v>
      </x:c>
      <x:c r="AD396" s="37">
        <x:f t="shared" si="6"/>
        <x:v>920.8</x:v>
      </x:c>
      <x:c r="AE396" s="37" t="n">
        <x:f>IFERROR(ROUND(IFERROR(INDEX(Scoring_Rules!$C$43:$C$44,MATCH(Q396,Scoring_Rules!$B$43:$B$44,0)),0)*Scoring_Rules!$C$6+IFERROR(INDEX(Scoring_Rules!$C$34:$C$40,MATCH(K396,Scoring_Rules!$B$34:$B$40,0)),0)*Scoring_Rules!$C$7+IFERROR(INDEX(Scoring_Rules!$C$16:$C$19,MATCH(P396,Scoring_Rules!$B$16:$B$19,0)),0)*Scoring_Rules!$C$8+IFERROR(INDEX(Scoring_Rules!$C$22:$C$25,MATCH(O396,Scoring_Rules!$B$22:$B$25,0)),0)*Scoring_Rules!$C$9+IFERROR(INDEX(Scoring_Rules!$C$47:$C$50,MATCH(X396,Scoring_Rules!$B$47:$B$50,0)),0)*Scoring_Rules!$C$10+IFERROR(INDEX(Scoring_Rules!$C$28:$C$31,MATCH(R396,Scoring_Rules!$B$28:$B$31,0)),0)*Scoring_Rules!$C$11,1),"")</x:f>
        <x:v>43.8</x:v>
      </x:c>
      <x:c r="AF396" s="35"/>
      <x:c r="AG396" s="33" t="s">
        <x:v>1634</x:v>
      </x:c>
      <x:c r="AH396" s="36">
        <x:v>46305</x:v>
      </x:c>
      <x:c r="AI396" s="33" t="s">
        <x:v>127</x:v>
      </x:c>
      <x:c r="AJ396" s="34" t="s">
        <x:v>342</x:v>
      </x:c>
    </x:row>
    <x:row r="397" ht="23.25" customHeight="1">
      <x:c r="A397" s="31" t="s">
        <x:v>1925</x:v>
      </x:c>
      <x:c r="B397" s="31" t="s">
        <x:v>1926</x:v>
      </x:c>
      <x:c r="C397" s="31" t="s">
        <x:v>1623</x:v>
      </x:c>
      <x:c r="D397" s="32" t="s">
        <x:v>1079</x:v>
      </x:c>
      <x:c r="E397" s="32" t="str">
        <x:v>Functional Migration Only</x:v>
      </x:c>
      <x:c r="F397" s="33" t="s">
        <x:v>118</x:v>
      </x:c>
      <x:c r="G397" s="34" t="s">
        <x:v>1655</x:v>
      </x:c>
      <x:c r="H397" s="33" t="s">
        <x:v>87</x:v>
      </x:c>
      <x:c r="I397" s="33" t="s">
        <x:v>1626</x:v>
      </x:c>
      <x:c r="J397" s="33" t="s">
        <x:v>82</x:v>
      </x:c>
      <x:c r="K397" s="33" t="s">
        <x:v>62</x:v>
      </x:c>
      <x:c r="L397" s="33" t="s">
        <x:v>75</x:v>
      </x:c>
      <x:c r="M397" s="35">
        <x:v>65</x:v>
      </x:c>
      <x:c r="N397" s="35">
        <x:v>148310249</x:v>
      </x:c>
      <x:c r="O397" s="33" t="s">
        <x:v>73</x:v>
      </x:c>
      <x:c r="P397" s="33" t="s">
        <x:v>109</x:v>
      </x:c>
      <x:c r="Q397" s="33" t="s">
        <x:v>120</x:v>
      </x:c>
      <x:c r="R397" s="33" t="s">
        <x:v>115</x:v>
      </x:c>
      <x:c r="S397" s="31" t="s">
        <x:v>1927</x:v>
      </x:c>
      <x:c r="T397" s="31" t="s">
        <x:v>1928</x:v>
      </x:c>
      <x:c r="U397" s="31" t="s">
        <x:v>522</x:v>
      </x:c>
      <x:c r="V397" s="33" t="s">
        <x:v>365</x:v>
      </x:c>
      <x:c r="W397" s="33"/>
      <x:c r="X397" s="33" t="s">
        <x:v>238</x:v>
      </x:c>
      <x:c r="Y397" s="36"/>
      <x:c r="Z397" s="36"/>
      <x:c r="AA397" s="33" t="s">
        <x:v>120</x:v>
      </x:c>
      <x:c r="AB397" s="37" t="n">
        <x:f>IFERROR(INDEX(Effort_Model!$J$6:$J$33,MATCH(K397&amp;"|"&amp;L397,Effort_Model!$B$6:$B$33,0)),"")</x:f>
        <x:v>74.4</x:v>
      </x:c>
      <x:c r="AC397" s="38">
        <x:v>1090.2</x:v>
      </x:c>
      <x:c r="AD397" s="37">
        <x:f t="shared" si="6"/>
        <x:v>1299.5333000000001</x:v>
      </x:c>
      <x:c r="AE397" s="37" t="n">
        <x:f>IFERROR(ROUND(IFERROR(INDEX(Scoring_Rules!$C$43:$C$44,MATCH(Q397,Scoring_Rules!$B$43:$B$44,0)),0)*Scoring_Rules!$C$6+IFERROR(INDEX(Scoring_Rules!$C$34:$C$40,MATCH(K397,Scoring_Rules!$B$34:$B$40,0)),0)*Scoring_Rules!$C$7+IFERROR(INDEX(Scoring_Rules!$C$16:$C$19,MATCH(P397,Scoring_Rules!$B$16:$B$19,0)),0)*Scoring_Rules!$C$8+IFERROR(INDEX(Scoring_Rules!$C$22:$C$25,MATCH(O397,Scoring_Rules!$B$22:$B$25,0)),0)*Scoring_Rules!$C$9+IFERROR(INDEX(Scoring_Rules!$C$47:$C$50,MATCH(X397,Scoring_Rules!$B$47:$B$50,0)),0)*Scoring_Rules!$C$10+IFERROR(INDEX(Scoring_Rules!$C$28:$C$31,MATCH(R397,Scoring_Rules!$B$28:$B$31,0)),0)*Scoring_Rules!$C$11,1),"")</x:f>
        <x:v>36.5</x:v>
      </x:c>
      <x:c r="AF397" s="35">
        <x:v>7</x:v>
      </x:c>
      <x:c r="AG397" s="33" t="s">
        <x:v>1639</x:v>
      </x:c>
      <x:c r="AH397" s="36">
        <x:v>46342</x:v>
      </x:c>
      <x:c r="AI397" s="33" t="s">
        <x:v>127</x:v>
      </x:c>
      <x:c r="AJ397" s="34" t="s">
        <x:v>354</x:v>
      </x:c>
    </x:row>
    <x:row r="398" ht="15" customHeight="1">
      <x:c r="A398" s="31" t="s">
        <x:v>1929</x:v>
      </x:c>
      <x:c r="B398" s="31" t="s">
        <x:v>1930</x:v>
      </x:c>
      <x:c r="C398" s="31" t="s">
        <x:v>1623</x:v>
      </x:c>
      <x:c r="D398" s="32" t="s">
        <x:v>1024</x:v>
      </x:c>
      <x:c r="E398" s="32" t="str">
        <x:v>Functional Migration Only</x:v>
      </x:c>
      <x:c r="F398" s="33" t="s">
        <x:v>118</x:v>
      </x:c>
      <x:c r="G398" s="34" t="s">
        <x:v>1625</x:v>
      </x:c>
      <x:c r="H398" s="33" t="s">
        <x:v>87</x:v>
      </x:c>
      <x:c r="I398" s="33" t="s">
        <x:v>1626</x:v>
      </x:c>
      <x:c r="J398" s="33" t="s">
        <x:v>82</x:v>
      </x:c>
      <x:c r="K398" s="33" t="s">
        <x:v>68</x:v>
      </x:c>
      <x:c r="L398" s="33" t="s">
        <x:v>75</x:v>
      </x:c>
      <x:c r="M398" s="35">
        <x:v>317</x:v>
      </x:c>
      <x:c r="N398" s="35">
        <x:v>100265782718</x:v>
      </x:c>
      <x:c r="O398" s="33" t="s">
        <x:v>101</x:v>
      </x:c>
      <x:c r="P398" s="33" t="s">
        <x:v>101</x:v>
      </x:c>
      <x:c r="Q398" s="33" t="s">
        <x:v>120</x:v>
      </x:c>
      <x:c r="R398" s="33" t="s">
        <x:v>101</x:v>
      </x:c>
      <x:c r="S398" s="31" t="s">
        <x:v>1759</x:v>
      </x:c>
      <x:c r="T398" s="31" t="s">
        <x:v>1931</x:v>
      </x:c>
      <x:c r="U398" s="31" t="s">
        <x:v>522</x:v>
      </x:c>
      <x:c r="V398" s="33" t="s">
        <x:v>289</x:v>
      </x:c>
      <x:c r="W398" s="33"/>
      <x:c r="X398" s="33" t="s">
        <x:v>238</x:v>
      </x:c>
      <x:c r="Y398" s="36"/>
      <x:c r="Z398" s="36"/>
      <x:c r="AA398" s="33" t="s">
        <x:v>120</x:v>
      </x:c>
      <x:c r="AB398" s="37" t="n">
        <x:f>IFERROR(INDEX(Effort_Model!$J$6:$J$33,MATCH(K398&amp;"|"&amp;L398,Effort_Model!$B$6:$B$33,0)),"")</x:f>
        <x:v>170.4</x:v>
      </x:c>
      <x:c r="AC398" s="38">
        <x:v>3297.5</x:v>
      </x:c>
      <x:c r="AD398" s="37">
        <x:f t="shared" si="6"/>
        <x:v>3794.8333000000002</x:v>
      </x:c>
      <x:c r="AE398" s="37" t="n">
        <x:f>IFERROR(ROUND(IFERROR(INDEX(Scoring_Rules!$C$43:$C$44,MATCH(Q398,Scoring_Rules!$B$43:$B$44,0)),0)*Scoring_Rules!$C$6+IFERROR(INDEX(Scoring_Rules!$C$34:$C$40,MATCH(K398,Scoring_Rules!$B$34:$B$40,0)),0)*Scoring_Rules!$C$7+IFERROR(INDEX(Scoring_Rules!$C$16:$C$19,MATCH(P398,Scoring_Rules!$B$16:$B$19,0)),0)*Scoring_Rules!$C$8+IFERROR(INDEX(Scoring_Rules!$C$22:$C$25,MATCH(O398,Scoring_Rules!$B$22:$B$25,0)),0)*Scoring_Rules!$C$9+IFERROR(INDEX(Scoring_Rules!$C$47:$C$50,MATCH(X398,Scoring_Rules!$B$47:$B$50,0)),0)*Scoring_Rules!$C$10+IFERROR(INDEX(Scoring_Rules!$C$28:$C$31,MATCH(R398,Scoring_Rules!$B$28:$B$31,0)),0)*Scoring_Rules!$C$11,1),"")</x:f>
        <x:v>29</x:v>
      </x:c>
      <x:c r="AF398" s="35">
        <x:v>7</x:v>
      </x:c>
      <x:c r="AG398" s="33" t="s">
        <x:v>1645</x:v>
      </x:c>
      <x:c r="AH398" s="36">
        <x:v>46396</x:v>
      </x:c>
      <x:c r="AI398" s="33" t="s">
        <x:v>127</x:v>
      </x:c>
      <x:c r="AJ398" s="34"/>
    </x:row>
    <x:row r="399" ht="15" customHeight="1">
      <x:c r="A399" s="31" t="s">
        <x:v>1932</x:v>
      </x:c>
      <x:c r="B399" s="31" t="s">
        <x:v>1933</x:v>
      </x:c>
      <x:c r="C399" s="31" t="s">
        <x:v>1623</x:v>
      </x:c>
      <x:c r="D399" s="32" t="s">
        <x:v>1637</x:v>
      </x:c>
      <x:c r="E399" s="32" t="str">
        <x:v>Functional Migration Only</x:v>
      </x:c>
      <x:c r="F399" s="33" t="s">
        <x:v>118</x:v>
      </x:c>
      <x:c r="G399" s="34" t="s">
        <x:v>1638</x:v>
      </x:c>
      <x:c r="H399" s="33" t="s">
        <x:v>87</x:v>
      </x:c>
      <x:c r="I399" s="33" t="s">
        <x:v>1626</x:v>
      </x:c>
      <x:c r="J399" s="33" t="s">
        <x:v>82</x:v>
      </x:c>
      <x:c r="K399" s="33" t="s">
        <x:v>58</x:v>
      </x:c>
      <x:c r="L399" s="33" t="s">
        <x:v>73</x:v>
      </x:c>
      <x:c r="M399" s="35">
        <x:v>19</x:v>
      </x:c>
      <x:c r="N399" s="35">
        <x:v>702011</x:v>
      </x:c>
      <x:c r="O399" s="33" t="s">
        <x:v>103</x:v>
      </x:c>
      <x:c r="P399" s="33" t="s">
        <x:v>73</x:v>
      </x:c>
      <x:c r="Q399" s="33" t="s">
        <x:v>118</x:v>
      </x:c>
      <x:c r="R399" s="33" t="s">
        <x:v>73</x:v>
      </x:c>
      <x:c r="S399" s="31" t="s">
        <x:v>1578</x:v>
      </x:c>
      <x:c r="T399" s="31" t="s">
        <x:v>1934</x:v>
      </x:c>
      <x:c r="U399" s="31" t="s">
        <x:v>276</x:v>
      </x:c>
      <x:c r="V399" s="33" t="s">
        <x:v>365</x:v>
      </x:c>
      <x:c r="W399" s="33" t="s">
        <x:v>1652</x:v>
      </x:c>
      <x:c r="X399" s="33" t="s">
        <x:v>240</x:v>
      </x:c>
      <x:c r="Y399" s="36"/>
      <x:c r="Z399" s="36"/>
      <x:c r="AA399" s="33" t="s">
        <x:v>120</x:v>
      </x:c>
      <x:c r="AB399" s="37" t="n">
        <x:f>IFERROR(INDEX(Effort_Model!$J$6:$J$33,MATCH(K399&amp;"|"&amp;L399,Effort_Model!$B$6:$B$33,0)),"")</x:f>
        <x:v>26.4</x:v>
      </x:c>
      <x:c r="AC399" s="38">
        <x:v>210.4</x:v>
      </x:c>
      <x:c r="AD399" s="37">
        <x:f t="shared" si="6"/>
        <x:v>255.4</x:v>
      </x:c>
      <x:c r="AE399" s="37" t="n">
        <x:f>IFERROR(ROUND(IFERROR(INDEX(Scoring_Rules!$C$43:$C$44,MATCH(Q399,Scoring_Rules!$B$43:$B$44,0)),0)*Scoring_Rules!$C$6+IFERROR(INDEX(Scoring_Rules!$C$34:$C$40,MATCH(K399,Scoring_Rules!$B$34:$B$40,0)),0)*Scoring_Rules!$C$7+IFERROR(INDEX(Scoring_Rules!$C$16:$C$19,MATCH(P399,Scoring_Rules!$B$16:$B$19,0)),0)*Scoring_Rules!$C$8+IFERROR(INDEX(Scoring_Rules!$C$22:$C$25,MATCH(O399,Scoring_Rules!$B$22:$B$25,0)),0)*Scoring_Rules!$C$9+IFERROR(INDEX(Scoring_Rules!$C$47:$C$50,MATCH(X399,Scoring_Rules!$B$47:$B$50,0)),0)*Scoring_Rules!$C$10+IFERROR(INDEX(Scoring_Rules!$C$28:$C$31,MATCH(R399,Scoring_Rules!$B$28:$B$31,0)),0)*Scoring_Rules!$C$11,1),"")</x:f>
        <x:v>65</x:v>
      </x:c>
      <x:c r="AF399" s="35">
        <x:v>2</x:v>
      </x:c>
      <x:c r="AG399" s="33" t="s">
        <x:v>1629</x:v>
      </x:c>
      <x:c r="AH399" s="36">
        <x:v>46342</x:v>
      </x:c>
      <x:c r="AI399" s="33" t="s">
        <x:v>127</x:v>
      </x:c>
      <x:c r="AJ399" s="34"/>
    </x:row>
    <x:row r="400" ht="15" customHeight="1">
      <x:c r="A400" s="31" t="s">
        <x:v>1935</x:v>
      </x:c>
      <x:c r="B400" s="31" t="s">
        <x:v>1936</x:v>
      </x:c>
      <x:c r="C400" s="31" t="s">
        <x:v>1623</x:v>
      </x:c>
      <x:c r="D400" s="32" t="s">
        <x:v>1024</x:v>
      </x:c>
      <x:c r="E400" s="32" t="str">
        <x:v>Functional Migration Only</x:v>
      </x:c>
      <x:c r="F400" s="33" t="s">
        <x:v>120</x:v>
      </x:c>
      <x:c r="G400" s="34" t="s">
        <x:v>1638</x:v>
      </x:c>
      <x:c r="H400" s="33" t="s">
        <x:v>87</x:v>
      </x:c>
      <x:c r="I400" s="33" t="s">
        <x:v>1626</x:v>
      </x:c>
      <x:c r="J400" s="33" t="s">
        <x:v>82</x:v>
      </x:c>
      <x:c r="K400" s="33" t="s">
        <x:v>62</x:v>
      </x:c>
      <x:c r="L400" s="33" t="s">
        <x:v>77</x:v>
      </x:c>
      <x:c r="M400" s="35">
        <x:v>71</x:v>
      </x:c>
      <x:c r="N400" s="35">
        <x:v>148837627</x:v>
      </x:c>
      <x:c r="O400" s="33" t="s">
        <x:v>73</x:v>
      </x:c>
      <x:c r="P400" s="33" t="s">
        <x:v>109</x:v>
      </x:c>
      <x:c r="Q400" s="33" t="s">
        <x:v>120</x:v>
      </x:c>
      <x:c r="R400" s="33" t="s">
        <x:v>73</x:v>
      </x:c>
      <x:c r="S400" s="31" t="s">
        <x:v>1839</x:v>
      </x:c>
      <x:c r="T400" s="31" t="s">
        <x:v>1937</x:v>
      </x:c>
      <x:c r="U400" s="31" t="s">
        <x:v>477</x:v>
      </x:c>
      <x:c r="V400" s="33" t="s">
        <x:v>277</x:v>
      </x:c>
      <x:c r="W400" s="33"/>
      <x:c r="X400" s="33" t="s">
        <x:v>238</x:v>
      </x:c>
      <x:c r="Y400" s="36"/>
      <x:c r="Z400" s="36"/>
      <x:c r="AA400" s="33" t="s">
        <x:v>120</x:v>
      </x:c>
      <x:c r="AB400" s="37" t="n">
        <x:f>IFERROR(INDEX(Effort_Model!$J$6:$J$33,MATCH(K400&amp;"|"&amp;L400,Effort_Model!$B$6:$B$33,0)),"")</x:f>
        <x:v>74.4</x:v>
      </x:c>
      <x:c r="AC400" s="38">
        <x:v>1116.7</x:v>
      </x:c>
      <x:c r="AD400" s="37">
        <x:f t="shared" si="6"/>
        <x:v>1390.0333000000001</x:v>
      </x:c>
      <x:c r="AE400" s="37" t="n">
        <x:f>IFERROR(ROUND(IFERROR(INDEX(Scoring_Rules!$C$43:$C$44,MATCH(Q400,Scoring_Rules!$B$43:$B$44,0)),0)*Scoring_Rules!$C$6+IFERROR(INDEX(Scoring_Rules!$C$34:$C$40,MATCH(K400,Scoring_Rules!$B$34:$B$40,0)),0)*Scoring_Rules!$C$7+IFERROR(INDEX(Scoring_Rules!$C$16:$C$19,MATCH(P400,Scoring_Rules!$B$16:$B$19,0)),0)*Scoring_Rules!$C$8+IFERROR(INDEX(Scoring_Rules!$C$22:$C$25,MATCH(O400,Scoring_Rules!$B$22:$B$25,0)),0)*Scoring_Rules!$C$9+IFERROR(INDEX(Scoring_Rules!$C$47:$C$50,MATCH(X400,Scoring_Rules!$B$47:$B$50,0)),0)*Scoring_Rules!$C$10+IFERROR(INDEX(Scoring_Rules!$C$28:$C$31,MATCH(R400,Scoring_Rules!$B$28:$B$31,0)),0)*Scoring_Rules!$C$11,1),"")</x:f>
        <x:v>40</x:v>
      </x:c>
      <x:c r="AF400" s="35">
        <x:v>8</x:v>
      </x:c>
      <x:c r="AG400" s="33" t="s">
        <x:v>1634</x:v>
      </x:c>
      <x:c r="AH400" s="36">
        <x:v>46326</x:v>
      </x:c>
      <x:c r="AI400" s="33" t="s">
        <x:v>127</x:v>
      </x:c>
      <x:c r="AJ400" s="34"/>
    </x:row>
    <x:row r="401" ht="15" customHeight="1">
      <x:c r="A401" s="31" t="s">
        <x:v>1938</x:v>
      </x:c>
      <x:c r="B401" s="31" t="s">
        <x:v>1939</x:v>
      </x:c>
      <x:c r="C401" s="31" t="s">
        <x:v>1623</x:v>
      </x:c>
      <x:c r="D401" s="32" t="s">
        <x:v>1730</x:v>
      </x:c>
      <x:c r="E401" s="32" t="str">
        <x:v>Functional Migration Only</x:v>
      </x:c>
      <x:c r="F401" s="33" t="s">
        <x:v>118</x:v>
      </x:c>
      <x:c r="G401" s="34" t="s">
        <x:v>1648</x:v>
      </x:c>
      <x:c r="H401" s="33" t="s">
        <x:v>87</x:v>
      </x:c>
      <x:c r="I401" s="33" t="s">
        <x:v>1626</x:v>
      </x:c>
      <x:c r="J401" s="33" t="s">
        <x:v>82</x:v>
      </x:c>
      <x:c r="K401" s="33" t="s">
        <x:v>62</x:v>
      </x:c>
      <x:c r="L401" s="33" t="s">
        <x:v>77</x:v>
      </x:c>
      <x:c r="M401" s="35">
        <x:v>56</x:v>
      </x:c>
      <x:c r="N401" s="35">
        <x:v>73631012</x:v>
      </x:c>
      <x:c r="O401" s="33" t="s">
        <x:v>73</x:v>
      </x:c>
      <x:c r="P401" s="33" t="s">
        <x:v>101</x:v>
      </x:c>
      <x:c r="Q401" s="33" t="s">
        <x:v>120</x:v>
      </x:c>
      <x:c r="R401" s="33" t="s">
        <x:v>73</x:v>
      </x:c>
      <x:c r="S401" s="31" t="s">
        <x:v>1940</x:v>
      </x:c>
      <x:c r="T401" s="31" t="s">
        <x:v>1941</x:v>
      </x:c>
      <x:c r="U401" s="31" t="s">
        <x:v>1514</x:v>
      </x:c>
      <x:c r="V401" s="33" t="s">
        <x:v>277</x:v>
      </x:c>
      <x:c r="W401" s="33" t="s">
        <x:v>1849</x:v>
      </x:c>
      <x:c r="X401" s="33" t="s">
        <x:v>239</x:v>
      </x:c>
      <x:c r="Y401" s="36"/>
      <x:c r="Z401" s="36"/>
      <x:c r="AA401" s="33" t="s">
        <x:v>120</x:v>
      </x:c>
      <x:c r="AB401" s="37" t="n">
        <x:f>IFERROR(INDEX(Effort_Model!$J$6:$J$33,MATCH(K401&amp;"|"&amp;L401,Effort_Model!$B$6:$B$33,0)),"")</x:f>
        <x:v>74.4</x:v>
      </x:c>
      <x:c r="AC401" s="38">
        <x:v>1386.6</x:v>
      </x:c>
      <x:c r="AD401" s="37">
        <x:f t="shared" si="6"/>
        <x:v>1659.9332999999999</x:v>
      </x:c>
      <x:c r="AE401" s="37" t="n">
        <x:f>IFERROR(ROUND(IFERROR(INDEX(Scoring_Rules!$C$43:$C$44,MATCH(Q401,Scoring_Rules!$B$43:$B$44,0)),0)*Scoring_Rules!$C$6+IFERROR(INDEX(Scoring_Rules!$C$34:$C$40,MATCH(K401,Scoring_Rules!$B$34:$B$40,0)),0)*Scoring_Rules!$C$7+IFERROR(INDEX(Scoring_Rules!$C$16:$C$19,MATCH(P401,Scoring_Rules!$B$16:$B$19,0)),0)*Scoring_Rules!$C$8+IFERROR(INDEX(Scoring_Rules!$C$22:$C$25,MATCH(O401,Scoring_Rules!$B$22:$B$25,0)),0)*Scoring_Rules!$C$9+IFERROR(INDEX(Scoring_Rules!$C$47:$C$50,MATCH(X401,Scoring_Rules!$B$47:$B$50,0)),0)*Scoring_Rules!$C$10+IFERROR(INDEX(Scoring_Rules!$C$28:$C$31,MATCH(R401,Scoring_Rules!$B$28:$B$31,0)),0)*Scoring_Rules!$C$11,1),"")</x:f>
        <x:v>42.5</x:v>
      </x:c>
      <x:c r="AF401" s="35">
        <x:v>8</x:v>
      </x:c>
      <x:c r="AG401" s="33" t="s">
        <x:v>1639</x:v>
      </x:c>
      <x:c r="AH401" s="36">
        <x:v>46348</x:v>
      </x:c>
      <x:c r="AI401" s="33" t="s">
        <x:v>127</x:v>
      </x:c>
      <x:c r="AJ401" s="34" t="s">
        <x:v>383</x:v>
      </x:c>
    </x:row>
    <x:row r="402" ht="15" customHeight="1">
      <x:c r="A402" s="31" t="s">
        <x:v>1942</x:v>
      </x:c>
      <x:c r="B402" s="31" t="s">
        <x:v>1943</x:v>
      </x:c>
      <x:c r="C402" s="31" t="s">
        <x:v>1623</x:v>
      </x:c>
      <x:c r="D402" s="32" t="s">
        <x:v>1637</x:v>
      </x:c>
      <x:c r="E402" s="32" t="str">
        <x:v>Functional Migration Only</x:v>
      </x:c>
      <x:c r="F402" s="33" t="s">
        <x:v>118</x:v>
      </x:c>
      <x:c r="G402" s="34" t="s">
        <x:v>1648</x:v>
      </x:c>
      <x:c r="H402" s="33" t="s">
        <x:v>87</x:v>
      </x:c>
      <x:c r="I402" s="33" t="s">
        <x:v>1626</x:v>
      </x:c>
      <x:c r="J402" s="33" t="s">
        <x:v>82</x:v>
      </x:c>
      <x:c r="K402" s="33" t="s">
        <x:v>62</x:v>
      </x:c>
      <x:c r="L402" s="33" t="s">
        <x:v>75</x:v>
      </x:c>
      <x:c r="M402" s="35">
        <x:v>63</x:v>
      </x:c>
      <x:c r="N402" s="35">
        <x:v>126032446</x:v>
      </x:c>
      <x:c r="O402" s="33" t="s">
        <x:v>101</x:v>
      </x:c>
      <x:c r="P402" s="33" t="s">
        <x:v>73</x:v>
      </x:c>
      <x:c r="Q402" s="33" t="s">
        <x:v>120</x:v>
      </x:c>
      <x:c r="R402" s="33" t="s">
        <x:v>98</x:v>
      </x:c>
      <x:c r="S402" s="31" t="s">
        <x:v>1944</x:v>
      </x:c>
      <x:c r="T402" s="31" t="s">
        <x:v>1945</x:v>
      </x:c>
      <x:c r="U402" s="31" t="s">
        <x:v>1514</x:v>
      </x:c>
      <x:c r="V402" s="33" t="s">
        <x:v>347</x:v>
      </x:c>
      <x:c r="W402" s="33"/>
      <x:c r="X402" s="33" t="s">
        <x:v>238</x:v>
      </x:c>
      <x:c r="Y402" s="36">
        <x:v>46668</x:v>
      </x:c>
      <x:c r="Z402" s="36"/>
      <x:c r="AA402" s="33" t="s">
        <x:v>120</x:v>
      </x:c>
      <x:c r="AB402" s="37" t="n">
        <x:f>IFERROR(INDEX(Effort_Model!$J$6:$J$33,MATCH(K402&amp;"|"&amp;L402,Effort_Model!$B$6:$B$33,0)),"")</x:f>
        <x:v>74.4</x:v>
      </x:c>
      <x:c r="AC402" s="38">
        <x:v>951.1</x:v>
      </x:c>
      <x:c r="AD402" s="37">
        <x:f t="shared" si="6"/>
        <x:v>1160.4333000000001</x:v>
      </x:c>
      <x:c r="AE402" s="37" t="n">
        <x:f>IFERROR(ROUND(IFERROR(INDEX(Scoring_Rules!$C$43:$C$44,MATCH(Q402,Scoring_Rules!$B$43:$B$44,0)),0)*Scoring_Rules!$C$6+IFERROR(INDEX(Scoring_Rules!$C$34:$C$40,MATCH(K402,Scoring_Rules!$B$34:$B$40,0)),0)*Scoring_Rules!$C$7+IFERROR(INDEX(Scoring_Rules!$C$16:$C$19,MATCH(P402,Scoring_Rules!$B$16:$B$19,0)),0)*Scoring_Rules!$C$8+IFERROR(INDEX(Scoring_Rules!$C$22:$C$25,MATCH(O402,Scoring_Rules!$B$22:$B$25,0)),0)*Scoring_Rules!$C$9+IFERROR(INDEX(Scoring_Rules!$C$47:$C$50,MATCH(X402,Scoring_Rules!$B$47:$B$50,0)),0)*Scoring_Rules!$C$10+IFERROR(INDEX(Scoring_Rules!$C$28:$C$31,MATCH(R402,Scoring_Rules!$B$28:$B$31,0)),0)*Scoring_Rules!$C$11,1),"")</x:f>
        <x:v>50.3</x:v>
      </x:c>
      <x:c r="AF402" s="35">
        <x:v>6</x:v>
      </x:c>
      <x:c r="AG402" s="33" t="s">
        <x:v>1645</x:v>
      </x:c>
      <x:c r="AH402" s="36">
        <x:v>46336</x:v>
      </x:c>
      <x:c r="AI402" s="33" t="s">
        <x:v>127</x:v>
      </x:c>
      <x:c r="AJ402" s="34" t="s">
        <x:v>445</x:v>
      </x:c>
    </x:row>
    <x:row r="403" ht="15" customHeight="1">
      <x:c r="A403" s="31" t="s">
        <x:v>1946</x:v>
      </x:c>
      <x:c r="B403" s="31" t="s">
        <x:v>1947</x:v>
      </x:c>
      <x:c r="C403" s="31" t="s">
        <x:v>1623</x:v>
      </x:c>
      <x:c r="D403" s="32" t="s">
        <x:v>1686</x:v>
      </x:c>
      <x:c r="E403" s="32" t="str">
        <x:v>Data Migration Only</x:v>
      </x:c>
      <x:c r="F403" s="33" t="s">
        <x:v>120</x:v>
      </x:c>
      <x:c r="G403" s="34" t="s">
        <x:v>1625</x:v>
      </x:c>
      <x:c r="H403" s="33" t="s">
        <x:v>87</x:v>
      </x:c>
      <x:c r="I403" s="33" t="s">
        <x:v>1626</x:v>
      </x:c>
      <x:c r="J403" s="33" t="s">
        <x:v>80</x:v>
      </x:c>
      <x:c r="K403" s="33" t="s">
        <x:v>58</x:v>
      </x:c>
      <x:c r="L403" s="33" t="s">
        <x:v>73</x:v>
      </x:c>
      <x:c r="M403" s="35">
        <x:v>25</x:v>
      </x:c>
      <x:c r="N403" s="35">
        <x:v>695715</x:v>
      </x:c>
      <x:c r="O403" s="33" t="s">
        <x:v>73</x:v>
      </x:c>
      <x:c r="P403" s="33" t="s">
        <x:v>101</x:v>
      </x:c>
      <x:c r="Q403" s="33" t="s">
        <x:v>120</x:v>
      </x:c>
      <x:c r="R403" s="33" t="s">
        <x:v>115</x:v>
      </x:c>
      <x:c r="S403" s="31" t="s">
        <x:v>1826</x:v>
      </x:c>
      <x:c r="T403" s="31" t="s">
        <x:v>1948</x:v>
      </x:c>
      <x:c r="U403" s="31" t="s">
        <x:v>276</x:v>
      </x:c>
      <x:c r="V403" s="33" t="s">
        <x:v>444</x:v>
      </x:c>
      <x:c r="W403" s="33"/>
      <x:c r="X403" s="33" t="s">
        <x:v>238</x:v>
      </x:c>
      <x:c r="Y403" s="36"/>
      <x:c r="Z403" s="36"/>
      <x:c r="AA403" s="33" t="s">
        <x:v>120</x:v>
      </x:c>
      <x:c r="AB403" s="37" t="n">
        <x:f>IFERROR(INDEX(Effort_Model!$J$6:$J$33,MATCH(K403&amp;"|"&amp;L403,Effort_Model!$B$6:$B$33,0)),"")</x:f>
        <x:v>26.4</x:v>
      </x:c>
      <x:c r="AC403" s="38">
        <x:v>141.69999999999999</x:v>
      </x:c>
      <x:c r="AD403" s="37">
        <x:f t="shared" si="6"/>
        <x:v>186.7</x:v>
      </x:c>
      <x:c r="AE403" s="37" t="n">
        <x:f>IFERROR(ROUND(IFERROR(INDEX(Scoring_Rules!$C$43:$C$44,MATCH(Q403,Scoring_Rules!$B$43:$B$44,0)),0)*Scoring_Rules!$C$6+IFERROR(INDEX(Scoring_Rules!$C$34:$C$40,MATCH(K403,Scoring_Rules!$B$34:$B$40,0)),0)*Scoring_Rules!$C$7+IFERROR(INDEX(Scoring_Rules!$C$16:$C$19,MATCH(P403,Scoring_Rules!$B$16:$B$19,0)),0)*Scoring_Rules!$C$8+IFERROR(INDEX(Scoring_Rules!$C$22:$C$25,MATCH(O403,Scoring_Rules!$B$22:$B$25,0)),0)*Scoring_Rules!$C$9+IFERROR(INDEX(Scoring_Rules!$C$47:$C$50,MATCH(X403,Scoring_Rules!$B$47:$B$50,0)),0)*Scoring_Rules!$C$10+IFERROR(INDEX(Scoring_Rules!$C$28:$C$31,MATCH(R403,Scoring_Rules!$B$28:$B$31,0)),0)*Scoring_Rules!$C$11,1),"")</x:f>
        <x:v>50.5</x:v>
      </x:c>
      <x:c r="AF403" s="35">
        <x:v>3</x:v>
      </x:c>
      <x:c r="AG403" s="33" t="s">
        <x:v>1629</x:v>
      </x:c>
      <x:c r="AH403" s="36">
        <x:v>46309</x:v>
      </x:c>
      <x:c r="AI403" s="33" t="s">
        <x:v>127</x:v>
      </x:c>
      <x:c r="AJ403" s="34" t="s">
        <x:v>445</x:v>
      </x:c>
    </x:row>
    <x:row r="404" ht="68.25" customHeight="1">
      <x:c r="A404" s="31" t="s">
        <x:v>1949</x:v>
      </x:c>
      <x:c r="B404" s="31" t="s">
        <x:v>1950</x:v>
      </x:c>
      <x:c r="C404" s="31" t="s">
        <x:v>1623</x:v>
      </x:c>
      <x:c r="D404" s="32" t="s">
        <x:v>1951</x:v>
      </x:c>
      <x:c r="E404" s="32" t="str">
        <x:v>Functional Migration Only</x:v>
      </x:c>
      <x:c r="F404" s="33" t="s">
        <x:v>118</x:v>
      </x:c>
      <x:c r="G404" s="34" t="s">
        <x:v>1655</x:v>
      </x:c>
      <x:c r="H404" s="33" t="s">
        <x:v>87</x:v>
      </x:c>
      <x:c r="I404" s="33" t="s">
        <x:v>1626</x:v>
      </x:c>
      <x:c r="J404" s="33" t="s">
        <x:v>82</x:v>
      </x:c>
      <x:c r="K404" s="33" t="s">
        <x:v>68</x:v>
      </x:c>
      <x:c r="L404" s="33" t="s">
        <x:v>73</x:v>
      </x:c>
      <x:c r="M404" s="35">
        <x:v>444</x:v>
      </x:c>
      <x:c r="N404" s="35">
        <x:v>74354357489</x:v>
      </x:c>
      <x:c r="O404" s="33" t="s">
        <x:v>101</x:v>
      </x:c>
      <x:c r="P404" s="33" t="s">
        <x:v>101</x:v>
      </x:c>
      <x:c r="Q404" s="33" t="s">
        <x:v>120</x:v>
      </x:c>
      <x:c r="R404" s="33" t="s">
        <x:v>101</x:v>
      </x:c>
      <x:c r="S404" s="31" t="s">
        <x:v>1952</x:v>
      </x:c>
      <x:c r="T404" s="31" t="s">
        <x:v>1953</x:v>
      </x:c>
      <x:c r="U404" s="31" t="s">
        <x:v>522</x:v>
      </x:c>
      <x:c r="V404" s="33" t="s">
        <x:v>323</x:v>
      </x:c>
      <x:c r="W404" s="33"/>
      <x:c r="X404" s="33" t="s">
        <x:v>238</x:v>
      </x:c>
      <x:c r="Y404" s="36">
        <x:v>46493</x:v>
      </x:c>
      <x:c r="Z404" s="36"/>
      <x:c r="AA404" s="33" t="s">
        <x:v>120</x:v>
      </x:c>
      <x:c r="AB404" s="37" t="n">
        <x:f>IFERROR(INDEX(Effort_Model!$J$6:$J$33,MATCH(K404&amp;"|"&amp;L404,Effort_Model!$B$6:$B$33,0)),"")</x:f>
        <x:v>170.4</x:v>
      </x:c>
      <x:c r="AC404" s="38">
        <x:v>2738.6</x:v>
      </x:c>
      <x:c r="AD404" s="37">
        <x:f t="shared" si="6"/>
        <x:v>3071.6</x:v>
      </x:c>
      <x:c r="AE404" s="37" t="n">
        <x:f>IFERROR(ROUND(IFERROR(INDEX(Scoring_Rules!$C$43:$C$44,MATCH(Q404,Scoring_Rules!$B$43:$B$44,0)),0)*Scoring_Rules!$C$6+IFERROR(INDEX(Scoring_Rules!$C$34:$C$40,MATCH(K404,Scoring_Rules!$B$34:$B$40,0)),0)*Scoring_Rules!$C$7+IFERROR(INDEX(Scoring_Rules!$C$16:$C$19,MATCH(P404,Scoring_Rules!$B$16:$B$19,0)),0)*Scoring_Rules!$C$8+IFERROR(INDEX(Scoring_Rules!$C$22:$C$25,MATCH(O404,Scoring_Rules!$B$22:$B$25,0)),0)*Scoring_Rules!$C$9+IFERROR(INDEX(Scoring_Rules!$C$47:$C$50,MATCH(X404,Scoring_Rules!$B$47:$B$50,0)),0)*Scoring_Rules!$C$10+IFERROR(INDEX(Scoring_Rules!$C$28:$C$31,MATCH(R404,Scoring_Rules!$B$28:$B$31,0)),0)*Scoring_Rules!$C$11,1),"")</x:f>
        <x:v>29</x:v>
      </x:c>
      <x:c r="AF404" s="35">
        <x:v>6</x:v>
      </x:c>
      <x:c r="AG404" s="33" t="s">
        <x:v>1634</x:v>
      </x:c>
      <x:c r="AH404" s="36">
        <x:v>46304</x:v>
      </x:c>
      <x:c r="AI404" s="33" t="s">
        <x:v>124</x:v>
      </x:c>
      <x:c r="AJ404" s="34" t="s">
        <x:v>445</x:v>
      </x:c>
    </x:row>
    <x:row r="405" ht="15" customHeight="1">
      <x:c r="A405" s="31" t="s">
        <x:v>1954</x:v>
      </x:c>
      <x:c r="B405" s="31" t="s">
        <x:v>1955</x:v>
      </x:c>
      <x:c r="C405" s="31" t="s">
        <x:v>1623</x:v>
      </x:c>
      <x:c r="D405" s="32" t="s">
        <x:v>1730</x:v>
      </x:c>
      <x:c r="E405" s="32" t="str">
        <x:v>Functional Migration Only</x:v>
      </x:c>
      <x:c r="F405" s="33" t="s">
        <x:v>118</x:v>
      </x:c>
      <x:c r="G405" s="34" t="s">
        <x:v>1625</x:v>
      </x:c>
      <x:c r="H405" s="33" t="s">
        <x:v>87</x:v>
      </x:c>
      <x:c r="I405" s="33" t="s">
        <x:v>1626</x:v>
      </x:c>
      <x:c r="J405" s="33" t="s">
        <x:v>82</x:v>
      </x:c>
      <x:c r="K405" s="33" t="s">
        <x:v>62</x:v>
      </x:c>
      <x:c r="L405" s="33" t="s">
        <x:v>75</x:v>
      </x:c>
      <x:c r="M405" s="35">
        <x:v>72</x:v>
      </x:c>
      <x:c r="N405" s="35">
        <x:v>116567563</x:v>
      </x:c>
      <x:c r="O405" s="33" t="s">
        <x:v>73</x:v>
      </x:c>
      <x:c r="P405" s="33" t="s">
        <x:v>73</x:v>
      </x:c>
      <x:c r="Q405" s="33" t="s">
        <x:v>120</x:v>
      </x:c>
      <x:c r="R405" s="33" t="s">
        <x:v>115</x:v>
      </x:c>
      <x:c r="S405" s="31" t="s">
        <x:v>1656</x:v>
      </x:c>
      <x:c r="T405" s="31" t="s">
        <x:v>1956</x:v>
      </x:c>
      <x:c r="U405" s="31" t="s">
        <x:v>477</x:v>
      </x:c>
      <x:c r="V405" s="33" t="s">
        <x:v>289</x:v>
      </x:c>
      <x:c r="W405" s="33"/>
      <x:c r="X405" s="33" t="s">
        <x:v>238</x:v>
      </x:c>
      <x:c r="Y405" s="36">
        <x:v>46343</x:v>
      </x:c>
      <x:c r="Z405" s="36"/>
      <x:c r="AA405" s="33" t="s">
        <x:v>120</x:v>
      </x:c>
      <x:c r="AB405" s="37" t="n">
        <x:f>IFERROR(INDEX(Effort_Model!$J$6:$J$33,MATCH(K405&amp;"|"&amp;L405,Effort_Model!$B$6:$B$33,0)),"")</x:f>
        <x:v>74.4</x:v>
      </x:c>
      <x:c r="AC405" s="38">
        <x:v>1077.2</x:v>
      </x:c>
      <x:c r="AD405" s="37">
        <x:f t="shared" si="6"/>
        <x:v>1286.5333000000001</x:v>
      </x:c>
      <x:c r="AE405" s="37" t="n">
        <x:f>IFERROR(ROUND(IFERROR(INDEX(Scoring_Rules!$C$43:$C$44,MATCH(Q405,Scoring_Rules!$B$43:$B$44,0)),0)*Scoring_Rules!$C$6+IFERROR(INDEX(Scoring_Rules!$C$34:$C$40,MATCH(K405,Scoring_Rules!$B$34:$B$40,0)),0)*Scoring_Rules!$C$7+IFERROR(INDEX(Scoring_Rules!$C$16:$C$19,MATCH(P405,Scoring_Rules!$B$16:$B$19,0)),0)*Scoring_Rules!$C$8+IFERROR(INDEX(Scoring_Rules!$C$22:$C$25,MATCH(O405,Scoring_Rules!$B$22:$B$25,0)),0)*Scoring_Rules!$C$9+IFERROR(INDEX(Scoring_Rules!$C$47:$C$50,MATCH(X405,Scoring_Rules!$B$47:$B$50,0)),0)*Scoring_Rules!$C$10+IFERROR(INDEX(Scoring_Rules!$C$28:$C$31,MATCH(R405,Scoring_Rules!$B$28:$B$31,0)),0)*Scoring_Rules!$C$11,1),"")</x:f>
        <x:v>50.5</x:v>
      </x:c>
      <x:c r="AF405" s="35">
        <x:v>5</x:v>
      </x:c>
      <x:c r="AG405" s="33" t="s">
        <x:v>1639</x:v>
      </x:c>
      <x:c r="AH405" s="36">
        <x:v>46375</x:v>
      </x:c>
      <x:c r="AI405" s="33" t="s">
        <x:v>128</x:v>
      </x:c>
      <x:c r="AJ405" s="34" t="s">
        <x:v>395</x:v>
      </x:c>
    </x:row>
    <x:row r="406" ht="15" customHeight="1">
      <x:c r="A406" s="31" t="s">
        <x:v>1957</x:v>
      </x:c>
      <x:c r="B406" s="31" t="s">
        <x:v>1958</x:v>
      </x:c>
      <x:c r="C406" s="31" t="s">
        <x:v>1623</x:v>
      </x:c>
      <x:c r="D406" s="32" t="s">
        <x:v>1024</x:v>
      </x:c>
      <x:c r="E406" s="32" t="str">
        <x:v>Functional Migration Only</x:v>
      </x:c>
      <x:c r="F406" s="33" t="s">
        <x:v>118</x:v>
      </x:c>
      <x:c r="G406" s="34" t="s">
        <x:v>1638</x:v>
      </x:c>
      <x:c r="H406" s="33" t="s">
        <x:v>87</x:v>
      </x:c>
      <x:c r="I406" s="33" t="s">
        <x:v>1626</x:v>
      </x:c>
      <x:c r="J406" s="33" t="s">
        <x:v>82</x:v>
      </x:c>
      <x:c r="K406" s="33" t="s">
        <x:v>62</x:v>
      </x:c>
      <x:c r="L406" s="33" t="s">
        <x:v>73</x:v>
      </x:c>
      <x:c r="M406" s="35">
        <x:v>63</x:v>
      </x:c>
      <x:c r="N406" s="35">
        <x:v>66582360</x:v>
      </x:c>
      <x:c r="O406" s="33" t="s">
        <x:v>103</x:v>
      </x:c>
      <x:c r="P406" s="33" t="s">
        <x:v>73</x:v>
      </x:c>
      <x:c r="Q406" s="33" t="s">
        <x:v>120</x:v>
      </x:c>
      <x:c r="R406" s="33" t="s">
        <x:v>101</x:v>
      </x:c>
      <x:c r="S406" s="31" t="s">
        <x:v>1959</x:v>
      </x:c>
      <x:c r="T406" s="31" t="s">
        <x:v>1960</x:v>
      </x:c>
      <x:c r="U406" s="31" t="s">
        <x:v>276</x:v>
      </x:c>
      <x:c r="V406" s="33" t="s">
        <x:v>289</x:v>
      </x:c>
      <x:c r="W406" s="33"/>
      <x:c r="X406" s="33" t="s">
        <x:v>238</x:v>
      </x:c>
      <x:c r="Y406" s="36"/>
      <x:c r="Z406" s="36"/>
      <x:c r="AA406" s="33" t="s">
        <x:v>120</x:v>
      </x:c>
      <x:c r="AB406" s="37" t="n">
        <x:f>IFERROR(INDEX(Effort_Model!$J$6:$J$33,MATCH(K406&amp;"|"&amp;L406,Effort_Model!$B$6:$B$33,0)),"")</x:f>
        <x:v>74.4</x:v>
      </x:c>
      <x:c r="AC406" s="38">
        <x:v>665.5</x:v>
      </x:c>
      <x:c r="AD406" s="37">
        <x:f t="shared" si="6"/>
        <x:v>806.5</x:v>
      </x:c>
      <x:c r="AE406" s="37" t="n">
        <x:f>IFERROR(ROUND(IFERROR(INDEX(Scoring_Rules!$C$43:$C$44,MATCH(Q406,Scoring_Rules!$B$43:$B$44,0)),0)*Scoring_Rules!$C$6+IFERROR(INDEX(Scoring_Rules!$C$34:$C$40,MATCH(K406,Scoring_Rules!$B$34:$B$40,0)),0)*Scoring_Rules!$C$7+IFERROR(INDEX(Scoring_Rules!$C$16:$C$19,MATCH(P406,Scoring_Rules!$B$16:$B$19,0)),0)*Scoring_Rules!$C$8+IFERROR(INDEX(Scoring_Rules!$C$22:$C$25,MATCH(O406,Scoring_Rules!$B$22:$B$25,0)),0)*Scoring_Rules!$C$9+IFERROR(INDEX(Scoring_Rules!$C$47:$C$50,MATCH(X406,Scoring_Rules!$B$47:$B$50,0)),0)*Scoring_Rules!$C$10+IFERROR(INDEX(Scoring_Rules!$C$28:$C$31,MATCH(R406,Scoring_Rules!$B$28:$B$31,0)),0)*Scoring_Rules!$C$11,1),"")</x:f>
        <x:v>41.8</x:v>
      </x:c>
      <x:c r="AF406" s="35">
        <x:v>5</x:v>
      </x:c>
      <x:c r="AG406" s="33" t="s">
        <x:v>1645</x:v>
      </x:c>
      <x:c r="AH406" s="36">
        <x:v>46402</x:v>
      </x:c>
      <x:c r="AI406" s="33" t="s">
        <x:v>127</x:v>
      </x:c>
      <x:c r="AJ406" s="34"/>
    </x:row>
    <x:row r="407" ht="15" customHeight="1">
      <x:c r="A407" s="31" t="s">
        <x:v>1961</x:v>
      </x:c>
      <x:c r="B407" s="31" t="s">
        <x:v>1962</x:v>
      </x:c>
      <x:c r="C407" s="31" t="s">
        <x:v>1623</x:v>
      </x:c>
      <x:c r="D407" s="32" t="s">
        <x:v>1624</x:v>
      </x:c>
      <x:c r="E407" s="32" t="str">
        <x:v>Data Migration Only</x:v>
      </x:c>
      <x:c r="F407" s="33" t="s">
        <x:v>118</x:v>
      </x:c>
      <x:c r="G407" s="34" t="s">
        <x:v>1638</x:v>
      </x:c>
      <x:c r="H407" s="33" t="s">
        <x:v>87</x:v>
      </x:c>
      <x:c r="I407" s="33" t="s">
        <x:v>1626</x:v>
      </x:c>
      <x:c r="J407" s="33" t="s">
        <x:v>80</x:v>
      </x:c>
      <x:c r="K407" s="33" t="s">
        <x:v>60</x:v>
      </x:c>
      <x:c r="L407" s="33" t="s">
        <x:v>73</x:v>
      </x:c>
      <x:c r="M407" s="35">
        <x:v>42</x:v>
      </x:c>
      <x:c r="N407" s="35">
        <x:v>5796035</x:v>
      </x:c>
      <x:c r="O407" s="33" t="s">
        <x:v>101</x:v>
      </x:c>
      <x:c r="P407" s="33" t="s">
        <x:v>98</x:v>
      </x:c>
      <x:c r="Q407" s="33" t="s">
        <x:v>118</x:v>
      </x:c>
      <x:c r="R407" s="33" t="s">
        <x:v>101</x:v>
      </x:c>
      <x:c r="S407" s="31" t="s">
        <x:v>1963</x:v>
      </x:c>
      <x:c r="T407" s="31" t="s">
        <x:v>1964</x:v>
      </x:c>
      <x:c r="U407" s="31" t="s">
        <x:v>276</x:v>
      </x:c>
      <x:c r="V407" s="33" t="s">
        <x:v>444</x:v>
      </x:c>
      <x:c r="W407" s="33" t="s">
        <x:v>1725</x:v>
      </x:c>
      <x:c r="X407" s="33" t="s">
        <x:v>240</x:v>
      </x:c>
      <x:c r="Y407" s="36"/>
      <x:c r="Z407" s="36"/>
      <x:c r="AA407" s="33" t="s">
        <x:v>120</x:v>
      </x:c>
      <x:c r="AB407" s="37" t="n">
        <x:f>IFERROR(INDEX(Effort_Model!$J$6:$J$33,MATCH(K407&amp;"|"&amp;L407,Effort_Model!$B$6:$B$33,0)),"")</x:f>
        <x:v>42.4</x:v>
      </x:c>
      <x:c r="AC407" s="38">
        <x:v>284.10000000000002</x:v>
      </x:c>
      <x:c r="AD407" s="37">
        <x:f t="shared" si="6"/>
        <x:v>361.1</x:v>
      </x:c>
      <x:c r="AE407" s="37" t="n">
        <x:f>IFERROR(ROUND(IFERROR(INDEX(Scoring_Rules!$C$43:$C$44,MATCH(Q407,Scoring_Rules!$B$43:$B$44,0)),0)*Scoring_Rules!$C$6+IFERROR(INDEX(Scoring_Rules!$C$34:$C$40,MATCH(K407,Scoring_Rules!$B$34:$B$40,0)),0)*Scoring_Rules!$C$7+IFERROR(INDEX(Scoring_Rules!$C$16:$C$19,MATCH(P407,Scoring_Rules!$B$16:$B$19,0)),0)*Scoring_Rules!$C$8+IFERROR(INDEX(Scoring_Rules!$C$22:$C$25,MATCH(O407,Scoring_Rules!$B$22:$B$25,0)),0)*Scoring_Rules!$C$9+IFERROR(INDEX(Scoring_Rules!$C$47:$C$50,MATCH(X407,Scoring_Rules!$B$47:$B$50,0)),0)*Scoring_Rules!$C$10+IFERROR(INDEX(Scoring_Rules!$C$28:$C$31,MATCH(R407,Scoring_Rules!$B$28:$B$31,0)),0)*Scoring_Rules!$C$11,1),"")</x:f>
        <x:v>71.5</x:v>
      </x:c>
      <x:c r="AF407" s="35">
        <x:v>1</x:v>
      </x:c>
      <x:c r="AG407" s="33" t="s">
        <x:v>1629</x:v>
      </x:c>
      <x:c r="AH407" s="36">
        <x:v>46404</x:v>
      </x:c>
      <x:c r="AI407" s="33" t="s">
        <x:v>127</x:v>
      </x:c>
      <x:c r="AJ407" s="34" t="s">
        <x:v>312</x:v>
      </x:c>
    </x:row>
    <x:row r="408" ht="15" customHeight="1">
      <x:c r="A408" s="31" t="s">
        <x:v>1965</x:v>
      </x:c>
      <x:c r="B408" s="31" t="s">
        <x:v>1966</x:v>
      </x:c>
      <x:c r="C408" s="31" t="s">
        <x:v>1623</x:v>
      </x:c>
      <x:c r="D408" s="32" t="s">
        <x:v>1024</x:v>
      </x:c>
      <x:c r="E408" s="32" t="str">
        <x:v>Data Migration Only</x:v>
      </x:c>
      <x:c r="F408" s="33" t="s">
        <x:v>118</x:v>
      </x:c>
      <x:c r="G408" s="34" t="s">
        <x:v>1655</x:v>
      </x:c>
      <x:c r="H408" s="33" t="s">
        <x:v>87</x:v>
      </x:c>
      <x:c r="I408" s="33" t="s">
        <x:v>1626</x:v>
      </x:c>
      <x:c r="J408" s="33" t="s">
        <x:v>80</x:v>
      </x:c>
      <x:c r="K408" s="33" t="s">
        <x:v>58</x:v>
      </x:c>
      <x:c r="L408" s="33" t="s">
        <x:v>73</x:v>
      </x:c>
      <x:c r="M408" s="35">
        <x:v>16</x:v>
      </x:c>
      <x:c r="N408" s="35">
        <x:v>759351</x:v>
      </x:c>
      <x:c r="O408" s="33" t="s">
        <x:v>101</x:v>
      </x:c>
      <x:c r="P408" s="33" t="s">
        <x:v>73</x:v>
      </x:c>
      <x:c r="Q408" s="33" t="s">
        <x:v>118</x:v>
      </x:c>
      <x:c r="R408" s="33" t="s">
        <x:v>101</x:v>
      </x:c>
      <x:c r="S408" s="31" t="s">
        <x:v>1826</x:v>
      </x:c>
      <x:c r="T408" s="31" t="s">
        <x:v>1827</x:v>
      </x:c>
      <x:c r="U408" s="31" t="s">
        <x:v>276</x:v>
      </x:c>
      <x:c r="V408" s="33" t="s">
        <x:v>303</x:v>
      </x:c>
      <x:c r="W408" s="33"/>
      <x:c r="X408" s="33" t="s">
        <x:v>238</x:v>
      </x:c>
      <x:c r="Y408" s="36"/>
      <x:c r="Z408" s="36"/>
      <x:c r="AA408" s="33" t="s">
        <x:v>120</x:v>
      </x:c>
      <x:c r="AB408" s="37" t="n">
        <x:f>IFERROR(INDEX(Effort_Model!$J$6:$J$33,MATCH(K408&amp;"|"&amp;L408,Effort_Model!$B$6:$B$33,0)),"")</x:f>
        <x:v>26.4</x:v>
      </x:c>
      <x:c r="AC408" s="38">
        <x:v>147.69999999999999</x:v>
      </x:c>
      <x:c r="AD408" s="37">
        <x:f t="shared" si="6"/>
        <x:v>192.7</x:v>
      </x:c>
      <x:c r="AE408" s="37" t="n">
        <x:f>IFERROR(ROUND(IFERROR(INDEX(Scoring_Rules!$C$43:$C$44,MATCH(Q408,Scoring_Rules!$B$43:$B$44,0)),0)*Scoring_Rules!$C$6+IFERROR(INDEX(Scoring_Rules!$C$34:$C$40,MATCH(K408,Scoring_Rules!$B$34:$B$40,0)),0)*Scoring_Rules!$C$7+IFERROR(INDEX(Scoring_Rules!$C$16:$C$19,MATCH(P408,Scoring_Rules!$B$16:$B$19,0)),0)*Scoring_Rules!$C$8+IFERROR(INDEX(Scoring_Rules!$C$22:$C$25,MATCH(O408,Scoring_Rules!$B$22:$B$25,0)),0)*Scoring_Rules!$C$9+IFERROR(INDEX(Scoring_Rules!$C$47:$C$50,MATCH(X408,Scoring_Rules!$B$47:$B$50,0)),0)*Scoring_Rules!$C$10+IFERROR(INDEX(Scoring_Rules!$C$28:$C$31,MATCH(R408,Scoring_Rules!$B$28:$B$31,0)),0)*Scoring_Rules!$C$11,1),"")</x:f>
        <x:v>79</x:v>
      </x:c>
      <x:c r="AF408" s="35">
        <x:v>1</x:v>
      </x:c>
      <x:c r="AG408" s="33" t="s">
        <x:v>1634</x:v>
      </x:c>
      <x:c r="AH408" s="36">
        <x:v>46312</x:v>
      </x:c>
      <x:c r="AI408" s="33" t="s">
        <x:v>127</x:v>
      </x:c>
      <x:c r="AJ408" s="34"/>
    </x:row>
    <x:row r="409" ht="15" customHeight="1">
      <x:c r="A409" s="31" t="s">
        <x:v>1967</x:v>
      </x:c>
      <x:c r="B409" s="31" t="s">
        <x:v>1968</x:v>
      </x:c>
      <x:c r="C409" s="31" t="s">
        <x:v>1623</x:v>
      </x:c>
      <x:c r="D409" s="32" t="s">
        <x:v>1024</x:v>
      </x:c>
      <x:c r="E409" s="32" t="str">
        <x:v>Data Migration Only</x:v>
      </x:c>
      <x:c r="F409" s="33" t="s">
        <x:v>118</x:v>
      </x:c>
      <x:c r="G409" s="34" t="s">
        <x:v>1648</x:v>
      </x:c>
      <x:c r="H409" s="33" t="s">
        <x:v>87</x:v>
      </x:c>
      <x:c r="I409" s="33" t="s">
        <x:v>1626</x:v>
      </x:c>
      <x:c r="J409" s="33" t="s">
        <x:v>80</x:v>
      </x:c>
      <x:c r="K409" s="33" t="s">
        <x:v>64</x:v>
      </x:c>
      <x:c r="L409" s="33" t="s">
        <x:v>71</x:v>
      </x:c>
      <x:c r="M409" s="35">
        <x:v>149</x:v>
      </x:c>
      <x:c r="N409" s="35">
        <x:v>1289207167</x:v>
      </x:c>
      <x:c r="O409" s="33" t="s">
        <x:v>101</x:v>
      </x:c>
      <x:c r="P409" s="33" t="s">
        <x:v>98</x:v>
      </x:c>
      <x:c r="Q409" s="33" t="s">
        <x:v>120</x:v>
      </x:c>
      <x:c r="R409" s="33" t="s">
        <x:v>101</x:v>
      </x:c>
      <x:c r="S409" s="31" t="s">
        <x:v>1969</x:v>
      </x:c>
      <x:c r="T409" s="31" t="s">
        <x:v>1970</x:v>
      </x:c>
      <x:c r="U409" s="31" t="s">
        <x:v>522</x:v>
      </x:c>
      <x:c r="V409" s="33" t="s">
        <x:v>365</x:v>
      </x:c>
      <x:c r="W409" s="33" t="s">
        <x:v>1794</x:v>
      </x:c>
      <x:c r="X409" s="33" t="s">
        <x:v>240</x:v>
      </x:c>
      <x:c r="Y409" s="36"/>
      <x:c r="Z409" s="36"/>
      <x:c r="AA409" s="33" t="s">
        <x:v>120</x:v>
      </x:c>
      <x:c r="AB409" s="37" t="n">
        <x:f>IFERROR(INDEX(Effort_Model!$J$6:$J$33,MATCH(K409&amp;"|"&amp;L409,Effort_Model!$B$6:$B$33,0)),"")</x:f>
        <x:v>18.4</x:v>
      </x:c>
      <x:c r="AC409" s="38">
        <x:v>535.20000000000005</x:v>
      </x:c>
      <x:c r="AD409" s="37">
        <x:f t="shared" si="6"/>
        <x:v>641.6</x:v>
      </x:c>
      <x:c r="AE409" s="37" t="n">
        <x:f>IFERROR(ROUND(IFERROR(INDEX(Scoring_Rules!$C$43:$C$44,MATCH(Q409,Scoring_Rules!$B$43:$B$44,0)),0)*Scoring_Rules!$C$6+IFERROR(INDEX(Scoring_Rules!$C$34:$C$40,MATCH(K409,Scoring_Rules!$B$34:$B$40,0)),0)*Scoring_Rules!$C$7+IFERROR(INDEX(Scoring_Rules!$C$16:$C$19,MATCH(P409,Scoring_Rules!$B$16:$B$19,0)),0)*Scoring_Rules!$C$8+IFERROR(INDEX(Scoring_Rules!$C$22:$C$25,MATCH(O409,Scoring_Rules!$B$22:$B$25,0)),0)*Scoring_Rules!$C$9+IFERROR(INDEX(Scoring_Rules!$C$47:$C$50,MATCH(X409,Scoring_Rules!$B$47:$B$50,0)),0)*Scoring_Rules!$C$10+IFERROR(INDEX(Scoring_Rules!$C$28:$C$31,MATCH(R409,Scoring_Rules!$B$28:$B$31,0)),0)*Scoring_Rules!$C$11,1),"")</x:f>
        <x:v>38.5</x:v>
      </x:c>
      <x:c r="AF409" s="35">
        <x:v>3</x:v>
      </x:c>
      <x:c r="AG409" s="33" t="s">
        <x:v>1639</x:v>
      </x:c>
      <x:c r="AH409" s="36">
        <x:v>46346</x:v>
      </x:c>
      <x:c r="AI409" s="33" t="s">
        <x:v>126</x:v>
      </x:c>
      <x:c r="AJ409" s="34" t="s">
        <x:v>312</x:v>
      </x:c>
    </x:row>
    <x:row r="410" ht="23.25" customHeight="1">
      <x:c r="A410" s="31" t="s">
        <x:v>1971</x:v>
      </x:c>
      <x:c r="B410" s="31" t="s">
        <x:v>1972</x:v>
      </x:c>
      <x:c r="C410" s="31" t="s">
        <x:v>1623</x:v>
      </x:c>
      <x:c r="D410" s="32" t="s">
        <x:v>1642</x:v>
      </x:c>
      <x:c r="E410" s="32" t="str">
        <x:v>Functional Migration Only</x:v>
      </x:c>
      <x:c r="F410" s="33" t="s">
        <x:v>118</x:v>
      </x:c>
      <x:c r="G410" s="34" t="s">
        <x:v>1655</x:v>
      </x:c>
      <x:c r="H410" s="33" t="s">
        <x:v>87</x:v>
      </x:c>
      <x:c r="I410" s="33" t="s">
        <x:v>1626</x:v>
      </x:c>
      <x:c r="J410" s="33" t="s">
        <x:v>82</x:v>
      </x:c>
      <x:c r="K410" s="33" t="s">
        <x:v>62</x:v>
      </x:c>
      <x:c r="L410" s="33" t="s">
        <x:v>77</x:v>
      </x:c>
      <x:c r="M410" s="35">
        <x:v>60</x:v>
      </x:c>
      <x:c r="N410" s="35">
        <x:v>130627020</x:v>
      </x:c>
      <x:c r="O410" s="33" t="s">
        <x:v>103</x:v>
      </x:c>
      <x:c r="P410" s="33" t="s">
        <x:v>109</x:v>
      </x:c>
      <x:c r="Q410" s="33" t="s">
        <x:v>120</x:v>
      </x:c>
      <x:c r="R410" s="33" t="s">
        <x:v>101</x:v>
      </x:c>
      <x:c r="S410" s="31" t="s">
        <x:v>1973</x:v>
      </x:c>
      <x:c r="T410" s="31" t="s">
        <x:v>1974</x:v>
      </x:c>
      <x:c r="U410" s="31" t="s">
        <x:v>276</x:v>
      </x:c>
      <x:c r="V410" s="33" t="s">
        <x:v>277</x:v>
      </x:c>
      <x:c r="W410" s="33" t="s">
        <x:v>1965</x:v>
      </x:c>
      <x:c r="X410" s="33" t="s">
        <x:v>239</x:v>
      </x:c>
      <x:c r="Y410" s="36"/>
      <x:c r="Z410" s="36"/>
      <x:c r="AA410" s="33" t="s">
        <x:v>120</x:v>
      </x:c>
      <x:c r="AB410" s="37" t="n">
        <x:f>IFERROR(INDEX(Effort_Model!$J$6:$J$33,MATCH(K410&amp;"|"&amp;L410,Effort_Model!$B$6:$B$33,0)),"")</x:f>
        <x:v>74.4</x:v>
      </x:c>
      <x:c r="AC410" s="38">
        <x:v>1362.3</x:v>
      </x:c>
      <x:c r="AD410" s="37">
        <x:f t="shared" si="6"/>
        <x:v>1635.6333</x:v>
      </x:c>
      <x:c r="AE410" s="37" t="n">
        <x:f>IFERROR(ROUND(IFERROR(INDEX(Scoring_Rules!$C$43:$C$44,MATCH(Q410,Scoring_Rules!$B$43:$B$44,0)),0)*Scoring_Rules!$C$6+IFERROR(INDEX(Scoring_Rules!$C$34:$C$40,MATCH(K410,Scoring_Rules!$B$34:$B$40,0)),0)*Scoring_Rules!$C$7+IFERROR(INDEX(Scoring_Rules!$C$16:$C$19,MATCH(P410,Scoring_Rules!$B$16:$B$19,0)),0)*Scoring_Rules!$C$8+IFERROR(INDEX(Scoring_Rules!$C$22:$C$25,MATCH(O410,Scoring_Rules!$B$22:$B$25,0)),0)*Scoring_Rules!$C$9+IFERROR(INDEX(Scoring_Rules!$C$47:$C$50,MATCH(X410,Scoring_Rules!$B$47:$B$50,0)),0)*Scoring_Rules!$C$10+IFERROR(INDEX(Scoring_Rules!$C$28:$C$31,MATCH(R410,Scoring_Rules!$B$28:$B$31,0)),0)*Scoring_Rules!$C$11,1),"")</x:f>
        <x:v>23.3</x:v>
      </x:c>
      <x:c r="AF410" s="35">
        <x:v>8</x:v>
      </x:c>
      <x:c r="AG410" s="33" t="s">
        <x:v>1645</x:v>
      </x:c>
      <x:c r="AH410" s="36">
        <x:v>46384</x:v>
      </x:c>
      <x:c r="AI410" s="33" t="s">
        <x:v>127</x:v>
      </x:c>
      <x:c r="AJ410" s="34" t="s">
        <x:v>336</x:v>
      </x:c>
    </x:row>
    <x:row r="411" ht="15" customHeight="1">
      <x:c r="A411" s="31" t="s">
        <x:v>1975</x:v>
      </x:c>
      <x:c r="B411" s="31" t="s">
        <x:v>1976</x:v>
      </x:c>
      <x:c r="C411" s="31" t="s">
        <x:v>1623</x:v>
      </x:c>
      <x:c r="D411" s="32" t="s">
        <x:v>1977</x:v>
      </x:c>
      <x:c r="E411" s="32" t="str">
        <x:v>Functional Migration Only</x:v>
      </x:c>
      <x:c r="F411" s="33" t="s">
        <x:v>118</x:v>
      </x:c>
      <x:c r="G411" s="34" t="s">
        <x:v>1638</x:v>
      </x:c>
      <x:c r="H411" s="33" t="s">
        <x:v>87</x:v>
      </x:c>
      <x:c r="I411" s="33" t="s">
        <x:v>1626</x:v>
      </x:c>
      <x:c r="J411" s="33" t="s">
        <x:v>82</x:v>
      </x:c>
      <x:c r="K411" s="33" t="s">
        <x:v>56</x:v>
      </x:c>
      <x:c r="L411" s="33" t="s">
        <x:v>73</x:v>
      </x:c>
      <x:c r="M411" s="35">
        <x:v>5</x:v>
      </x:c>
      <x:c r="N411" s="35">
        <x:v>146959</x:v>
      </x:c>
      <x:c r="O411" s="33" t="s">
        <x:v>73</x:v>
      </x:c>
      <x:c r="P411" s="33" t="s">
        <x:v>73</x:v>
      </x:c>
      <x:c r="Q411" s="33" t="s">
        <x:v>120</x:v>
      </x:c>
      <x:c r="R411" s="33" t="s">
        <x:v>73</x:v>
      </x:c>
      <x:c r="S411" s="31" t="s">
        <x:v>1978</x:v>
      </x:c>
      <x:c r="T411" s="31" t="s">
        <x:v>1979</x:v>
      </x:c>
      <x:c r="U411" s="31" t="s">
        <x:v>522</x:v>
      </x:c>
      <x:c r="V411" s="33" t="s">
        <x:v>444</x:v>
      </x:c>
      <x:c r="W411" s="33"/>
      <x:c r="X411" s="33" t="s">
        <x:v>238</x:v>
      </x:c>
      <x:c r="Y411" s="36"/>
      <x:c r="Z411" s="36"/>
      <x:c r="AA411" s="33" t="s">
        <x:v>120</x:v>
      </x:c>
      <x:c r="AB411" s="37" t="n">
        <x:f>IFERROR(INDEX(Effort_Model!$J$6:$J$33,MATCH(K411&amp;"|"&amp;L411,Effort_Model!$B$6:$B$33,0)),"")</x:f>
        <x:v>18.4</x:v>
      </x:c>
      <x:c r="AC411" s="38">
        <x:v>135.80000000000001</x:v>
      </x:c>
      <x:c r="AD411" s="37">
        <x:f t="shared" si="6"/>
        <x:v>164.8</x:v>
      </x:c>
      <x:c r="AE411" s="37" t="n">
        <x:f>IFERROR(ROUND(IFERROR(INDEX(Scoring_Rules!$C$43:$C$44,MATCH(Q411,Scoring_Rules!$B$43:$B$44,0)),0)*Scoring_Rules!$C$6+IFERROR(INDEX(Scoring_Rules!$C$34:$C$40,MATCH(K411,Scoring_Rules!$B$34:$B$40,0)),0)*Scoring_Rules!$C$7+IFERROR(INDEX(Scoring_Rules!$C$16:$C$19,MATCH(P411,Scoring_Rules!$B$16:$B$19,0)),0)*Scoring_Rules!$C$8+IFERROR(INDEX(Scoring_Rules!$C$22:$C$25,MATCH(O411,Scoring_Rules!$B$22:$B$25,0)),0)*Scoring_Rules!$C$9+IFERROR(INDEX(Scoring_Rules!$C$47:$C$50,MATCH(X411,Scoring_Rules!$B$47:$B$50,0)),0)*Scoring_Rules!$C$10+IFERROR(INDEX(Scoring_Rules!$C$28:$C$31,MATCH(R411,Scoring_Rules!$B$28:$B$31,0)),0)*Scoring_Rules!$C$11,1),"")</x:f>
        <x:v>63</x:v>
      </x:c>
      <x:c r="AF411" s="35">
        <x:v>2</x:v>
      </x:c>
      <x:c r="AG411" s="33" t="s">
        <x:v>1629</x:v>
      </x:c>
      <x:c r="AH411" s="36">
        <x:v>46349</x:v>
      </x:c>
      <x:c r="AI411" s="33" t="s">
        <x:v>127</x:v>
      </x:c>
      <x:c r="AJ411" s="34"/>
    </x:row>
    <x:row r="412" ht="15" customHeight="1">
      <x:c r="A412" s="31" t="s">
        <x:v>1980</x:v>
      </x:c>
      <x:c r="B412" s="31" t="s">
        <x:v>1981</x:v>
      </x:c>
      <x:c r="C412" s="31" t="s">
        <x:v>1623</x:v>
      </x:c>
      <x:c r="D412" s="32" t="s">
        <x:v>1910</x:v>
      </x:c>
      <x:c r="E412" s="32" t="str">
        <x:v>Data Migration Only</x:v>
      </x:c>
      <x:c r="F412" s="33" t="s">
        <x:v>118</x:v>
      </x:c>
      <x:c r="G412" s="34" t="s">
        <x:v>1625</x:v>
      </x:c>
      <x:c r="H412" s="33" t="s">
        <x:v>87</x:v>
      </x:c>
      <x:c r="I412" s="33" t="s">
        <x:v>1626</x:v>
      </x:c>
      <x:c r="J412" s="33" t="s">
        <x:v>80</x:v>
      </x:c>
      <x:c r="K412" s="33" t="s">
        <x:v>64</x:v>
      </x:c>
      <x:c r="L412" s="33" t="s">
        <x:v>77</x:v>
      </x:c>
      <x:c r="M412" s="35">
        <x:v>139</x:v>
      </x:c>
      <x:c r="N412" s="35">
        <x:v>531745747</x:v>
      </x:c>
      <x:c r="O412" s="33" t="s">
        <x:v>103</x:v>
      </x:c>
      <x:c r="P412" s="33" t="s">
        <x:v>109</x:v>
      </x:c>
      <x:c r="Q412" s="33" t="s">
        <x:v>120</x:v>
      </x:c>
      <x:c r="R412" s="33" t="s">
        <x:v>115</x:v>
      </x:c>
      <x:c r="S412" s="31" t="s">
        <x:v>899</x:v>
      </x:c>
      <x:c r="T412" s="31" t="s">
        <x:v>1982</x:v>
      </x:c>
      <x:c r="U412" s="31" t="s">
        <x:v>522</x:v>
      </x:c>
      <x:c r="V412" s="33" t="s">
        <x:v>379</x:v>
      </x:c>
      <x:c r="W412" s="33"/>
      <x:c r="X412" s="33" t="s">
        <x:v>238</x:v>
      </x:c>
      <x:c r="Y412" s="36"/>
      <x:c r="Z412" s="36"/>
      <x:c r="AA412" s="33" t="s">
        <x:v>120</x:v>
      </x:c>
      <x:c r="AB412" s="37" t="n">
        <x:f>IFERROR(INDEX(Effort_Model!$J$6:$J$33,MATCH(K412&amp;"|"&amp;L412,Effort_Model!$B$6:$B$33,0)),"")</x:f>
        <x:v>106.4</x:v>
      </x:c>
      <x:c r="AC412" s="38">
        <x:v>1208.7</x:v>
      </x:c>
      <x:c r="AD412" s="37">
        <x:f t="shared" si="6"/>
        <x:v>1610.0333000000001</x:v>
      </x:c>
      <x:c r="AE412" s="37" t="n">
        <x:f>IFERROR(ROUND(IFERROR(INDEX(Scoring_Rules!$C$43:$C$44,MATCH(Q412,Scoring_Rules!$B$43:$B$44,0)),0)*Scoring_Rules!$C$6+IFERROR(INDEX(Scoring_Rules!$C$34:$C$40,MATCH(K412,Scoring_Rules!$B$34:$B$40,0)),0)*Scoring_Rules!$C$7+IFERROR(INDEX(Scoring_Rules!$C$16:$C$19,MATCH(P412,Scoring_Rules!$B$16:$B$19,0)),0)*Scoring_Rules!$C$8+IFERROR(INDEX(Scoring_Rules!$C$22:$C$25,MATCH(O412,Scoring_Rules!$B$22:$B$25,0)),0)*Scoring_Rules!$C$9+IFERROR(INDEX(Scoring_Rules!$C$47:$C$50,MATCH(X412,Scoring_Rules!$B$47:$B$50,0)),0)*Scoring_Rules!$C$10+IFERROR(INDEX(Scoring_Rules!$C$28:$C$31,MATCH(R412,Scoring_Rules!$B$28:$B$31,0)),0)*Scoring_Rules!$C$11,1),"")</x:f>
        <x:v>22</x:v>
      </x:c>
      <x:c r="AF412" s="35">
        <x:v>8</x:v>
      </x:c>
      <x:c r="AG412" s="33" t="s">
        <x:v>1634</x:v>
      </x:c>
      <x:c r="AH412" s="36">
        <x:v>46384</x:v>
      </x:c>
      <x:c r="AI412" s="33" t="s">
        <x:v>126</x:v>
      </x:c>
      <x:c r="AJ412" s="34" t="s">
        <x:v>342</x:v>
      </x:c>
    </x:row>
    <x:row r="413" ht="15" customHeight="1">
      <x:c r="A413" s="31" t="s">
        <x:v>1983</x:v>
      </x:c>
      <x:c r="B413" s="31" t="s">
        <x:v>1984</x:v>
      </x:c>
      <x:c r="C413" s="31" t="s">
        <x:v>1623</x:v>
      </x:c>
      <x:c r="D413" s="32" t="s">
        <x:v>1686</x:v>
      </x:c>
      <x:c r="E413" s="32" t="str">
        <x:v>Functional Migration Only</x:v>
      </x:c>
      <x:c r="F413" s="33" t="s">
        <x:v>118</x:v>
      </x:c>
      <x:c r="G413" s="34" t="s">
        <x:v>1625</x:v>
      </x:c>
      <x:c r="H413" s="33" t="s">
        <x:v>87</x:v>
      </x:c>
      <x:c r="I413" s="33" t="s">
        <x:v>1626</x:v>
      </x:c>
      <x:c r="J413" s="33" t="s">
        <x:v>82</x:v>
      </x:c>
      <x:c r="K413" s="33" t="s">
        <x:v>62</x:v>
      </x:c>
      <x:c r="L413" s="33" t="s">
        <x:v>75</x:v>
      </x:c>
      <x:c r="M413" s="35">
        <x:v>55</x:v>
      </x:c>
      <x:c r="N413" s="35">
        <x:v>142900347</x:v>
      </x:c>
      <x:c r="O413" s="33" t="s">
        <x:v>101</x:v>
      </x:c>
      <x:c r="P413" s="33" t="s">
        <x:v>101</x:v>
      </x:c>
      <x:c r="Q413" s="33" t="s">
        <x:v>120</x:v>
      </x:c>
      <x:c r="R413" s="33" t="s">
        <x:v>73</x:v>
      </x:c>
      <x:c r="S413" s="31" t="s">
        <x:v>1985</x:v>
      </x:c>
      <x:c r="T413" s="31" t="s">
        <x:v>1986</x:v>
      </x:c>
      <x:c r="U413" s="31" t="s">
        <x:v>276</x:v>
      </x:c>
      <x:c r="V413" s="33" t="s">
        <x:v>365</x:v>
      </x:c>
      <x:c r="W413" s="33"/>
      <x:c r="X413" s="33" t="s">
        <x:v>238</x:v>
      </x:c>
      <x:c r="Y413" s="36"/>
      <x:c r="Z413" s="36"/>
      <x:c r="AA413" s="33" t="s">
        <x:v>120</x:v>
      </x:c>
      <x:c r="AB413" s="37" t="n">
        <x:f>IFERROR(INDEX(Effort_Model!$J$6:$J$33,MATCH(K413&amp;"|"&amp;L413,Effort_Model!$B$6:$B$33,0)),"")</x:f>
        <x:v>74.4</x:v>
      </x:c>
      <x:c r="AC413" s="38">
        <x:v>977.3</x:v>
      </x:c>
      <x:c r="AD413" s="37">
        <x:f t="shared" si="6"/>
        <x:v>1186.6333</x:v>
      </x:c>
      <x:c r="AE413" s="37" t="n">
        <x:f>IFERROR(ROUND(IFERROR(INDEX(Scoring_Rules!$C$43:$C$44,MATCH(Q413,Scoring_Rules!$B$43:$B$44,0)),0)*Scoring_Rules!$C$6+IFERROR(INDEX(Scoring_Rules!$C$34:$C$40,MATCH(K413,Scoring_Rules!$B$34:$B$40,0)),0)*Scoring_Rules!$C$7+IFERROR(INDEX(Scoring_Rules!$C$16:$C$19,MATCH(P413,Scoring_Rules!$B$16:$B$19,0)),0)*Scoring_Rules!$C$8+IFERROR(INDEX(Scoring_Rules!$C$22:$C$25,MATCH(O413,Scoring_Rules!$B$22:$B$25,0)),0)*Scoring_Rules!$C$9+IFERROR(INDEX(Scoring_Rules!$C$47:$C$50,MATCH(X413,Scoring_Rules!$B$47:$B$50,0)),0)*Scoring_Rules!$C$10+IFERROR(INDEX(Scoring_Rules!$C$28:$C$31,MATCH(R413,Scoring_Rules!$B$28:$B$31,0)),0)*Scoring_Rules!$C$11,1),"")</x:f>
        <x:v>41.8</x:v>
      </x:c>
      <x:c r="AF413" s="35">
        <x:v>7</x:v>
      </x:c>
      <x:c r="AG413" s="33" t="s">
        <x:v>1639</x:v>
      </x:c>
      <x:c r="AH413" s="36">
        <x:v>46342</x:v>
      </x:c>
      <x:c r="AI413" s="33" t="s">
        <x:v>124</x:v>
      </x:c>
      <x:c r="AJ413" s="34" t="s">
        <x:v>445</x:v>
      </x:c>
    </x:row>
    <x:row r="414" ht="15" customHeight="1">
      <x:c r="A414" s="31" t="s">
        <x:v>1987</x:v>
      </x:c>
      <x:c r="B414" s="31" t="s">
        <x:v>1988</x:v>
      </x:c>
      <x:c r="C414" s="31" t="s">
        <x:v>1623</x:v>
      </x:c>
      <x:c r="D414" s="32" t="s">
        <x:v>1718</x:v>
      </x:c>
      <x:c r="E414" s="32" t="str">
        <x:v>Functional Migration Only</x:v>
      </x:c>
      <x:c r="F414" s="33" t="s">
        <x:v>118</x:v>
      </x:c>
      <x:c r="G414" s="34" t="s">
        <x:v>1648</x:v>
      </x:c>
      <x:c r="H414" s="33" t="s">
        <x:v>87</x:v>
      </x:c>
      <x:c r="I414" s="33" t="s">
        <x:v>1626</x:v>
      </x:c>
      <x:c r="J414" s="33" t="s">
        <x:v>82</x:v>
      </x:c>
      <x:c r="K414" s="33" t="s">
        <x:v>62</x:v>
      </x:c>
      <x:c r="L414" s="33" t="s">
        <x:v>73</x:v>
      </x:c>
      <x:c r="M414" s="35">
        <x:v>72</x:v>
      </x:c>
      <x:c r="N414" s="35">
        <x:v>124296781</x:v>
      </x:c>
      <x:c r="O414" s="33" t="s">
        <x:v>73</x:v>
      </x:c>
      <x:c r="P414" s="33" t="s">
        <x:v>109</x:v>
      </x:c>
      <x:c r="Q414" s="33" t="s">
        <x:v>120</x:v>
      </x:c>
      <x:c r="R414" s="33" t="s">
        <x:v>101</x:v>
      </x:c>
      <x:c r="S414" s="31" t="s">
        <x:v>1656</x:v>
      </x:c>
      <x:c r="T414" s="31" t="s">
        <x:v>1989</x:v>
      </x:c>
      <x:c r="U414" s="31" t="s">
        <x:v>522</x:v>
      </x:c>
      <x:c r="V414" s="33" t="s">
        <x:v>303</x:v>
      </x:c>
      <x:c r="W414" s="33" t="s">
        <x:v>1693</x:v>
      </x:c>
      <x:c r="X414" s="33" t="s">
        <x:v>241</x:v>
      </x:c>
      <x:c r="Y414" s="36"/>
      <x:c r="Z414" s="36"/>
      <x:c r="AA414" s="33" t="s">
        <x:v>120</x:v>
      </x:c>
      <x:c r="AB414" s="37" t="n">
        <x:f>IFERROR(INDEX(Effort_Model!$J$6:$J$33,MATCH(K414&amp;"|"&amp;L414,Effort_Model!$B$6:$B$33,0)),"")</x:f>
        <x:v>74.4</x:v>
      </x:c>
      <x:c r="AC414" s="38">
        <x:v>666.7</x:v>
      </x:c>
      <x:c r="AD414" s="37">
        <x:f t="shared" si="6"/>
        <x:v>807.7</x:v>
      </x:c>
      <x:c r="AE414" s="37" t="n">
        <x:f>IFERROR(ROUND(IFERROR(INDEX(Scoring_Rules!$C$43:$C$44,MATCH(Q414,Scoring_Rules!$B$43:$B$44,0)),0)*Scoring_Rules!$C$6+IFERROR(INDEX(Scoring_Rules!$C$34:$C$40,MATCH(K414,Scoring_Rules!$B$34:$B$40,0)),0)*Scoring_Rules!$C$7+IFERROR(INDEX(Scoring_Rules!$C$16:$C$19,MATCH(P414,Scoring_Rules!$B$16:$B$19,0)),0)*Scoring_Rules!$C$8+IFERROR(INDEX(Scoring_Rules!$C$22:$C$25,MATCH(O414,Scoring_Rules!$B$22:$B$25,0)),0)*Scoring_Rules!$C$9+IFERROR(INDEX(Scoring_Rules!$C$47:$C$50,MATCH(X414,Scoring_Rules!$B$47:$B$50,0)),0)*Scoring_Rules!$C$10+IFERROR(INDEX(Scoring_Rules!$C$28:$C$31,MATCH(R414,Scoring_Rules!$B$28:$B$31,0)),0)*Scoring_Rules!$C$11,1),"")</x:f>
        <x:v>23.3</x:v>
      </x:c>
      <x:c r="AF414" s="35">
        <x:v>6</x:v>
      </x:c>
      <x:c r="AG414" s="33" t="s">
        <x:v>1645</x:v>
      </x:c>
      <x:c r="AH414" s="36">
        <x:v>46409</x:v>
      </x:c>
      <x:c r="AI414" s="33" t="s">
        <x:v>127</x:v>
      </x:c>
      <x:c r="AJ414" s="34"/>
    </x:row>
    <x:row r="415" ht="23.25" customHeight="1">
      <x:c r="A415" s="31" t="s">
        <x:v>1990</x:v>
      </x:c>
      <x:c r="B415" s="31" t="s">
        <x:v>1991</x:v>
      </x:c>
      <x:c r="C415" s="31" t="s">
        <x:v>1623</x:v>
      </x:c>
      <x:c r="D415" s="32" t="s">
        <x:v>1992</x:v>
      </x:c>
      <x:c r="E415" s="32" t="str">
        <x:v>Data Migration Only</x:v>
      </x:c>
      <x:c r="F415" s="33" t="s">
        <x:v>118</x:v>
      </x:c>
      <x:c r="G415" s="34" t="s">
        <x:v>1648</x:v>
      </x:c>
      <x:c r="H415" s="33" t="s">
        <x:v>87</x:v>
      </x:c>
      <x:c r="I415" s="33" t="s">
        <x:v>1626</x:v>
      </x:c>
      <x:c r="J415" s="33" t="s">
        <x:v>80</x:v>
      </x:c>
      <x:c r="K415" s="33" t="s">
        <x:v>62</x:v>
      </x:c>
      <x:c r="L415" s="33" t="s">
        <x:v>71</x:v>
      </x:c>
      <x:c r="M415" s="35">
        <x:v>51</x:v>
      </x:c>
      <x:c r="N415" s="35">
        <x:v>109005978</x:v>
      </x:c>
      <x:c r="O415" s="33" t="s">
        <x:v>101</x:v>
      </x:c>
      <x:c r="P415" s="33" t="s">
        <x:v>73</x:v>
      </x:c>
      <x:c r="Q415" s="33" t="s">
        <x:v>120</x:v>
      </x:c>
      <x:c r="R415" s="33" t="s">
        <x:v>101</x:v>
      </x:c>
      <x:c r="S415" s="31" t="s">
        <x:v>1709</x:v>
      </x:c>
      <x:c r="T415" s="31" t="s">
        <x:v>1710</x:v>
      </x:c>
      <x:c r="U415" s="31" t="s">
        <x:v>522</x:v>
      </x:c>
      <x:c r="V415" s="33" t="s">
        <x:v>365</x:v>
      </x:c>
      <x:c r="W415" s="33" t="s">
        <x:v>1993</x:v>
      </x:c>
      <x:c r="X415" s="33" t="s">
        <x:v>239</x:v>
      </x:c>
      <x:c r="Y415" s="36"/>
      <x:c r="Z415" s="36"/>
      <x:c r="AA415" s="33" t="s">
        <x:v>118</x:v>
      </x:c>
      <x:c r="AB415" s="37" t="n">
        <x:f>IFERROR(INDEX(Effort_Model!$J$6:$J$33,MATCH(K415&amp;"|"&amp;L415,Effort_Model!$B$6:$B$33,0)),"")</x:f>
        <x:v>18.4</x:v>
      </x:c>
      <x:c r="AC415" s="38">
        <x:v>365.8</x:v>
      </x:c>
      <x:c r="AD415" s="37">
        <x:f t="shared" si="6"/>
        <x:v>440.20000000000005</x:v>
      </x:c>
      <x:c r="AE415" s="37" t="n">
        <x:f>IFERROR(ROUND(IFERROR(INDEX(Scoring_Rules!$C$43:$C$44,MATCH(Q415,Scoring_Rules!$B$43:$B$44,0)),0)*Scoring_Rules!$C$6+IFERROR(INDEX(Scoring_Rules!$C$34:$C$40,MATCH(K415,Scoring_Rules!$B$34:$B$40,0)),0)*Scoring_Rules!$C$7+IFERROR(INDEX(Scoring_Rules!$C$16:$C$19,MATCH(P415,Scoring_Rules!$B$16:$B$19,0)),0)*Scoring_Rules!$C$8+IFERROR(INDEX(Scoring_Rules!$C$22:$C$25,MATCH(O415,Scoring_Rules!$B$22:$B$25,0)),0)*Scoring_Rules!$C$9+IFERROR(INDEX(Scoring_Rules!$C$47:$C$50,MATCH(X415,Scoring_Rules!$B$47:$B$50,0)),0)*Scoring_Rules!$C$10+IFERROR(INDEX(Scoring_Rules!$C$28:$C$31,MATCH(R415,Scoring_Rules!$B$28:$B$31,0)),0)*Scoring_Rules!$C$11,1),"")</x:f>
        <x:v>42.5</x:v>
      </x:c>
      <x:c r="AF415" s="35"/>
      <x:c r="AG415" s="33" t="s">
        <x:v>1629</x:v>
      </x:c>
      <x:c r="AH415" s="36">
        <x:v>46328</x:v>
      </x:c>
      <x:c r="AI415" s="33" t="s">
        <x:v>126</x:v>
      </x:c>
      <x:c r="AJ415" s="34" t="s">
        <x:v>312</x:v>
      </x:c>
    </x:row>
    <x:row r="416" ht="23.25" customHeight="1">
      <x:c r="A416" s="31" t="s">
        <x:v>1994</x:v>
      </x:c>
      <x:c r="B416" s="31" t="s">
        <x:v>1995</x:v>
      </x:c>
      <x:c r="C416" s="31" t="s">
        <x:v>1623</x:v>
      </x:c>
      <x:c r="D416" s="32" t="s">
        <x:v>1996</x:v>
      </x:c>
      <x:c r="E416" s="32" t="str">
        <x:v>Functional Migration Only</x:v>
      </x:c>
      <x:c r="F416" s="33" t="s">
        <x:v>118</x:v>
      </x:c>
      <x:c r="G416" s="34" t="s">
        <x:v>1638</x:v>
      </x:c>
      <x:c r="H416" s="33" t="s">
        <x:v>87</x:v>
      </x:c>
      <x:c r="I416" s="33" t="s">
        <x:v>1626</x:v>
      </x:c>
      <x:c r="J416" s="33" t="s">
        <x:v>82</x:v>
      </x:c>
      <x:c r="K416" s="33" t="s">
        <x:v>58</x:v>
      </x:c>
      <x:c r="L416" s="33" t="s">
        <x:v>73</x:v>
      </x:c>
      <x:c r="M416" s="35">
        <x:v>11</x:v>
      </x:c>
      <x:c r="N416" s="35">
        <x:v>1098880</x:v>
      </x:c>
      <x:c r="O416" s="33" t="s">
        <x:v>73</x:v>
      </x:c>
      <x:c r="P416" s="33" t="s">
        <x:v>109</x:v>
      </x:c>
      <x:c r="Q416" s="33" t="s">
        <x:v>120</x:v>
      </x:c>
      <x:c r="R416" s="33" t="s">
        <x:v>73</x:v>
      </x:c>
      <x:c r="S416" s="31" t="s">
        <x:v>1665</x:v>
      </x:c>
      <x:c r="T416" s="31" t="s">
        <x:v>1666</x:v>
      </x:c>
      <x:c r="U416" s="31" t="s">
        <x:v>522</x:v>
      </x:c>
      <x:c r="V416" s="33" t="s">
        <x:v>379</x:v>
      </x:c>
      <x:c r="W416" s="33"/>
      <x:c r="X416" s="33" t="s">
        <x:v>238</x:v>
      </x:c>
      <x:c r="Y416" s="36"/>
      <x:c r="Z416" s="36"/>
      <x:c r="AA416" s="33" t="s">
        <x:v>120</x:v>
      </x:c>
      <x:c r="AB416" s="37" t="n">
        <x:f>IFERROR(INDEX(Effort_Model!$J$6:$J$33,MATCH(K416&amp;"|"&amp;L416,Effort_Model!$B$6:$B$33,0)),"")</x:f>
        <x:v>26.4</x:v>
      </x:c>
      <x:c r="AC416" s="38">
        <x:v>265</x:v>
      </x:c>
      <x:c r="AD416" s="37">
        <x:f t="shared" si="6"/>
        <x:v>310</x:v>
      </x:c>
      <x:c r="AE416" s="37" t="n">
        <x:f>IFERROR(ROUND(IFERROR(INDEX(Scoring_Rules!$C$43:$C$44,MATCH(Q416,Scoring_Rules!$B$43:$B$44,0)),0)*Scoring_Rules!$C$6+IFERROR(INDEX(Scoring_Rules!$C$34:$C$40,MATCH(K416,Scoring_Rules!$B$34:$B$40,0)),0)*Scoring_Rules!$C$7+IFERROR(INDEX(Scoring_Rules!$C$16:$C$19,MATCH(P416,Scoring_Rules!$B$16:$B$19,0)),0)*Scoring_Rules!$C$8+IFERROR(INDEX(Scoring_Rules!$C$22:$C$25,MATCH(O416,Scoring_Rules!$B$22:$B$25,0)),0)*Scoring_Rules!$C$9+IFERROR(INDEX(Scoring_Rules!$C$47:$C$50,MATCH(X416,Scoring_Rules!$B$47:$B$50,0)),0)*Scoring_Rules!$C$10+IFERROR(INDEX(Scoring_Rules!$C$28:$C$31,MATCH(R416,Scoring_Rules!$B$28:$B$31,0)),0)*Scoring_Rules!$C$11,1),"")</x:f>
        <x:v>47</x:v>
      </x:c>
      <x:c r="AF416" s="35">
        <x:v>4</x:v>
      </x:c>
      <x:c r="AG416" s="33" t="s">
        <x:v>1634</x:v>
      </x:c>
      <x:c r="AH416" s="36">
        <x:v>46405</x:v>
      </x:c>
      <x:c r="AI416" s="33" t="s">
        <x:v>125</x:v>
      </x:c>
      <x:c r="AJ416" s="34" t="s">
        <x:v>336</x:v>
      </x:c>
    </x:row>
    <x:row r="417" ht="23.25" customHeight="1">
      <x:c r="A417" s="31" t="s">
        <x:v>1997</x:v>
      </x:c>
      <x:c r="B417" s="31" t="s">
        <x:v>1998</x:v>
      </x:c>
      <x:c r="C417" s="31" t="s">
        <x:v>1623</x:v>
      </x:c>
      <x:c r="D417" s="32" t="s">
        <x:v>1642</x:v>
      </x:c>
      <x:c r="E417" s="32" t="str">
        <x:v>Data Migration Only</x:v>
      </x:c>
      <x:c r="F417" s="33" t="s">
        <x:v>118</x:v>
      </x:c>
      <x:c r="G417" s="34" t="s">
        <x:v>1638</x:v>
      </x:c>
      <x:c r="H417" s="33" t="s">
        <x:v>87</x:v>
      </x:c>
      <x:c r="I417" s="33" t="s">
        <x:v>1626</x:v>
      </x:c>
      <x:c r="J417" s="33" t="s">
        <x:v>80</x:v>
      </x:c>
      <x:c r="K417" s="33" t="s">
        <x:v>64</x:v>
      </x:c>
      <x:c r="L417" s="33" t="s">
        <x:v>71</x:v>
      </x:c>
      <x:c r="M417" s="35">
        <x:v>97</x:v>
      </x:c>
      <x:c r="N417" s="35">
        <x:v>1356778796</x:v>
      </x:c>
      <x:c r="O417" s="33" t="s">
        <x:v>73</x:v>
      </x:c>
      <x:c r="P417" s="33" t="s">
        <x:v>109</x:v>
      </x:c>
      <x:c r="Q417" s="33" t="s">
        <x:v>120</x:v>
      </x:c>
      <x:c r="R417" s="33" t="s">
        <x:v>115</x:v>
      </x:c>
      <x:c r="S417" s="31" t="s">
        <x:v>1999</x:v>
      </x:c>
      <x:c r="T417" s="31" t="s">
        <x:v>2000</x:v>
      </x:c>
      <x:c r="U417" s="31" t="s">
        <x:v>276</x:v>
      </x:c>
      <x:c r="V417" s="33" t="s">
        <x:v>277</x:v>
      </x:c>
      <x:c r="W417" s="33"/>
      <x:c r="X417" s="33" t="s">
        <x:v>238</x:v>
      </x:c>
      <x:c r="Y417" s="36"/>
      <x:c r="Z417" s="36"/>
      <x:c r="AA417" s="33" t="s">
        <x:v>120</x:v>
      </x:c>
      <x:c r="AB417" s="37" t="n">
        <x:f>IFERROR(INDEX(Effort_Model!$J$6:$J$33,MATCH(K417&amp;"|"&amp;L417,Effort_Model!$B$6:$B$33,0)),"")</x:f>
        <x:v>18.4</x:v>
      </x:c>
      <x:c r="AC417" s="38">
        <x:v>545.4</x:v>
      </x:c>
      <x:c r="AD417" s="37">
        <x:f t="shared" si="6"/>
        <x:v>651.79999999999995</x:v>
      </x:c>
      <x:c r="AE417" s="37" t="n">
        <x:f>IFERROR(ROUND(IFERROR(INDEX(Scoring_Rules!$C$43:$C$44,MATCH(Q417,Scoring_Rules!$B$43:$B$44,0)),0)*Scoring_Rules!$C$6+IFERROR(INDEX(Scoring_Rules!$C$34:$C$40,MATCH(K417,Scoring_Rules!$B$34:$B$40,0)),0)*Scoring_Rules!$C$7+IFERROR(INDEX(Scoring_Rules!$C$16:$C$19,MATCH(P417,Scoring_Rules!$B$16:$B$19,0)),0)*Scoring_Rules!$C$8+IFERROR(INDEX(Scoring_Rules!$C$22:$C$25,MATCH(O417,Scoring_Rules!$B$22:$B$25,0)),0)*Scoring_Rules!$C$9+IFERROR(INDEX(Scoring_Rules!$C$47:$C$50,MATCH(X417,Scoring_Rules!$B$47:$B$50,0)),0)*Scoring_Rules!$C$10+IFERROR(INDEX(Scoring_Rules!$C$28:$C$31,MATCH(R417,Scoring_Rules!$B$28:$B$31,0)),0)*Scoring_Rules!$C$11,1),"")</x:f>
        <x:v>32.5</x:v>
      </x:c>
      <x:c r="AF417" s="35">
        <x:v>5</x:v>
      </x:c>
      <x:c r="AG417" s="33" t="s">
        <x:v>1639</x:v>
      </x:c>
      <x:c r="AH417" s="36">
        <x:v>46393</x:v>
      </x:c>
      <x:c r="AI417" s="33" t="s">
        <x:v>127</x:v>
      </x:c>
      <x:c r="AJ417" s="34" t="s">
        <x:v>312</x:v>
      </x:c>
    </x:row>
    <x:row r="418" ht="23.25" customHeight="1">
      <x:c r="A418" s="31" t="s">
        <x:v>2001</x:v>
      </x:c>
      <x:c r="B418" s="31" t="s">
        <x:v>2002</x:v>
      </x:c>
      <x:c r="C418" s="31" t="s">
        <x:v>1623</x:v>
      </x:c>
      <x:c r="D418" s="32" t="s">
        <x:v>1642</x:v>
      </x:c>
      <x:c r="E418" s="32" t="str">
        <x:v>Functional Migration Only</x:v>
      </x:c>
      <x:c r="F418" s="33" t="s">
        <x:v>118</x:v>
      </x:c>
      <x:c r="G418" s="34" t="s">
        <x:v>1625</x:v>
      </x:c>
      <x:c r="H418" s="33" t="s">
        <x:v>87</x:v>
      </x:c>
      <x:c r="I418" s="33" t="s">
        <x:v>1626</x:v>
      </x:c>
      <x:c r="J418" s="33" t="s">
        <x:v>82</x:v>
      </x:c>
      <x:c r="K418" s="33" t="s">
        <x:v>64</x:v>
      </x:c>
      <x:c r="L418" s="33" t="s">
        <x:v>75</x:v>
      </x:c>
      <x:c r="M418" s="35">
        <x:v>87</x:v>
      </x:c>
      <x:c r="N418" s="35">
        <x:v>630900683</x:v>
      </x:c>
      <x:c r="O418" s="33" t="s">
        <x:v>101</x:v>
      </x:c>
      <x:c r="P418" s="33" t="s">
        <x:v>109</x:v>
      </x:c>
      <x:c r="Q418" s="33" t="s">
        <x:v>120</x:v>
      </x:c>
      <x:c r="R418" s="33" t="s">
        <x:v>115</x:v>
      </x:c>
      <x:c r="S418" s="31" t="s">
        <x:v>2003</x:v>
      </x:c>
      <x:c r="T418" s="31" t="s">
        <x:v>2004</x:v>
      </x:c>
      <x:c r="U418" s="31" t="s">
        <x:v>276</x:v>
      </x:c>
      <x:c r="V418" s="33" t="s">
        <x:v>379</x:v>
      </x:c>
      <x:c r="W418" s="33" t="s">
        <x:v>1965</x:v>
      </x:c>
      <x:c r="X418" s="33" t="s">
        <x:v>239</x:v>
      </x:c>
      <x:c r="Y418" s="36"/>
      <x:c r="Z418" s="36"/>
      <x:c r="AA418" s="33" t="s">
        <x:v>120</x:v>
      </x:c>
      <x:c r="AB418" s="37" t="n">
        <x:f>IFERROR(INDEX(Effort_Model!$J$6:$J$33,MATCH(K418&amp;"|"&amp;L418,Effort_Model!$B$6:$B$33,0)),"")</x:f>
        <x:v>106.4</x:v>
      </x:c>
      <x:c r="AC418" s="38">
        <x:v>1495</x:v>
      </x:c>
      <x:c r="AD418" s="37">
        <x:f t="shared" si="6"/>
        <x:v>1800.3333</x:v>
      </x:c>
      <x:c r="AE418" s="37" t="n">
        <x:f>IFERROR(ROUND(IFERROR(INDEX(Scoring_Rules!$C$43:$C$44,MATCH(Q418,Scoring_Rules!$B$43:$B$44,0)),0)*Scoring_Rules!$C$6+IFERROR(INDEX(Scoring_Rules!$C$34:$C$40,MATCH(K418,Scoring_Rules!$B$34:$B$40,0)),0)*Scoring_Rules!$C$7+IFERROR(INDEX(Scoring_Rules!$C$16:$C$19,MATCH(P418,Scoring_Rules!$B$16:$B$19,0)),0)*Scoring_Rules!$C$8+IFERROR(INDEX(Scoring_Rules!$C$22:$C$25,MATCH(O418,Scoring_Rules!$B$22:$B$25,0)),0)*Scoring_Rules!$C$9+IFERROR(INDEX(Scoring_Rules!$C$47:$C$50,MATCH(X418,Scoring_Rules!$B$47:$B$50,0)),0)*Scoring_Rules!$C$10+IFERROR(INDEX(Scoring_Rules!$C$28:$C$31,MATCH(R418,Scoring_Rules!$B$28:$B$31,0)),0)*Scoring_Rules!$C$11,1),"")</x:f>
        <x:v>22.8</x:v>
      </x:c>
      <x:c r="AF418" s="35">
        <x:v>8</x:v>
      </x:c>
      <x:c r="AG418" s="33" t="s">
        <x:v>1645</x:v>
      </x:c>
      <x:c r="AH418" s="36">
        <x:v>46346</x:v>
      </x:c>
      <x:c r="AI418" s="33" t="s">
        <x:v>125</x:v>
      </x:c>
      <x:c r="AJ418" s="34" t="s">
        <x:v>395</x:v>
      </x:c>
    </x:row>
    <x:row r="419" ht="15" customHeight="1">
      <x:c r="A419" s="31" t="s">
        <x:v>2005</x:v>
      </x:c>
      <x:c r="B419" s="31" t="s">
        <x:v>2006</x:v>
      </x:c>
      <x:c r="C419" s="31" t="s">
        <x:v>1623</x:v>
      </x:c>
      <x:c r="D419" s="32" t="s">
        <x:v>1624</x:v>
      </x:c>
      <x:c r="E419" s="32" t="str">
        <x:v>Data Migration Only</x:v>
      </x:c>
      <x:c r="F419" s="33" t="s">
        <x:v>120</x:v>
      </x:c>
      <x:c r="G419" s="34" t="s">
        <x:v>629</x:v>
      </x:c>
      <x:c r="H419" s="33" t="s">
        <x:v>89</x:v>
      </x:c>
      <x:c r="I419" s="33" t="s">
        <x:v>1626</x:v>
      </x:c>
      <x:c r="J419" s="33" t="s">
        <x:v>80</x:v>
      </x:c>
      <x:c r="K419" s="33" t="s">
        <x:v>62</x:v>
      </x:c>
      <x:c r="L419" s="33" t="s">
        <x:v>77</x:v>
      </x:c>
      <x:c r="M419" s="35">
        <x:v>54</x:v>
      </x:c>
      <x:c r="N419" s="35">
        <x:v>87655579</x:v>
      </x:c>
      <x:c r="O419" s="33" t="s">
        <x:v>98</x:v>
      </x:c>
      <x:c r="P419" s="33" t="s">
        <x:v>73</x:v>
      </x:c>
      <x:c r="Q419" s="33" t="s">
        <x:v>120</x:v>
      </x:c>
      <x:c r="R419" s="33" t="s">
        <x:v>101</x:v>
      </x:c>
      <x:c r="S419" s="31" t="s">
        <x:v>2007</x:v>
      </x:c>
      <x:c r="T419" s="31" t="s">
        <x:v>2008</x:v>
      </x:c>
      <x:c r="U419" s="31" t="s">
        <x:v>276</x:v>
      </x:c>
      <x:c r="V419" s="33" t="s">
        <x:v>444</x:v>
      </x:c>
      <x:c r="W419" s="33"/>
      <x:c r="X419" s="33" t="s">
        <x:v>238</x:v>
      </x:c>
      <x:c r="Y419" s="36">
        <x:v>46559</x:v>
      </x:c>
      <x:c r="Z419" s="36"/>
      <x:c r="AA419" s="33" t="s">
        <x:v>120</x:v>
      </x:c>
      <x:c r="AB419" s="37" t="n">
        <x:f>IFERROR(INDEX(Effort_Model!$J$6:$J$33,MATCH(K419&amp;"|"&amp;L419,Effort_Model!$B$6:$B$33,0)),"")</x:f>
        <x:v>74.4</x:v>
      </x:c>
      <x:c r="AC419" s="38">
        <x:v>799.5</x:v>
      </x:c>
      <x:c r="AD419" s="37">
        <x:f t="shared" si="6"/>
        <x:v>1072.8333</x:v>
      </x:c>
      <x:c r="AE419" s="37" t="n">
        <x:f>IFERROR(ROUND(IFERROR(INDEX(Scoring_Rules!$C$43:$C$44,MATCH(Q419,Scoring_Rules!$B$43:$B$44,0)),0)*Scoring_Rules!$C$6+IFERROR(INDEX(Scoring_Rules!$C$34:$C$40,MATCH(K419,Scoring_Rules!$B$34:$B$40,0)),0)*Scoring_Rules!$C$7+IFERROR(INDEX(Scoring_Rules!$C$16:$C$19,MATCH(P419,Scoring_Rules!$B$16:$B$19,0)),0)*Scoring_Rules!$C$8+IFERROR(INDEX(Scoring_Rules!$C$22:$C$25,MATCH(O419,Scoring_Rules!$B$22:$B$25,0)),0)*Scoring_Rules!$C$9+IFERROR(INDEX(Scoring_Rules!$C$47:$C$50,MATCH(X419,Scoring_Rules!$B$47:$B$50,0)),0)*Scoring_Rules!$C$10+IFERROR(INDEX(Scoring_Rules!$C$28:$C$31,MATCH(R419,Scoring_Rules!$B$28:$B$31,0)),0)*Scoring_Rules!$C$11,1),"")</x:f>
        <x:v>56.8</x:v>
      </x:c>
      <x:c r="AF419" s="35"/>
      <x:c r="AG419" s="33" t="s">
        <x:v>1629</x:v>
      </x:c>
      <x:c r="AH419" s="36">
        <x:v>46380</x:v>
      </x:c>
      <x:c r="AI419" s="33" t="s">
        <x:v>125</x:v>
      </x:c>
      <x:c r="AJ419" s="34"/>
    </x:row>
    <x:row r="420" ht="15" customHeight="1">
      <x:c r="A420" s="31" t="s">
        <x:v>2009</x:v>
      </x:c>
      <x:c r="B420" s="31" t="s">
        <x:v>2010</x:v>
      </x:c>
      <x:c r="C420" s="31" t="s">
        <x:v>1623</x:v>
      </x:c>
      <x:c r="D420" s="32" t="s">
        <x:v>1686</x:v>
      </x:c>
      <x:c r="E420" s="32" t="str">
        <x:v>Data Migration Only</x:v>
      </x:c>
      <x:c r="F420" s="33" t="s">
        <x:v>118</x:v>
      </x:c>
      <x:c r="G420" s="34" t="s">
        <x:v>1638</x:v>
      </x:c>
      <x:c r="H420" s="33" t="s">
        <x:v>87</x:v>
      </x:c>
      <x:c r="I420" s="33" t="s">
        <x:v>1626</x:v>
      </x:c>
      <x:c r="J420" s="33" t="s">
        <x:v>80</x:v>
      </x:c>
      <x:c r="K420" s="33" t="s">
        <x:v>56</x:v>
      </x:c>
      <x:c r="L420" s="33" t="s">
        <x:v>73</x:v>
      </x:c>
      <x:c r="M420" s="35">
        <x:v>8</x:v>
      </x:c>
      <x:c r="N420" s="35">
        <x:v>80268</x:v>
      </x:c>
      <x:c r="O420" s="33" t="s">
        <x:v>103</x:v>
      </x:c>
      <x:c r="P420" s="33" t="s">
        <x:v>101</x:v>
      </x:c>
      <x:c r="Q420" s="33" t="s">
        <x:v>120</x:v>
      </x:c>
      <x:c r="R420" s="33" t="s">
        <x:v>101</x:v>
      </x:c>
      <x:c r="S420" s="31" t="s">
        <x:v>1796</x:v>
      </x:c>
      <x:c r="T420" s="31" t="s">
        <x:v>1797</x:v>
      </x:c>
      <x:c r="U420" s="31" t="s">
        <x:v>276</x:v>
      </x:c>
      <x:c r="V420" s="33" t="s">
        <x:v>323</x:v>
      </x:c>
      <x:c r="W420" s="33" t="s">
        <x:v>1942</x:v>
      </x:c>
      <x:c r="X420" s="33" t="s">
        <x:v>240</x:v>
      </x:c>
      <x:c r="Y420" s="36"/>
      <x:c r="Z420" s="36">
        <x:v>46687</x:v>
      </x:c>
      <x:c r="AA420" s="33" t="s">
        <x:v>120</x:v>
      </x:c>
      <x:c r="AB420" s="37" t="n">
        <x:f>IFERROR(INDEX(Effort_Model!$J$6:$J$33,MATCH(K420&amp;"|"&amp;L420,Effort_Model!$B$6:$B$33,0)),"")</x:f>
        <x:v>18.4</x:v>
      </x:c>
      <x:c r="AC420" s="38">
        <x:v>72.900000000000006</x:v>
      </x:c>
      <x:c r="AD420" s="37">
        <x:f t="shared" si="6"/>
        <x:v>101.9</x:v>
      </x:c>
      <x:c r="AE420" s="37" t="n">
        <x:f>IFERROR(ROUND(IFERROR(INDEX(Scoring_Rules!$C$43:$C$44,MATCH(Q420,Scoring_Rules!$B$43:$B$44,0)),0)*Scoring_Rules!$C$6+IFERROR(INDEX(Scoring_Rules!$C$34:$C$40,MATCH(K420,Scoring_Rules!$B$34:$B$40,0)),0)*Scoring_Rules!$C$7+IFERROR(INDEX(Scoring_Rules!$C$16:$C$19,MATCH(P420,Scoring_Rules!$B$16:$B$19,0)),0)*Scoring_Rules!$C$8+IFERROR(INDEX(Scoring_Rules!$C$22:$C$25,MATCH(O420,Scoring_Rules!$B$22:$B$25,0)),0)*Scoring_Rules!$C$9+IFERROR(INDEX(Scoring_Rules!$C$47:$C$50,MATCH(X420,Scoring_Rules!$B$47:$B$50,0)),0)*Scoring_Rules!$C$10+IFERROR(INDEX(Scoring_Rules!$C$28:$C$31,MATCH(R420,Scoring_Rules!$B$28:$B$31,0)),0)*Scoring_Rules!$C$11,1),"")</x:f>
        <x:v>33.3</x:v>
      </x:c>
      <x:c r="AF420" s="35">
        <x:v>5</x:v>
      </x:c>
      <x:c r="AG420" s="33" t="s">
        <x:v>1634</x:v>
      </x:c>
      <x:c r="AH420" s="36">
        <x:v>46385</x:v>
      </x:c>
      <x:c r="AI420" s="33" t="s">
        <x:v>124</x:v>
      </x:c>
      <x:c r="AJ420" s="34" t="s">
        <x:v>342</x:v>
      </x:c>
    </x:row>
    <x:row r="421" ht="34.5" customHeight="1">
      <x:c r="A421" s="31" t="s">
        <x:v>2011</x:v>
      </x:c>
      <x:c r="B421" s="31" t="s">
        <x:v>2012</x:v>
      </x:c>
      <x:c r="C421" s="31" t="s">
        <x:v>1623</x:v>
      </x:c>
      <x:c r="D421" s="32" t="s">
        <x:v>2013</x:v>
      </x:c>
      <x:c r="E421" s="32" t="str">
        <x:v>Data Migration Only</x:v>
      </x:c>
      <x:c r="F421" s="33" t="s">
        <x:v>118</x:v>
      </x:c>
      <x:c r="G421" s="34" t="s">
        <x:v>1648</x:v>
      </x:c>
      <x:c r="H421" s="33" t="s">
        <x:v>87</x:v>
      </x:c>
      <x:c r="I421" s="33" t="s">
        <x:v>1626</x:v>
      </x:c>
      <x:c r="J421" s="33" t="s">
        <x:v>80</x:v>
      </x:c>
      <x:c r="K421" s="33" t="s">
        <x:v>56</x:v>
      </x:c>
      <x:c r="L421" s="33" t="s">
        <x:v>75</x:v>
      </x:c>
      <x:c r="M421" s="35">
        <x:v>9</x:v>
      </x:c>
      <x:c r="N421" s="35">
        <x:v>97949</x:v>
      </x:c>
      <x:c r="O421" s="33" t="s">
        <x:v>103</x:v>
      </x:c>
      <x:c r="P421" s="33" t="s">
        <x:v>73</x:v>
      </x:c>
      <x:c r="Q421" s="33" t="s">
        <x:v>120</x:v>
      </x:c>
      <x:c r="R421" s="33" t="s">
        <x:v>101</x:v>
      </x:c>
      <x:c r="S421" s="31" t="s">
        <x:v>1796</x:v>
      </x:c>
      <x:c r="T421" s="31" t="s">
        <x:v>1797</x:v>
      </x:c>
      <x:c r="U421" s="31" t="s">
        <x:v>276</x:v>
      </x:c>
      <x:c r="V421" s="33" t="s">
        <x:v>323</x:v>
      </x:c>
      <x:c r="W421" s="33" t="s">
        <x:v>1786</x:v>
      </x:c>
      <x:c r="X421" s="33" t="s">
        <x:v>240</x:v>
      </x:c>
      <x:c r="Y421" s="36"/>
      <x:c r="Z421" s="36"/>
      <x:c r="AA421" s="33" t="s">
        <x:v>120</x:v>
      </x:c>
      <x:c r="AB421" s="37" t="n">
        <x:f>IFERROR(INDEX(Effort_Model!$J$6:$J$33,MATCH(K421&amp;"|"&amp;L421,Effort_Model!$B$6:$B$33,0)),"")</x:f>
        <x:v>18.4</x:v>
      </x:c>
      <x:c r="AC421" s="38">
        <x:v>116.1</x:v>
      </x:c>
      <x:c r="AD421" s="37">
        <x:f t="shared" si="6"/>
        <x:v>157.4333</x:v>
      </x:c>
      <x:c r="AE421" s="37" t="n">
        <x:f>IFERROR(ROUND(IFERROR(INDEX(Scoring_Rules!$C$43:$C$44,MATCH(Q421,Scoring_Rules!$B$43:$B$44,0)),0)*Scoring_Rules!$C$6+IFERROR(INDEX(Scoring_Rules!$C$34:$C$40,MATCH(K421,Scoring_Rules!$B$34:$B$40,0)),0)*Scoring_Rules!$C$7+IFERROR(INDEX(Scoring_Rules!$C$16:$C$19,MATCH(P421,Scoring_Rules!$B$16:$B$19,0)),0)*Scoring_Rules!$C$8+IFERROR(INDEX(Scoring_Rules!$C$22:$C$25,MATCH(O421,Scoring_Rules!$B$22:$B$25,0)),0)*Scoring_Rules!$C$9+IFERROR(INDEX(Scoring_Rules!$C$47:$C$50,MATCH(X421,Scoring_Rules!$B$47:$B$50,0)),0)*Scoring_Rules!$C$10+IFERROR(INDEX(Scoring_Rules!$C$28:$C$31,MATCH(R421,Scoring_Rules!$B$28:$B$31,0)),0)*Scoring_Rules!$C$11,1),"")</x:f>
        <x:v>40.3</x:v>
      </x:c>
      <x:c r="AF421" s="35">
        <x:v>6</x:v>
      </x:c>
      <x:c r="AG421" s="33" t="s">
        <x:v>1639</x:v>
      </x:c>
      <x:c r="AH421" s="36">
        <x:v>46371</x:v>
      </x:c>
      <x:c r="AI421" s="33" t="s">
        <x:v>125</x:v>
      </x:c>
      <x:c r="AJ421" s="34" t="s">
        <x:v>336</x:v>
      </x:c>
    </x:row>
    <x:row r="422" ht="34.5" customHeight="1">
      <x:c r="A422" s="31" t="s">
        <x:v>2014</x:v>
      </x:c>
      <x:c r="B422" s="31" t="s">
        <x:v>2015</x:v>
      </x:c>
      <x:c r="C422" s="31" t="s">
        <x:v>1623</x:v>
      </x:c>
      <x:c r="D422" s="32" t="s">
        <x:v>2016</x:v>
      </x:c>
      <x:c r="E422" s="32" t="str">
        <x:v>Functional Migration Only</x:v>
      </x:c>
      <x:c r="F422" s="33" t="s">
        <x:v>118</x:v>
      </x:c>
      <x:c r="G422" s="34" t="s">
        <x:v>1625</x:v>
      </x:c>
      <x:c r="H422" s="33" t="s">
        <x:v>87</x:v>
      </x:c>
      <x:c r="I422" s="33" t="s">
        <x:v>1626</x:v>
      </x:c>
      <x:c r="J422" s="33" t="s">
        <x:v>82</x:v>
      </x:c>
      <x:c r="K422" s="33" t="s">
        <x:v>58</x:v>
      </x:c>
      <x:c r="L422" s="33" t="s">
        <x:v>77</x:v>
      </x:c>
      <x:c r="M422" s="35">
        <x:v>30</x:v>
      </x:c>
      <x:c r="N422" s="35">
        <x:v>624089</x:v>
      </x:c>
      <x:c r="O422" s="33" t="s">
        <x:v>73</x:v>
      </x:c>
      <x:c r="P422" s="33" t="s">
        <x:v>73</x:v>
      </x:c>
      <x:c r="Q422" s="33" t="s">
        <x:v>120</x:v>
      </x:c>
      <x:c r="R422" s="33" t="s">
        <x:v>115</x:v>
      </x:c>
      <x:c r="S422" s="31" t="s">
        <x:v>2017</x:v>
      </x:c>
      <x:c r="T422" s="31" t="s">
        <x:v>2018</x:v>
      </x:c>
      <x:c r="U422" s="31" t="s">
        <x:v>522</x:v>
      </x:c>
      <x:c r="V422" s="33" t="s">
        <x:v>277</x:v>
      </x:c>
      <x:c r="W422" s="33"/>
      <x:c r="X422" s="33" t="s">
        <x:v>238</x:v>
      </x:c>
      <x:c r="Y422" s="36">
        <x:v>46361</x:v>
      </x:c>
      <x:c r="Z422" s="36"/>
      <x:c r="AA422" s="33" t="s">
        <x:v>120</x:v>
      </x:c>
      <x:c r="AB422" s="37" t="n">
        <x:f>IFERROR(INDEX(Effort_Model!$J$6:$J$33,MATCH(K422&amp;"|"&amp;L422,Effort_Model!$B$6:$B$33,0)),"")</x:f>
        <x:v>26.4</x:v>
      </x:c>
      <x:c r="AC422" s="38">
        <x:v>419.6</x:v>
      </x:c>
      <x:c r="AD422" s="37">
        <x:f t="shared" si="6"/>
        <x:v>500.93330000000003</x:v>
      </x:c>
      <x:c r="AE422" s="37" t="n">
        <x:f>IFERROR(ROUND(IFERROR(INDEX(Scoring_Rules!$C$43:$C$44,MATCH(Q422,Scoring_Rules!$B$43:$B$44,0)),0)*Scoring_Rules!$C$6+IFERROR(INDEX(Scoring_Rules!$C$34:$C$40,MATCH(K422,Scoring_Rules!$B$34:$B$40,0)),0)*Scoring_Rules!$C$7+IFERROR(INDEX(Scoring_Rules!$C$16:$C$19,MATCH(P422,Scoring_Rules!$B$16:$B$19,0)),0)*Scoring_Rules!$C$8+IFERROR(INDEX(Scoring_Rules!$C$22:$C$25,MATCH(O422,Scoring_Rules!$B$22:$B$25,0)),0)*Scoring_Rules!$C$9+IFERROR(INDEX(Scoring_Rules!$C$47:$C$50,MATCH(X422,Scoring_Rules!$B$47:$B$50,0)),0)*Scoring_Rules!$C$10+IFERROR(INDEX(Scoring_Rules!$C$28:$C$31,MATCH(R422,Scoring_Rules!$B$28:$B$31,0)),0)*Scoring_Rules!$C$11,1),"")</x:f>
        <x:v>57.5</x:v>
      </x:c>
      <x:c r="AF422" s="35">
        <x:v>6</x:v>
      </x:c>
      <x:c r="AG422" s="33" t="s">
        <x:v>1645</x:v>
      </x:c>
      <x:c r="AH422" s="36">
        <x:v>46332</x:v>
      </x:c>
      <x:c r="AI422" s="33" t="s">
        <x:v>125</x:v>
      </x:c>
      <x:c r="AJ422" s="34" t="s">
        <x:v>383</x:v>
      </x:c>
    </x:row>
    <x:row r="423" ht="15" customHeight="1">
      <x:c r="A423" s="31" t="s">
        <x:v>2019</x:v>
      </x:c>
      <x:c r="B423" s="31" t="s">
        <x:v>2020</x:v>
      </x:c>
      <x:c r="C423" s="31" t="s">
        <x:v>1623</x:v>
      </x:c>
      <x:c r="D423" s="32" t="s">
        <x:v>1024</x:v>
      </x:c>
      <x:c r="E423" s="32" t="str">
        <x:v>Data Migration Only</x:v>
      </x:c>
      <x:c r="F423" s="33" t="s">
        <x:v>118</x:v>
      </x:c>
      <x:c r="G423" s="34" t="s">
        <x:v>1638</x:v>
      </x:c>
      <x:c r="H423" s="33" t="s">
        <x:v>87</x:v>
      </x:c>
      <x:c r="I423" s="33" t="s">
        <x:v>1626</x:v>
      </x:c>
      <x:c r="J423" s="33" t="s">
        <x:v>80</x:v>
      </x:c>
      <x:c r="K423" s="33" t="s">
        <x:v>58</x:v>
      </x:c>
      <x:c r="L423" s="33" t="s">
        <x:v>73</x:v>
      </x:c>
      <x:c r="M423" s="35">
        <x:v>19</x:v>
      </x:c>
      <x:c r="N423" s="35">
        <x:v>863559</x:v>
      </x:c>
      <x:c r="O423" s="33" t="s">
        <x:v>73</x:v>
      </x:c>
      <x:c r="P423" s="33" t="s">
        <x:v>98</x:v>
      </x:c>
      <x:c r="Q423" s="33" t="s">
        <x:v>120</x:v>
      </x:c>
      <x:c r="R423" s="33" t="s">
        <x:v>115</x:v>
      </x:c>
      <x:c r="S423" s="31" t="s">
        <x:v>1709</x:v>
      </x:c>
      <x:c r="T423" s="31" t="s">
        <x:v>1710</x:v>
      </x:c>
      <x:c r="U423" s="31" t="s">
        <x:v>522</x:v>
      </x:c>
      <x:c r="V423" s="33" t="s">
        <x:v>379</x:v>
      </x:c>
      <x:c r="W423" s="33"/>
      <x:c r="X423" s="33" t="s">
        <x:v>238</x:v>
      </x:c>
      <x:c r="Y423" s="36"/>
      <x:c r="Z423" s="36"/>
      <x:c r="AA423" s="33" t="s">
        <x:v>120</x:v>
      </x:c>
      <x:c r="AB423" s="37" t="n">
        <x:f>IFERROR(INDEX(Effort_Model!$J$6:$J$33,MATCH(K423&amp;"|"&amp;L423,Effort_Model!$B$6:$B$33,0)),"")</x:f>
        <x:v>26.4</x:v>
      </x:c>
      <x:c r="AC423" s="38">
        <x:v>155.5</x:v>
      </x:c>
      <x:c r="AD423" s="37">
        <x:f t="shared" si="6"/>
        <x:v>200.5</x:v>
      </x:c>
      <x:c r="AE423" s="37" t="n">
        <x:f>IFERROR(ROUND(IFERROR(INDEX(Scoring_Rules!$C$43:$C$44,MATCH(Q423,Scoring_Rules!$B$43:$B$44,0)),0)*Scoring_Rules!$C$6+IFERROR(INDEX(Scoring_Rules!$C$34:$C$40,MATCH(K423,Scoring_Rules!$B$34:$B$40,0)),0)*Scoring_Rules!$C$7+IFERROR(INDEX(Scoring_Rules!$C$16:$C$19,MATCH(P423,Scoring_Rules!$B$16:$B$19,0)),0)*Scoring_Rules!$C$8+IFERROR(INDEX(Scoring_Rules!$C$22:$C$25,MATCH(O423,Scoring_Rules!$B$22:$B$25,0)),0)*Scoring_Rules!$C$9+IFERROR(INDEX(Scoring_Rules!$C$47:$C$50,MATCH(X423,Scoring_Rules!$B$47:$B$50,0)),0)*Scoring_Rules!$C$10+IFERROR(INDEX(Scoring_Rules!$C$28:$C$31,MATCH(R423,Scoring_Rules!$B$28:$B$31,0)),0)*Scoring_Rules!$C$11,1),"")</x:f>
        <x:v>63.5</x:v>
      </x:c>
      <x:c r="AF423" s="35">
        <x:v>2</x:v>
      </x:c>
      <x:c r="AG423" s="33" t="s">
        <x:v>1629</x:v>
      </x:c>
      <x:c r="AH423" s="36">
        <x:v>46345</x:v>
      </x:c>
      <x:c r="AI423" s="33" t="s">
        <x:v>126</x:v>
      </x:c>
      <x:c r="AJ423" s="34"/>
    </x:row>
    <x:row r="424" ht="15" customHeight="1">
      <x:c r="A424" s="31" t="s">
        <x:v>2021</x:v>
      </x:c>
      <x:c r="B424" s="31" t="s">
        <x:v>2022</x:v>
      </x:c>
      <x:c r="C424" s="31" t="s">
        <x:v>1623</x:v>
      </x:c>
      <x:c r="D424" s="32" t="s">
        <x:v>1024</x:v>
      </x:c>
      <x:c r="E424" s="32" t="str">
        <x:v>Data Migration Only</x:v>
      </x:c>
      <x:c r="F424" s="33" t="s">
        <x:v>118</x:v>
      </x:c>
      <x:c r="G424" s="34" t="s">
        <x:v>1625</x:v>
      </x:c>
      <x:c r="H424" s="33" t="s">
        <x:v>87</x:v>
      </x:c>
      <x:c r="I424" s="33" t="s">
        <x:v>1626</x:v>
      </x:c>
      <x:c r="J424" s="33" t="s">
        <x:v>80</x:v>
      </x:c>
      <x:c r="K424" s="33" t="s">
        <x:v>62</x:v>
      </x:c>
      <x:c r="L424" s="33" t="s">
        <x:v>75</x:v>
      </x:c>
      <x:c r="M424" s="35">
        <x:v>51</x:v>
      </x:c>
      <x:c r="N424" s="35">
        <x:v>73710035</x:v>
      </x:c>
      <x:c r="O424" s="33" t="s">
        <x:v>101</x:v>
      </x:c>
      <x:c r="P424" s="33" t="s">
        <x:v>109</x:v>
      </x:c>
      <x:c r="Q424" s="33" t="s">
        <x:v>120</x:v>
      </x:c>
      <x:c r="R424" s="33" t="s">
        <x:v>115</x:v>
      </x:c>
      <x:c r="S424" s="31" t="s">
        <x:v>1434</x:v>
      </x:c>
      <x:c r="T424" s="31" t="s">
        <x:v>2023</x:v>
      </x:c>
      <x:c r="U424" s="31" t="s">
        <x:v>276</x:v>
      </x:c>
      <x:c r="V424" s="33" t="s">
        <x:v>277</x:v>
      </x:c>
      <x:c r="W424" s="33"/>
      <x:c r="X424" s="33" t="s">
        <x:v>238</x:v>
      </x:c>
      <x:c r="Y424" s="36"/>
      <x:c r="Z424" s="36">
        <x:v>46829</x:v>
      </x:c>
      <x:c r="AA424" s="33" t="s">
        <x:v>120</x:v>
      </x:c>
      <x:c r="AB424" s="37" t="n">
        <x:f>IFERROR(INDEX(Effort_Model!$J$6:$J$33,MATCH(K424&amp;"|"&amp;L424,Effort_Model!$B$6:$B$33,0)),"")</x:f>
        <x:v>74.4</x:v>
      </x:c>
      <x:c r="AC424" s="38">
        <x:v>576.79999999999995</x:v>
      </x:c>
      <x:c r="AD424" s="37">
        <x:f t="shared" si="6"/>
        <x:v>786.13329999999996</x:v>
      </x:c>
      <x:c r="AE424" s="37" t="n">
        <x:f>IFERROR(ROUND(IFERROR(INDEX(Scoring_Rules!$C$43:$C$44,MATCH(Q424,Scoring_Rules!$B$43:$B$44,0)),0)*Scoring_Rules!$C$6+IFERROR(INDEX(Scoring_Rules!$C$34:$C$40,MATCH(K424,Scoring_Rules!$B$34:$B$40,0)),0)*Scoring_Rules!$C$7+IFERROR(INDEX(Scoring_Rules!$C$16:$C$19,MATCH(P424,Scoring_Rules!$B$16:$B$19,0)),0)*Scoring_Rules!$C$8+IFERROR(INDEX(Scoring_Rules!$C$22:$C$25,MATCH(O424,Scoring_Rules!$B$22:$B$25,0)),0)*Scoring_Rules!$C$9+IFERROR(INDEX(Scoring_Rules!$C$47:$C$50,MATCH(X424,Scoring_Rules!$B$47:$B$50,0)),0)*Scoring_Rules!$C$10+IFERROR(INDEX(Scoring_Rules!$C$28:$C$31,MATCH(R424,Scoring_Rules!$B$28:$B$31,0)),0)*Scoring_Rules!$C$11,1),"")</x:f>
        <x:v>31.3</x:v>
      </x:c>
      <x:c r="AF424" s="35">
        <x:v>7</x:v>
      </x:c>
      <x:c r="AG424" s="33" t="s">
        <x:v>1634</x:v>
      </x:c>
      <x:c r="AH424" s="36">
        <x:v>46320</x:v>
      </x:c>
      <x:c r="AI424" s="33" t="s">
        <x:v>127</x:v>
      </x:c>
      <x:c r="AJ424" s="34" t="s">
        <x:v>354</x:v>
      </x:c>
    </x:row>
    <x:row r="425" ht="23.25" customHeight="1">
      <x:c r="A425" s="31" t="s">
        <x:v>2024</x:v>
      </x:c>
      <x:c r="B425" s="31" t="s">
        <x:v>2025</x:v>
      </x:c>
      <x:c r="C425" s="31" t="s">
        <x:v>1623</x:v>
      </x:c>
      <x:c r="D425" s="32" t="s">
        <x:v>1642</x:v>
      </x:c>
      <x:c r="E425" s="32" t="str">
        <x:v>Functional Migration Only</x:v>
      </x:c>
      <x:c r="F425" s="33" t="s">
        <x:v>118</x:v>
      </x:c>
      <x:c r="G425" s="34" t="s">
        <x:v>1625</x:v>
      </x:c>
      <x:c r="H425" s="33" t="s">
        <x:v>87</x:v>
      </x:c>
      <x:c r="I425" s="33" t="s">
        <x:v>1626</x:v>
      </x:c>
      <x:c r="J425" s="33" t="s">
        <x:v>82</x:v>
      </x:c>
      <x:c r="K425" s="33" t="s">
        <x:v>66</x:v>
      </x:c>
      <x:c r="L425" s="33" t="s">
        <x:v>75</x:v>
      </x:c>
      <x:c r="M425" s="35">
        <x:v>194</x:v>
      </x:c>
      <x:c r="N425" s="35">
        <x:v>6432439501</x:v>
      </x:c>
      <x:c r="O425" s="33" t="s">
        <x:v>101</x:v>
      </x:c>
      <x:c r="P425" s="33" t="s">
        <x:v>101</x:v>
      </x:c>
      <x:c r="Q425" s="33" t="s">
        <x:v>120</x:v>
      </x:c>
      <x:c r="R425" s="33" t="s">
        <x:v>73</x:v>
      </x:c>
      <x:c r="S425" s="31" t="s">
        <x:v>2026</x:v>
      </x:c>
      <x:c r="T425" s="31" t="s">
        <x:v>2027</x:v>
      </x:c>
      <x:c r="U425" s="31" t="s">
        <x:v>276</x:v>
      </x:c>
      <x:c r="V425" s="33" t="s">
        <x:v>323</x:v>
      </x:c>
      <x:c r="W425" s="33"/>
      <x:c r="X425" s="33" t="s">
        <x:v>238</x:v>
      </x:c>
      <x:c r="Y425" s="36"/>
      <x:c r="Z425" s="36"/>
      <x:c r="AA425" s="33" t="s">
        <x:v>120</x:v>
      </x:c>
      <x:c r="AB425" s="37" t="n">
        <x:f>IFERROR(INDEX(Effort_Model!$J$6:$J$33,MATCH(K425&amp;"|"&amp;L425,Effort_Model!$B$6:$B$33,0)),"")</x:f>
        <x:v>138.4</x:v>
      </x:c>
      <x:c r="AC425" s="38">
        <x:v>2543.9</x:v>
      </x:c>
      <x:c r="AD425" s="37">
        <x:f t="shared" si="6"/>
        <x:v>2945.2332999999999</x:v>
      </x:c>
      <x:c r="AE425" s="37" t="n">
        <x:f>IFERROR(ROUND(IFERROR(INDEX(Scoring_Rules!$C$43:$C$44,MATCH(Q425,Scoring_Rules!$B$43:$B$44,0)),0)*Scoring_Rules!$C$6+IFERROR(INDEX(Scoring_Rules!$C$34:$C$40,MATCH(K425,Scoring_Rules!$B$34:$B$40,0)),0)*Scoring_Rules!$C$7+IFERROR(INDEX(Scoring_Rules!$C$16:$C$19,MATCH(P425,Scoring_Rules!$B$16:$B$19,0)),0)*Scoring_Rules!$C$8+IFERROR(INDEX(Scoring_Rules!$C$22:$C$25,MATCH(O425,Scoring_Rules!$B$22:$B$25,0)),0)*Scoring_Rules!$C$9+IFERROR(INDEX(Scoring_Rules!$C$47:$C$50,MATCH(X425,Scoring_Rules!$B$47:$B$50,0)),0)*Scoring_Rules!$C$10+IFERROR(INDEX(Scoring_Rules!$C$28:$C$31,MATCH(R425,Scoring_Rules!$B$28:$B$31,0)),0)*Scoring_Rules!$C$11,1),"")</x:f>
        <x:v>34.8</x:v>
      </x:c>
      <x:c r="AF425" s="35">
        <x:v>7</x:v>
      </x:c>
      <x:c r="AG425" s="33" t="s">
        <x:v>1639</x:v>
      </x:c>
      <x:c r="AH425" s="36">
        <x:v>46400</x:v>
      </x:c>
      <x:c r="AI425" s="33" t="s">
        <x:v>127</x:v>
      </x:c>
      <x:c r="AJ425" s="34"/>
    </x:row>
    <x:row r="426" ht="15" customHeight="1">
      <x:c r="A426" s="31" t="s">
        <x:v>2028</x:v>
      </x:c>
      <x:c r="B426" s="31" t="s">
        <x:v>2029</x:v>
      </x:c>
      <x:c r="C426" s="31" t="s">
        <x:v>1623</x:v>
      </x:c>
      <x:c r="D426" s="32" t="s">
        <x:v>1686</x:v>
      </x:c>
      <x:c r="E426" s="32" t="str">
        <x:v>Data Migration Only</x:v>
      </x:c>
      <x:c r="F426" s="33" t="s">
        <x:v>120</x:v>
      </x:c>
      <x:c r="G426" s="34" t="s">
        <x:v>1655</x:v>
      </x:c>
      <x:c r="H426" s="33" t="s">
        <x:v>87</x:v>
      </x:c>
      <x:c r="I426" s="33" t="s">
        <x:v>1626</x:v>
      </x:c>
      <x:c r="J426" s="33" t="s">
        <x:v>80</x:v>
      </x:c>
      <x:c r="K426" s="33" t="s">
        <x:v>66</x:v>
      </x:c>
      <x:c r="L426" s="33" t="s">
        <x:v>73</x:v>
      </x:c>
      <x:c r="M426" s="35">
        <x:v>167</x:v>
      </x:c>
      <x:c r="N426" s="35">
        <x:v>6246212238</x:v>
      </x:c>
      <x:c r="O426" s="33" t="s">
        <x:v>101</x:v>
      </x:c>
      <x:c r="P426" s="33" t="s">
        <x:v>73</x:v>
      </x:c>
      <x:c r="Q426" s="33" t="s">
        <x:v>120</x:v>
      </x:c>
      <x:c r="R426" s="33" t="s">
        <x:v>73</x:v>
      </x:c>
      <x:c r="S426" s="31" t="s">
        <x:v>2030</x:v>
      </x:c>
      <x:c r="T426" s="31" t="s">
        <x:v>2031</x:v>
      </x:c>
      <x:c r="U426" s="31" t="s">
        <x:v>522</x:v>
      </x:c>
      <x:c r="V426" s="33" t="s">
        <x:v>303</x:v>
      </x:c>
      <x:c r="W426" s="33" t="s">
        <x:v>2032</x:v>
      </x:c>
      <x:c r="X426" s="33" t="s">
        <x:v>240</x:v>
      </x:c>
      <x:c r="Y426" s="36"/>
      <x:c r="Z426" s="36"/>
      <x:c r="AA426" s="33" t="s">
        <x:v>120</x:v>
      </x:c>
      <x:c r="AB426" s="37" t="n">
        <x:f>IFERROR(INDEX(Effort_Model!$J$6:$J$33,MATCH(K426&amp;"|"&amp;L426,Effort_Model!$B$6:$B$33,0)),"")</x:f>
        <x:v>138.4</x:v>
      </x:c>
      <x:c r="AC426" s="38">
        <x:v>1002.1</x:v>
      </x:c>
      <x:c r="AD426" s="37">
        <x:f t="shared" si="6"/>
        <x:v>1271.0999999999999</x:v>
      </x:c>
      <x:c r="AE426" s="37" t="n">
        <x:f>IFERROR(ROUND(IFERROR(INDEX(Scoring_Rules!$C$43:$C$44,MATCH(Q426,Scoring_Rules!$B$43:$B$44,0)),0)*Scoring_Rules!$C$6+IFERROR(INDEX(Scoring_Rules!$C$34:$C$40,MATCH(K426,Scoring_Rules!$B$34:$B$40,0)),0)*Scoring_Rules!$C$7+IFERROR(INDEX(Scoring_Rules!$C$16:$C$19,MATCH(P426,Scoring_Rules!$B$16:$B$19,0)),0)*Scoring_Rules!$C$8+IFERROR(INDEX(Scoring_Rules!$C$22:$C$25,MATCH(O426,Scoring_Rules!$B$22:$B$25,0)),0)*Scoring_Rules!$C$9+IFERROR(INDEX(Scoring_Rules!$C$47:$C$50,MATCH(X426,Scoring_Rules!$B$47:$B$50,0)),0)*Scoring_Rules!$C$10+IFERROR(INDEX(Scoring_Rules!$C$28:$C$31,MATCH(R426,Scoring_Rules!$B$28:$B$31,0)),0)*Scoring_Rules!$C$11,1),"")</x:f>
        <x:v>31.3</x:v>
      </x:c>
      <x:c r="AF426" s="35">
        <x:v>5</x:v>
      </x:c>
      <x:c r="AG426" s="33" t="s">
        <x:v>1645</x:v>
      </x:c>
      <x:c r="AH426" s="36">
        <x:v>46322</x:v>
      </x:c>
      <x:c r="AI426" s="33" t="s">
        <x:v>126</x:v>
      </x:c>
      <x:c r="AJ426" s="34" t="s">
        <x:v>342</x:v>
      </x:c>
    </x:row>
    <x:row r="427" ht="23.25" customHeight="1">
      <x:c r="A427" s="31" t="s">
        <x:v>2033</x:v>
      </x:c>
      <x:c r="B427" s="31" t="s">
        <x:v>2034</x:v>
      </x:c>
      <x:c r="C427" s="31" t="s">
        <x:v>1623</x:v>
      </x:c>
      <x:c r="D427" s="32" t="s">
        <x:v>1642</x:v>
      </x:c>
      <x:c r="E427" s="32" t="str">
        <x:v>Functional Migration Only</x:v>
      </x:c>
      <x:c r="F427" s="33" t="s">
        <x:v>118</x:v>
      </x:c>
      <x:c r="G427" s="34" t="s">
        <x:v>1638</x:v>
      </x:c>
      <x:c r="H427" s="33" t="s">
        <x:v>87</x:v>
      </x:c>
      <x:c r="I427" s="33" t="s">
        <x:v>1626</x:v>
      </x:c>
      <x:c r="J427" s="33" t="s">
        <x:v>82</x:v>
      </x:c>
      <x:c r="K427" s="33" t="s">
        <x:v>62</x:v>
      </x:c>
      <x:c r="L427" s="33" t="s">
        <x:v>75</x:v>
      </x:c>
      <x:c r="M427" s="35">
        <x:v>61</x:v>
      </x:c>
      <x:c r="N427" s="35">
        <x:v>120045553</x:v>
      </x:c>
      <x:c r="O427" s="33" t="s">
        <x:v>73</x:v>
      </x:c>
      <x:c r="P427" s="33" t="s">
        <x:v>109</x:v>
      </x:c>
      <x:c r="Q427" s="33" t="s">
        <x:v>120</x:v>
      </x:c>
      <x:c r="R427" s="33" t="s">
        <x:v>101</x:v>
      </x:c>
      <x:c r="S427" s="31" t="s">
        <x:v>1627</x:v>
      </x:c>
      <x:c r="T427" s="31" t="s">
        <x:v>2035</x:v>
      </x:c>
      <x:c r="U427" s="31" t="s">
        <x:v>522</x:v>
      </x:c>
      <x:c r="V427" s="33" t="s">
        <x:v>365</x:v>
      </x:c>
      <x:c r="W427" s="33"/>
      <x:c r="X427" s="33" t="s">
        <x:v>238</x:v>
      </x:c>
      <x:c r="Y427" s="36"/>
      <x:c r="Z427" s="36"/>
      <x:c r="AA427" s="33" t="s">
        <x:v>120</x:v>
      </x:c>
      <x:c r="AB427" s="37" t="n">
        <x:f>IFERROR(INDEX(Effort_Model!$J$6:$J$33,MATCH(K427&amp;"|"&amp;L427,Effort_Model!$B$6:$B$33,0)),"")</x:f>
        <x:v>74.4</x:v>
      </x:c>
      <x:c r="AC427" s="38">
        <x:v>986.6</x:v>
      </x:c>
      <x:c r="AD427" s="37">
        <x:f t="shared" si="6"/>
        <x:v>1195.9333000000001</x:v>
      </x:c>
      <x:c r="AE427" s="37" t="n">
        <x:f>IFERROR(ROUND(IFERROR(INDEX(Scoring_Rules!$C$43:$C$44,MATCH(Q427,Scoring_Rules!$B$43:$B$44,0)),0)*Scoring_Rules!$C$6+IFERROR(INDEX(Scoring_Rules!$C$34:$C$40,MATCH(K427,Scoring_Rules!$B$34:$B$40,0)),0)*Scoring_Rules!$C$7+IFERROR(INDEX(Scoring_Rules!$C$16:$C$19,MATCH(P427,Scoring_Rules!$B$16:$B$19,0)),0)*Scoring_Rules!$C$8+IFERROR(INDEX(Scoring_Rules!$C$22:$C$25,MATCH(O427,Scoring_Rules!$B$22:$B$25,0)),0)*Scoring_Rules!$C$9+IFERROR(INDEX(Scoring_Rules!$C$47:$C$50,MATCH(X427,Scoring_Rules!$B$47:$B$50,0)),0)*Scoring_Rules!$C$10+IFERROR(INDEX(Scoring_Rules!$C$28:$C$31,MATCH(R427,Scoring_Rules!$B$28:$B$31,0)),0)*Scoring_Rules!$C$11,1),"")</x:f>
        <x:v>38.3</x:v>
      </x:c>
      <x:c r="AF427" s="35">
        <x:v>7</x:v>
      </x:c>
      <x:c r="AG427" s="33" t="s">
        <x:v>1629</x:v>
      </x:c>
      <x:c r="AH427" s="36">
        <x:v>46408</x:v>
      </x:c>
      <x:c r="AI427" s="33" t="s">
        <x:v>127</x:v>
      </x:c>
      <x:c r="AJ427" s="34"/>
    </x:row>
    <x:row r="428" ht="15" customHeight="1">
      <x:c r="A428" s="31" t="s">
        <x:v>2036</x:v>
      </x:c>
      <x:c r="B428" s="31" t="s">
        <x:v>2037</x:v>
      </x:c>
      <x:c r="C428" s="31" t="s">
        <x:v>1623</x:v>
      </x:c>
      <x:c r="D428" s="32" t="s">
        <x:v>1024</x:v>
      </x:c>
      <x:c r="E428" s="32" t="str">
        <x:v>Functional Migration Only</x:v>
      </x:c>
      <x:c r="F428" s="33" t="s">
        <x:v>118</x:v>
      </x:c>
      <x:c r="G428" s="34" t="s">
        <x:v>1655</x:v>
      </x:c>
      <x:c r="H428" s="33" t="s">
        <x:v>87</x:v>
      </x:c>
      <x:c r="I428" s="33" t="s">
        <x:v>1626</x:v>
      </x:c>
      <x:c r="J428" s="33" t="s">
        <x:v>82</x:v>
      </x:c>
      <x:c r="K428" s="33" t="s">
        <x:v>60</x:v>
      </x:c>
      <x:c r="L428" s="33" t="s">
        <x:v>75</x:v>
      </x:c>
      <x:c r="M428" s="35">
        <x:v>34</x:v>
      </x:c>
      <x:c r="N428" s="35">
        <x:v>5630251</x:v>
      </x:c>
      <x:c r="O428" s="33" t="s">
        <x:v>73</x:v>
      </x:c>
      <x:c r="P428" s="33" t="s">
        <x:v>109</x:v>
      </x:c>
      <x:c r="Q428" s="33" t="s">
        <x:v>120</x:v>
      </x:c>
      <x:c r="R428" s="33" t="s">
        <x:v>73</x:v>
      </x:c>
      <x:c r="S428" s="31" t="s">
        <x:v>2038</x:v>
      </x:c>
      <x:c r="T428" s="31" t="s">
        <x:v>2039</x:v>
      </x:c>
      <x:c r="U428" s="31" t="s">
        <x:v>522</x:v>
      </x:c>
      <x:c r="V428" s="33" t="s">
        <x:v>444</x:v>
      </x:c>
      <x:c r="W428" s="33"/>
      <x:c r="X428" s="33" t="s">
        <x:v>238</x:v>
      </x:c>
      <x:c r="Y428" s="36"/>
      <x:c r="Z428" s="36"/>
      <x:c r="AA428" s="33" t="s">
        <x:v>120</x:v>
      </x:c>
      <x:c r="AB428" s="37" t="n">
        <x:f>IFERROR(INDEX(Effort_Model!$J$6:$J$33,MATCH(K428&amp;"|"&amp;L428,Effort_Model!$B$6:$B$33,0)),"")</x:f>
        <x:v>42.4</x:v>
      </x:c>
      <x:c r="AC428" s="38">
        <x:v>539.20000000000005</x:v>
      </x:c>
      <x:c r="AD428" s="37">
        <x:f t="shared" si="6"/>
        <x:v>652.53330000000005</x:v>
      </x:c>
      <x:c r="AE428" s="37" t="n">
        <x:f>IFERROR(ROUND(IFERROR(INDEX(Scoring_Rules!$C$43:$C$44,MATCH(Q428,Scoring_Rules!$B$43:$B$44,0)),0)*Scoring_Rules!$C$6+IFERROR(INDEX(Scoring_Rules!$C$34:$C$40,MATCH(K428,Scoring_Rules!$B$34:$B$40,0)),0)*Scoring_Rules!$C$7+IFERROR(INDEX(Scoring_Rules!$C$16:$C$19,MATCH(P428,Scoring_Rules!$B$16:$B$19,0)),0)*Scoring_Rules!$C$8+IFERROR(INDEX(Scoring_Rules!$C$22:$C$25,MATCH(O428,Scoring_Rules!$B$22:$B$25,0)),0)*Scoring_Rules!$C$9+IFERROR(INDEX(Scoring_Rules!$C$47:$C$50,MATCH(X428,Scoring_Rules!$B$47:$B$50,0)),0)*Scoring_Rules!$C$10+IFERROR(INDEX(Scoring_Rules!$C$28:$C$31,MATCH(R428,Scoring_Rules!$B$28:$B$31,0)),0)*Scoring_Rules!$C$11,1),"")</x:f>
        <x:v>44</x:v>
      </x:c>
      <x:c r="AF428" s="35">
        <x:v>7</x:v>
      </x:c>
      <x:c r="AG428" s="33" t="s">
        <x:v>1634</x:v>
      </x:c>
      <x:c r="AH428" s="36">
        <x:v>46359</x:v>
      </x:c>
      <x:c r="AI428" s="33" t="s">
        <x:v>126</x:v>
      </x:c>
      <x:c r="AJ428" s="34" t="s">
        <x:v>312</x:v>
      </x:c>
    </x:row>
    <x:row r="429" ht="15" customHeight="1">
      <x:c r="A429" s="31" t="s">
        <x:v>2040</x:v>
      </x:c>
      <x:c r="B429" s="31" t="s">
        <x:v>2041</x:v>
      </x:c>
      <x:c r="C429" s="31" t="s">
        <x:v>1623</x:v>
      </x:c>
      <x:c r="D429" s="32" t="s">
        <x:v>1910</x:v>
      </x:c>
      <x:c r="E429" s="32" t="str">
        <x:v>Data Migration Only</x:v>
      </x:c>
      <x:c r="F429" s="33" t="s">
        <x:v>118</x:v>
      </x:c>
      <x:c r="G429" s="34" t="s">
        <x:v>1648</x:v>
      </x:c>
      <x:c r="H429" s="33" t="s">
        <x:v>87</x:v>
      </x:c>
      <x:c r="I429" s="33" t="s">
        <x:v>1626</x:v>
      </x:c>
      <x:c r="J429" s="33" t="s">
        <x:v>80</x:v>
      </x:c>
      <x:c r="K429" s="33" t="s">
        <x:v>66</x:v>
      </x:c>
      <x:c r="L429" s="33" t="s">
        <x:v>75</x:v>
      </x:c>
      <x:c r="M429" s="35">
        <x:v>195</x:v>
      </x:c>
      <x:c r="N429" s="35">
        <x:v>13813877100</x:v>
      </x:c>
      <x:c r="O429" s="33" t="s">
        <x:v>101</x:v>
      </x:c>
      <x:c r="P429" s="33" t="s">
        <x:v>109</x:v>
      </x:c>
      <x:c r="Q429" s="33" t="s">
        <x:v>120</x:v>
      </x:c>
      <x:c r="R429" s="33" t="s">
        <x:v>115</x:v>
      </x:c>
      <x:c r="S429" s="31" t="s">
        <x:v>1744</x:v>
      </x:c>
      <x:c r="T429" s="31" t="s">
        <x:v>1745</x:v>
      </x:c>
      <x:c r="U429" s="31" t="s">
        <x:v>522</x:v>
      </x:c>
      <x:c r="V429" s="33" t="s">
        <x:v>303</x:v>
      </x:c>
      <x:c r="W429" s="33" t="s">
        <x:v>1980</x:v>
      </x:c>
      <x:c r="X429" s="33" t="s">
        <x:v>240</x:v>
      </x:c>
      <x:c r="Y429" s="36"/>
      <x:c r="Z429" s="36">
        <x:v>46860</x:v>
      </x:c>
      <x:c r="AA429" s="33" t="s">
        <x:v>120</x:v>
      </x:c>
      <x:c r="AB429" s="37" t="n">
        <x:f>IFERROR(INDEX(Effort_Model!$J$6:$J$33,MATCH(K429&amp;"|"&amp;L429,Effort_Model!$B$6:$B$33,0)),"")</x:f>
        <x:v>138.4</x:v>
      </x:c>
      <x:c r="AC429" s="38">
        <x:v>1495.2</x:v>
      </x:c>
      <x:c r="AD429" s="37">
        <x:f t="shared" si="6"/>
        <x:v>1896.5333000000001</x:v>
      </x:c>
      <x:c r="AE429" s="37" t="n">
        <x:f>IFERROR(ROUND(IFERROR(INDEX(Scoring_Rules!$C$43:$C$44,MATCH(Q429,Scoring_Rules!$B$43:$B$44,0)),0)*Scoring_Rules!$C$6+IFERROR(INDEX(Scoring_Rules!$C$34:$C$40,MATCH(K429,Scoring_Rules!$B$34:$B$40,0)),0)*Scoring_Rules!$C$7+IFERROR(INDEX(Scoring_Rules!$C$16:$C$19,MATCH(P429,Scoring_Rules!$B$16:$B$19,0)),0)*Scoring_Rules!$C$8+IFERROR(INDEX(Scoring_Rules!$C$22:$C$25,MATCH(O429,Scoring_Rules!$B$22:$B$25,0)),0)*Scoring_Rules!$C$9+IFERROR(INDEX(Scoring_Rules!$C$47:$C$50,MATCH(X429,Scoring_Rules!$B$47:$B$50,0)),0)*Scoring_Rules!$C$10+IFERROR(INDEX(Scoring_Rules!$C$28:$C$31,MATCH(R429,Scoring_Rules!$B$28:$B$31,0)),0)*Scoring_Rules!$C$11,1),"")</x:f>
        <x:v>13.8</x:v>
      </x:c>
      <x:c r="AF429" s="35">
        <x:v>8</x:v>
      </x:c>
      <x:c r="AG429" s="33" t="s">
        <x:v>1639</x:v>
      </x:c>
      <x:c r="AH429" s="36">
        <x:v>46301</x:v>
      </x:c>
      <x:c r="AI429" s="33" t="s">
        <x:v>124</x:v>
      </x:c>
      <x:c r="AJ429" s="34"/>
    </x:row>
    <x:row r="430" ht="34.5" customHeight="1">
      <x:c r="A430" s="31" t="s">
        <x:v>2042</x:v>
      </x:c>
      <x:c r="B430" s="31" t="s">
        <x:v>2043</x:v>
      </x:c>
      <x:c r="C430" s="31" t="s">
        <x:v>1623</x:v>
      </x:c>
      <x:c r="D430" s="32" t="s">
        <x:v>2013</x:v>
      </x:c>
      <x:c r="E430" s="32" t="str">
        <x:v>Functional Migration Only</x:v>
      </x:c>
      <x:c r="F430" s="33" t="s">
        <x:v>118</x:v>
      </x:c>
      <x:c r="G430" s="34" t="s">
        <x:v>1625</x:v>
      </x:c>
      <x:c r="H430" s="33" t="s">
        <x:v>87</x:v>
      </x:c>
      <x:c r="I430" s="33" t="s">
        <x:v>1626</x:v>
      </x:c>
      <x:c r="J430" s="33" t="s">
        <x:v>82</x:v>
      </x:c>
      <x:c r="K430" s="33" t="s">
        <x:v>62</x:v>
      </x:c>
      <x:c r="L430" s="33" t="s">
        <x:v>77</x:v>
      </x:c>
      <x:c r="M430" s="35">
        <x:v>54</x:v>
      </x:c>
      <x:c r="N430" s="35">
        <x:v>97965594</x:v>
      </x:c>
      <x:c r="O430" s="33" t="s">
        <x:v>73</x:v>
      </x:c>
      <x:c r="P430" s="33" t="s">
        <x:v>109</x:v>
      </x:c>
      <x:c r="Q430" s="33" t="s">
        <x:v>120</x:v>
      </x:c>
      <x:c r="R430" s="33" t="s">
        <x:v>115</x:v>
      </x:c>
      <x:c r="S430" s="31" t="s">
        <x:v>1796</x:v>
      </x:c>
      <x:c r="T430" s="31" t="s">
        <x:v>1797</x:v>
      </x:c>
      <x:c r="U430" s="31" t="s">
        <x:v>276</x:v>
      </x:c>
      <x:c r="V430" s="33" t="s">
        <x:v>329</x:v>
      </x:c>
      <x:c r="W430" s="33"/>
      <x:c r="X430" s="33" t="s">
        <x:v>238</x:v>
      </x:c>
      <x:c r="Y430" s="36"/>
      <x:c r="Z430" s="36"/>
      <x:c r="AA430" s="33" t="s">
        <x:v>120</x:v>
      </x:c>
      <x:c r="AB430" s="37" t="n">
        <x:f>IFERROR(INDEX(Effort_Model!$J$6:$J$33,MATCH(K430&amp;"|"&amp;L430,Effort_Model!$B$6:$B$33,0)),"")</x:f>
        <x:v>74.4</x:v>
      </x:c>
      <x:c r="AC430" s="38">
        <x:v>1326.2</x:v>
      </x:c>
      <x:c r="AD430" s="37">
        <x:f t="shared" si="6"/>
        <x:v>1599.5333000000001</x:v>
      </x:c>
      <x:c r="AE430" s="37" t="n">
        <x:f>IFERROR(ROUND(IFERROR(INDEX(Scoring_Rules!$C$43:$C$44,MATCH(Q430,Scoring_Rules!$B$43:$B$44,0)),0)*Scoring_Rules!$C$6+IFERROR(INDEX(Scoring_Rules!$C$34:$C$40,MATCH(K430,Scoring_Rules!$B$34:$B$40,0)),0)*Scoring_Rules!$C$7+IFERROR(INDEX(Scoring_Rules!$C$16:$C$19,MATCH(P430,Scoring_Rules!$B$16:$B$19,0)),0)*Scoring_Rules!$C$8+IFERROR(INDEX(Scoring_Rules!$C$22:$C$25,MATCH(O430,Scoring_Rules!$B$22:$B$25,0)),0)*Scoring_Rules!$C$9+IFERROR(INDEX(Scoring_Rules!$C$47:$C$50,MATCH(X430,Scoring_Rules!$B$47:$B$50,0)),0)*Scoring_Rules!$C$10+IFERROR(INDEX(Scoring_Rules!$C$28:$C$31,MATCH(R430,Scoring_Rules!$B$28:$B$31,0)),0)*Scoring_Rules!$C$11,1),"")</x:f>
        <x:v>36.5</x:v>
      </x:c>
      <x:c r="AF430" s="35">
        <x:v>8</x:v>
      </x:c>
      <x:c r="AG430" s="33" t="s">
        <x:v>1645</x:v>
      </x:c>
      <x:c r="AH430" s="36">
        <x:v>46394</x:v>
      </x:c>
      <x:c r="AI430" s="33" t="s">
        <x:v>126</x:v>
      </x:c>
      <x:c r="AJ430" s="34" t="s">
        <x:v>312</x:v>
      </x:c>
    </x:row>
    <x:row r="431" ht="23.25" customHeight="1">
      <x:c r="A431" s="31" t="s">
        <x:v>2044</x:v>
      </x:c>
      <x:c r="B431" s="31" t="s">
        <x:v>2045</x:v>
      </x:c>
      <x:c r="C431" s="31" t="s">
        <x:v>1623</x:v>
      </x:c>
      <x:c r="D431" s="32" t="s">
        <x:v>2046</x:v>
      </x:c>
      <x:c r="E431" s="32" t="str">
        <x:v>Data Migration Only</x:v>
      </x:c>
      <x:c r="F431" s="33" t="s">
        <x:v>118</x:v>
      </x:c>
      <x:c r="G431" s="34" t="s">
        <x:v>1648</x:v>
      </x:c>
      <x:c r="H431" s="33" t="s">
        <x:v>87</x:v>
      </x:c>
      <x:c r="I431" s="33" t="s">
        <x:v>1626</x:v>
      </x:c>
      <x:c r="J431" s="33" t="s">
        <x:v>80</x:v>
      </x:c>
      <x:c r="K431" s="33" t="s">
        <x:v>62</x:v>
      </x:c>
      <x:c r="L431" s="33" t="s">
        <x:v>77</x:v>
      </x:c>
      <x:c r="M431" s="35">
        <x:v>74</x:v>
      </x:c>
      <x:c r="N431" s="35">
        <x:v>102351641</x:v>
      </x:c>
      <x:c r="O431" s="33" t="s">
        <x:v>103</x:v>
      </x:c>
      <x:c r="P431" s="33" t="s">
        <x:v>101</x:v>
      </x:c>
      <x:c r="Q431" s="33" t="s">
        <x:v>120</x:v>
      </x:c>
      <x:c r="R431" s="33" t="s">
        <x:v>115</x:v>
      </x:c>
      <x:c r="S431" s="31" t="s">
        <x:v>1903</x:v>
      </x:c>
      <x:c r="T431" s="31" t="s">
        <x:v>2047</x:v>
      </x:c>
      <x:c r="U431" s="31" t="s">
        <x:v>522</x:v>
      </x:c>
      <x:c r="V431" s="33" t="s">
        <x:v>444</x:v>
      </x:c>
      <x:c r="W431" s="33"/>
      <x:c r="X431" s="33" t="s">
        <x:v>238</x:v>
      </x:c>
      <x:c r="Y431" s="36">
        <x:v>46643</x:v>
      </x:c>
      <x:c r="Z431" s="36"/>
      <x:c r="AA431" s="33" t="s">
        <x:v>120</x:v>
      </x:c>
      <x:c r="AB431" s="37" t="n">
        <x:f>IFERROR(INDEX(Effort_Model!$J$6:$J$33,MATCH(K431&amp;"|"&amp;L431,Effort_Model!$B$6:$B$33,0)),"")</x:f>
        <x:v>74.4</x:v>
      </x:c>
      <x:c r="AC431" s="38">
        <x:v>789.3</x:v>
      </x:c>
      <x:c r="AD431" s="37">
        <x:f t="shared" si="6"/>
        <x:v>1062.6333</x:v>
      </x:c>
      <x:c r="AE431" s="37" t="n">
        <x:f>IFERROR(ROUND(IFERROR(INDEX(Scoring_Rules!$C$43:$C$44,MATCH(Q431,Scoring_Rules!$B$43:$B$44,0)),0)*Scoring_Rules!$C$6+IFERROR(INDEX(Scoring_Rules!$C$34:$C$40,MATCH(K431,Scoring_Rules!$B$34:$B$40,0)),0)*Scoring_Rules!$C$7+IFERROR(INDEX(Scoring_Rules!$C$16:$C$19,MATCH(P431,Scoring_Rules!$B$16:$B$19,0)),0)*Scoring_Rules!$C$8+IFERROR(INDEX(Scoring_Rules!$C$22:$C$25,MATCH(O431,Scoring_Rules!$B$22:$B$25,0)),0)*Scoring_Rules!$C$9+IFERROR(INDEX(Scoring_Rules!$C$47:$C$50,MATCH(X431,Scoring_Rules!$B$47:$B$50,0)),0)*Scoring_Rules!$C$10+IFERROR(INDEX(Scoring_Rules!$C$28:$C$31,MATCH(R431,Scoring_Rules!$B$28:$B$31,0)),0)*Scoring_Rules!$C$11,1),"")</x:f>
        <x:v>33</x:v>
      </x:c>
      <x:c r="AF431" s="35">
        <x:v>8</x:v>
      </x:c>
      <x:c r="AG431" s="33" t="s">
        <x:v>1629</x:v>
      </x:c>
      <x:c r="AH431" s="36">
        <x:v>46315</x:v>
      </x:c>
      <x:c r="AI431" s="33" t="s">
        <x:v>127</x:v>
      </x:c>
      <x:c r="AJ431" s="34"/>
    </x:row>
    <x:row r="432" ht="102" customHeight="1">
      <x:c r="A432" s="31" t="s">
        <x:v>2048</x:v>
      </x:c>
      <x:c r="B432" s="31" t="s">
        <x:v>2049</x:v>
      </x:c>
      <x:c r="C432" s="31" t="s">
        <x:v>1623</x:v>
      </x:c>
      <x:c r="D432" s="32" t="s">
        <x:v>2050</x:v>
      </x:c>
      <x:c r="E432" s="32" t="str">
        <x:v>Data Migration Only</x:v>
      </x:c>
      <x:c r="F432" s="33" t="s">
        <x:v>118</x:v>
      </x:c>
      <x:c r="G432" s="34" t="s">
        <x:v>1655</x:v>
      </x:c>
      <x:c r="H432" s="33" t="s">
        <x:v>87</x:v>
      </x:c>
      <x:c r="I432" s="33" t="s">
        <x:v>1626</x:v>
      </x:c>
      <x:c r="J432" s="33" t="s">
        <x:v>80</x:v>
      </x:c>
      <x:c r="K432" s="33" t="s">
        <x:v>60</x:v>
      </x:c>
      <x:c r="L432" s="33" t="s">
        <x:v>73</x:v>
      </x:c>
      <x:c r="M432" s="35">
        <x:v>50</x:v>
      </x:c>
      <x:c r="N432" s="35">
        <x:v>5275367</x:v>
      </x:c>
      <x:c r="O432" s="33" t="s">
        <x:v>101</x:v>
      </x:c>
      <x:c r="P432" s="33" t="s">
        <x:v>101</x:v>
      </x:c>
      <x:c r="Q432" s="33" t="s">
        <x:v>120</x:v>
      </x:c>
      <x:c r="R432" s="33" t="s">
        <x:v>115</x:v>
      </x:c>
      <x:c r="S432" s="31" t="s">
        <x:v>2051</x:v>
      </x:c>
      <x:c r="T432" s="31" t="s">
        <x:v>2052</x:v>
      </x:c>
      <x:c r="U432" s="31" t="s">
        <x:v>276</x:v>
      </x:c>
      <x:c r="V432" s="33" t="s">
        <x:v>277</x:v>
      </x:c>
      <x:c r="W432" s="33"/>
      <x:c r="X432" s="33" t="s">
        <x:v>238</x:v>
      </x:c>
      <x:c r="Y432" s="36"/>
      <x:c r="Z432" s="36"/>
      <x:c r="AA432" s="33" t="s">
        <x:v>120</x:v>
      </x:c>
      <x:c r="AB432" s="37" t="n">
        <x:f>IFERROR(INDEX(Effort_Model!$J$6:$J$33,MATCH(K432&amp;"|"&amp;L432,Effort_Model!$B$6:$B$33,0)),"")</x:f>
        <x:v>42.4</x:v>
      </x:c>
      <x:c r="AC432" s="38">
        <x:v>263.60000000000002</x:v>
      </x:c>
      <x:c r="AD432" s="37">
        <x:f t="shared" si="6"/>
        <x:v>340.6</x:v>
      </x:c>
      <x:c r="AE432" s="37" t="n">
        <x:f>IFERROR(ROUND(IFERROR(INDEX(Scoring_Rules!$C$43:$C$44,MATCH(Q432,Scoring_Rules!$B$43:$B$44,0)),0)*Scoring_Rules!$C$6+IFERROR(INDEX(Scoring_Rules!$C$34:$C$40,MATCH(K432,Scoring_Rules!$B$34:$B$40,0)),0)*Scoring_Rules!$C$7+IFERROR(INDEX(Scoring_Rules!$C$16:$C$19,MATCH(P432,Scoring_Rules!$B$16:$B$19,0)),0)*Scoring_Rules!$C$8+IFERROR(INDEX(Scoring_Rules!$C$22:$C$25,MATCH(O432,Scoring_Rules!$B$22:$B$25,0)),0)*Scoring_Rules!$C$9+IFERROR(INDEX(Scoring_Rules!$C$47:$C$50,MATCH(X432,Scoring_Rules!$B$47:$B$50,0)),0)*Scoring_Rules!$C$10+IFERROR(INDEX(Scoring_Rules!$C$28:$C$31,MATCH(R432,Scoring_Rules!$B$28:$B$31,0)),0)*Scoring_Rules!$C$11,1),"")</x:f>
        <x:v>42.3</x:v>
      </x:c>
      <x:c r="AF432" s="35">
        <x:v>4</x:v>
      </x:c>
      <x:c r="AG432" s="33" t="s">
        <x:v>1634</x:v>
      </x:c>
      <x:c r="AH432" s="36">
        <x:v>46345</x:v>
      </x:c>
      <x:c r="AI432" s="33" t="s">
        <x:v>127</x:v>
      </x:c>
      <x:c r="AJ432" s="34" t="s">
        <x:v>312</x:v>
      </x:c>
    </x:row>
    <x:row r="433" ht="15" customHeight="1">
      <x:c r="A433" s="31" t="s">
        <x:v>2053</x:v>
      </x:c>
      <x:c r="B433" s="31" t="s">
        <x:v>2054</x:v>
      </x:c>
      <x:c r="C433" s="31" t="s">
        <x:v>1623</x:v>
      </x:c>
      <x:c r="D433" s="32" t="s">
        <x:v>1024</x:v>
      </x:c>
      <x:c r="E433" s="32" t="str">
        <x:v>Data Migration Only</x:v>
      </x:c>
      <x:c r="F433" s="33" t="s">
        <x:v>118</x:v>
      </x:c>
      <x:c r="G433" s="34" t="s">
        <x:v>1648</x:v>
      </x:c>
      <x:c r="H433" s="33" t="s">
        <x:v>87</x:v>
      </x:c>
      <x:c r="I433" s="33" t="s">
        <x:v>1626</x:v>
      </x:c>
      <x:c r="J433" s="33" t="s">
        <x:v>80</x:v>
      </x:c>
      <x:c r="K433" s="33" t="s">
        <x:v>64</x:v>
      </x:c>
      <x:c r="L433" s="33" t="s">
        <x:v>73</x:v>
      </x:c>
      <x:c r="M433" s="35">
        <x:v>120</x:v>
      </x:c>
      <x:c r="N433" s="35">
        <x:v>508863732</x:v>
      </x:c>
      <x:c r="O433" s="33" t="s">
        <x:v>101</x:v>
      </x:c>
      <x:c r="P433" s="33" t="s">
        <x:v>101</x:v>
      </x:c>
      <x:c r="Q433" s="33" t="s">
        <x:v>120</x:v>
      </x:c>
      <x:c r="R433" s="33" t="s">
        <x:v>101</x:v>
      </x:c>
      <x:c r="S433" s="31" t="s">
        <x:v>2055</x:v>
      </x:c>
      <x:c r="T433" s="31" t="s">
        <x:v>2056</x:v>
      </x:c>
      <x:c r="U433" s="31" t="s">
        <x:v>276</x:v>
      </x:c>
      <x:c r="V433" s="33" t="s">
        <x:v>365</x:v>
      </x:c>
      <x:c r="W433" s="33" t="s">
        <x:v>2057</x:v>
      </x:c>
      <x:c r="X433" s="33" t="s">
        <x:v>240</x:v>
      </x:c>
      <x:c r="Y433" s="36"/>
      <x:c r="Z433" s="36"/>
      <x:c r="AA433" s="33" t="s">
        <x:v>120</x:v>
      </x:c>
      <x:c r="AB433" s="37" t="n">
        <x:f>IFERROR(INDEX(Effort_Model!$J$6:$J$33,MATCH(K433&amp;"|"&amp;L433,Effort_Model!$B$6:$B$33,0)),"")</x:f>
        <x:v>106.4</x:v>
      </x:c>
      <x:c r="AC433" s="38">
        <x:v>762.6</x:v>
      </x:c>
      <x:c r="AD433" s="37">
        <x:f t="shared" si="6"/>
        <x:v>967.6</x:v>
      </x:c>
      <x:c r="AE433" s="37" t="n">
        <x:f>IFERROR(ROUND(IFERROR(INDEX(Scoring_Rules!$C$43:$C$44,MATCH(Q433,Scoring_Rules!$B$43:$B$44,0)),0)*Scoring_Rules!$C$6+IFERROR(INDEX(Scoring_Rules!$C$34:$C$40,MATCH(K433,Scoring_Rules!$B$34:$B$40,0)),0)*Scoring_Rules!$C$7+IFERROR(INDEX(Scoring_Rules!$C$16:$C$19,MATCH(P433,Scoring_Rules!$B$16:$B$19,0)),0)*Scoring_Rules!$C$8+IFERROR(INDEX(Scoring_Rules!$C$22:$C$25,MATCH(O433,Scoring_Rules!$B$22:$B$25,0)),0)*Scoring_Rules!$C$9+IFERROR(INDEX(Scoring_Rules!$C$47:$C$50,MATCH(X433,Scoring_Rules!$B$47:$B$50,0)),0)*Scoring_Rules!$C$10+IFERROR(INDEX(Scoring_Rules!$C$28:$C$31,MATCH(R433,Scoring_Rules!$B$28:$B$31,0)),0)*Scoring_Rules!$C$11,1),"")</x:f>
        <x:v>25.5</x:v>
      </x:c>
      <x:c r="AF433" s="35">
        <x:v>6</x:v>
      </x:c>
      <x:c r="AG433" s="33" t="s">
        <x:v>1639</x:v>
      </x:c>
      <x:c r="AH433" s="36">
        <x:v>46356</x:v>
      </x:c>
      <x:c r="AI433" s="33" t="s">
        <x:v>126</x:v>
      </x:c>
      <x:c r="AJ433" s="34"/>
    </x:row>
    <x:row r="434" ht="15" customHeight="1">
      <x:c r="A434" s="31" t="s">
        <x:v>2058</x:v>
      </x:c>
      <x:c r="B434" s="31" t="s">
        <x:v>2059</x:v>
      </x:c>
      <x:c r="C434" s="31" t="s">
        <x:v>1623</x:v>
      </x:c>
      <x:c r="D434" s="32" t="s">
        <x:v>1024</x:v>
      </x:c>
      <x:c r="E434" s="32" t="str">
        <x:v>Functional Migration Only</x:v>
      </x:c>
      <x:c r="F434" s="33" t="s">
        <x:v>118</x:v>
      </x:c>
      <x:c r="G434" s="34" t="s">
        <x:v>1648</x:v>
      </x:c>
      <x:c r="H434" s="33" t="s">
        <x:v>87</x:v>
      </x:c>
      <x:c r="I434" s="33" t="s">
        <x:v>1626</x:v>
      </x:c>
      <x:c r="J434" s="33" t="s">
        <x:v>82</x:v>
      </x:c>
      <x:c r="K434" s="33" t="s">
        <x:v>60</x:v>
      </x:c>
      <x:c r="L434" s="33" t="s">
        <x:v>73</x:v>
      </x:c>
      <x:c r="M434" s="35">
        <x:v>43</x:v>
      </x:c>
      <x:c r="N434" s="35">
        <x:v>3023240</x:v>
      </x:c>
      <x:c r="O434" s="33" t="s">
        <x:v>98</x:v>
      </x:c>
      <x:c r="P434" s="33" t="s">
        <x:v>98</x:v>
      </x:c>
      <x:c r="Q434" s="33" t="s">
        <x:v>118</x:v>
      </x:c>
      <x:c r="R434" s="33" t="s">
        <x:v>73</x:v>
      </x:c>
      <x:c r="S434" s="31" t="s">
        <x:v>2060</x:v>
      </x:c>
      <x:c r="T434" s="31" t="s">
        <x:v>2061</x:v>
      </x:c>
      <x:c r="U434" s="31" t="s">
        <x:v>522</x:v>
      </x:c>
      <x:c r="V434" s="33" t="s">
        <x:v>303</x:v>
      </x:c>
      <x:c r="W434" s="33" t="s">
        <x:v>2062</x:v>
      </x:c>
      <x:c r="X434" s="33" t="s">
        <x:v>240</x:v>
      </x:c>
      <x:c r="Y434" s="36"/>
      <x:c r="Z434" s="36"/>
      <x:c r="AA434" s="33" t="s">
        <x:v>120</x:v>
      </x:c>
      <x:c r="AB434" s="37" t="n">
        <x:f>IFERROR(INDEX(Effort_Model!$J$6:$J$33,MATCH(K434&amp;"|"&amp;L434,Effort_Model!$B$6:$B$33,0)),"")</x:f>
        <x:v>42.4</x:v>
      </x:c>
      <x:c r="AC434" s="38">
        <x:v>428.3</x:v>
      </x:c>
      <x:c r="AD434" s="37">
        <x:f t="shared" si="6"/>
        <x:v>505.3</x:v>
      </x:c>
      <x:c r="AE434" s="37" t="n">
        <x:f>IFERROR(ROUND(IFERROR(INDEX(Scoring_Rules!$C$43:$C$44,MATCH(Q434,Scoring_Rules!$B$43:$B$44,0)),0)*Scoring_Rules!$C$6+IFERROR(INDEX(Scoring_Rules!$C$34:$C$40,MATCH(K434,Scoring_Rules!$B$34:$B$40,0)),0)*Scoring_Rules!$C$7+IFERROR(INDEX(Scoring_Rules!$C$16:$C$19,MATCH(P434,Scoring_Rules!$B$16:$B$19,0)),0)*Scoring_Rules!$C$8+IFERROR(INDEX(Scoring_Rules!$C$22:$C$25,MATCH(O434,Scoring_Rules!$B$22:$B$25,0)),0)*Scoring_Rules!$C$9+IFERROR(INDEX(Scoring_Rules!$C$47:$C$50,MATCH(X434,Scoring_Rules!$B$47:$B$50,0)),0)*Scoring_Rules!$C$10+IFERROR(INDEX(Scoring_Rules!$C$28:$C$31,MATCH(R434,Scoring_Rules!$B$28:$B$31,0)),0)*Scoring_Rules!$C$11,1),"")</x:f>
        <x:v>83</x:v>
      </x:c>
      <x:c r="AF434" s="35">
        <x:v>2</x:v>
      </x:c>
      <x:c r="AG434" s="33" t="s">
        <x:v>1645</x:v>
      </x:c>
      <x:c r="AH434" s="36">
        <x:v>46396</x:v>
      </x:c>
      <x:c r="AI434" s="33" t="s">
        <x:v>125</x:v>
      </x:c>
      <x:c r="AJ434" s="34" t="s">
        <x:v>342</x:v>
      </x:c>
    </x:row>
    <x:row r="435" ht="23.25" customHeight="1">
      <x:c r="A435" s="31" t="s">
        <x:v>2063</x:v>
      </x:c>
      <x:c r="B435" s="31" t="s">
        <x:v>2064</x:v>
      </x:c>
      <x:c r="C435" s="31" t="s">
        <x:v>1623</x:v>
      </x:c>
      <x:c r="D435" s="32" t="s">
        <x:v>1642</x:v>
      </x:c>
      <x:c r="E435" s="32" t="str">
        <x:v>Data Migration Only</x:v>
      </x:c>
      <x:c r="F435" s="33" t="s">
        <x:v>118</x:v>
      </x:c>
      <x:c r="G435" s="34" t="s">
        <x:v>561</x:v>
      </x:c>
      <x:c r="H435" s="33" t="s">
        <x:v>89</x:v>
      </x:c>
      <x:c r="I435" s="33" t="s">
        <x:v>1626</x:v>
      </x:c>
      <x:c r="J435" s="33" t="s">
        <x:v>80</x:v>
      </x:c>
      <x:c r="K435" s="33" t="s">
        <x:v>62</x:v>
      </x:c>
      <x:c r="L435" s="33" t="s">
        <x:v>77</x:v>
      </x:c>
      <x:c r="M435" s="35">
        <x:v>62</x:v>
      </x:c>
      <x:c r="N435" s="35">
        <x:v>63141767</x:v>
      </x:c>
      <x:c r="O435" s="33" t="s">
        <x:v>73</x:v>
      </x:c>
      <x:c r="P435" s="33" t="s">
        <x:v>73</x:v>
      </x:c>
      <x:c r="Q435" s="33" t="s">
        <x:v>120</x:v>
      </x:c>
      <x:c r="R435" s="33" t="s">
        <x:v>101</x:v>
      </x:c>
      <x:c r="S435" s="31" t="s">
        <x:v>2065</x:v>
      </x:c>
      <x:c r="T435" s="31" t="s">
        <x:v>2066</x:v>
      </x:c>
      <x:c r="U435" s="31" t="s">
        <x:v>522</x:v>
      </x:c>
      <x:c r="V435" s="33" t="s">
        <x:v>277</x:v>
      </x:c>
      <x:c r="W435" s="33"/>
      <x:c r="X435" s="33" t="s">
        <x:v>238</x:v>
      </x:c>
      <x:c r="Y435" s="36"/>
      <x:c r="Z435" s="36"/>
      <x:c r="AA435" s="33" t="s">
        <x:v>120</x:v>
      </x:c>
      <x:c r="AB435" s="37" t="n">
        <x:f>IFERROR(INDEX(Effort_Model!$J$6:$J$33,MATCH(K435&amp;"|"&amp;L435,Effort_Model!$B$6:$B$33,0)),"")</x:f>
        <x:v>74.4</x:v>
      </x:c>
      <x:c r="AC435" s="38">
        <x:v>800.2</x:v>
      </x:c>
      <x:c r="AD435" s="37">
        <x:f t="shared" si="6"/>
        <x:v>1073.5333000000001</x:v>
      </x:c>
      <x:c r="AE435" s="37" t="n">
        <x:f>IFERROR(ROUND(IFERROR(INDEX(Scoring_Rules!$C$43:$C$44,MATCH(Q435,Scoring_Rules!$B$43:$B$44,0)),0)*Scoring_Rules!$C$6+IFERROR(INDEX(Scoring_Rules!$C$34:$C$40,MATCH(K435,Scoring_Rules!$B$34:$B$40,0)),0)*Scoring_Rules!$C$7+IFERROR(INDEX(Scoring_Rules!$C$16:$C$19,MATCH(P435,Scoring_Rules!$B$16:$B$19,0)),0)*Scoring_Rules!$C$8+IFERROR(INDEX(Scoring_Rules!$C$22:$C$25,MATCH(O435,Scoring_Rules!$B$22:$B$25,0)),0)*Scoring_Rules!$C$9+IFERROR(INDEX(Scoring_Rules!$C$47:$C$50,MATCH(X435,Scoring_Rules!$B$47:$B$50,0)),0)*Scoring_Rules!$C$10+IFERROR(INDEX(Scoring_Rules!$C$28:$C$31,MATCH(R435,Scoring_Rules!$B$28:$B$31,0)),0)*Scoring_Rules!$C$11,1),"")</x:f>
        <x:v>52.3</x:v>
      </x:c>
      <x:c r="AF435" s="35"/>
      <x:c r="AG435" s="33" t="s">
        <x:v>1629</x:v>
      </x:c>
      <x:c r="AH435" s="36">
        <x:v>46361</x:v>
      </x:c>
      <x:c r="AI435" s="33" t="s">
        <x:v>127</x:v>
      </x:c>
      <x:c r="AJ435" s="34" t="s">
        <x:v>395</x:v>
      </x:c>
    </x:row>
    <x:row r="436" ht="15" customHeight="1">
      <x:c r="A436" s="31" t="s">
        <x:v>2067</x:v>
      </x:c>
      <x:c r="B436" s="31" t="s">
        <x:v>2068</x:v>
      </x:c>
      <x:c r="C436" s="31" t="s">
        <x:v>1623</x:v>
      </x:c>
      <x:c r="D436" s="32" t="s">
        <x:v>1024</x:v>
      </x:c>
      <x:c r="E436" s="32" t="str">
        <x:v>Data Migration Only</x:v>
      </x:c>
      <x:c r="F436" s="33" t="s">
        <x:v>118</x:v>
      </x:c>
      <x:c r="G436" s="34" t="s">
        <x:v>1638</x:v>
      </x:c>
      <x:c r="H436" s="33" t="s">
        <x:v>87</x:v>
      </x:c>
      <x:c r="I436" s="33" t="s">
        <x:v>1626</x:v>
      </x:c>
      <x:c r="J436" s="33" t="s">
        <x:v>80</x:v>
      </x:c>
      <x:c r="K436" s="33" t="s">
        <x:v>58</x:v>
      </x:c>
      <x:c r="L436" s="33" t="s">
        <x:v>73</x:v>
      </x:c>
      <x:c r="M436" s="35">
        <x:v>29</x:v>
      </x:c>
      <x:c r="N436" s="35">
        <x:v>652495</x:v>
      </x:c>
      <x:c r="O436" s="33" t="s">
        <x:v>103</x:v>
      </x:c>
      <x:c r="P436" s="33" t="s">
        <x:v>101</x:v>
      </x:c>
      <x:c r="Q436" s="33" t="s">
        <x:v>120</x:v>
      </x:c>
      <x:c r="R436" s="33" t="s">
        <x:v>101</x:v>
      </x:c>
      <x:c r="S436" s="31" t="s">
        <x:v>2055</x:v>
      </x:c>
      <x:c r="T436" s="31" t="s">
        <x:v>2069</x:v>
      </x:c>
      <x:c r="U436" s="31" t="s">
        <x:v>276</x:v>
      </x:c>
      <x:c r="V436" s="33" t="s">
        <x:v>303</x:v>
      </x:c>
      <x:c r="W436" s="33"/>
      <x:c r="X436" s="33" t="s">
        <x:v>238</x:v>
      </x:c>
      <x:c r="Y436" s="36"/>
      <x:c r="Z436" s="36"/>
      <x:c r="AA436" s="33" t="s">
        <x:v>120</x:v>
      </x:c>
      <x:c r="AB436" s="37" t="n">
        <x:f>IFERROR(INDEX(Effort_Model!$J$6:$J$33,MATCH(K436&amp;"|"&amp;L436,Effort_Model!$B$6:$B$33,0)),"")</x:f>
        <x:v>26.4</x:v>
      </x:c>
      <x:c r="AC436" s="38">
        <x:v>155.69999999999999</x:v>
      </x:c>
      <x:c r="AD436" s="37">
        <x:f t="shared" si="6"/>
        <x:v>200.7</x:v>
      </x:c>
      <x:c r="AE436" s="37" t="n">
        <x:f>IFERROR(ROUND(IFERROR(INDEX(Scoring_Rules!$C$43:$C$44,MATCH(Q436,Scoring_Rules!$B$43:$B$44,0)),0)*Scoring_Rules!$C$6+IFERROR(INDEX(Scoring_Rules!$C$34:$C$40,MATCH(K436,Scoring_Rules!$B$34:$B$40,0)),0)*Scoring_Rules!$C$7+IFERROR(INDEX(Scoring_Rules!$C$16:$C$19,MATCH(P436,Scoring_Rules!$B$16:$B$19,0)),0)*Scoring_Rules!$C$8+IFERROR(INDEX(Scoring_Rules!$C$22:$C$25,MATCH(O436,Scoring_Rules!$B$22:$B$25,0)),0)*Scoring_Rules!$C$9+IFERROR(INDEX(Scoring_Rules!$C$47:$C$50,MATCH(X436,Scoring_Rules!$B$47:$B$50,0)),0)*Scoring_Rules!$C$10+IFERROR(INDEX(Scoring_Rules!$C$28:$C$31,MATCH(R436,Scoring_Rules!$B$28:$B$31,0)),0)*Scoring_Rules!$C$11,1),"")</x:f>
        <x:v>41.8</x:v>
      </x:c>
      <x:c r="AF436" s="35">
        <x:v>5</x:v>
      </x:c>
      <x:c r="AG436" s="33" t="s">
        <x:v>1634</x:v>
      </x:c>
      <x:c r="AH436" s="36">
        <x:v>46323</x:v>
      </x:c>
      <x:c r="AI436" s="33" t="s">
        <x:v>127</x:v>
      </x:c>
      <x:c r="AJ436" s="34" t="s">
        <x:v>342</x:v>
      </x:c>
    </x:row>
    <x:row r="437" ht="15" customHeight="1">
      <x:c r="A437" s="31" t="s">
        <x:v>2070</x:v>
      </x:c>
      <x:c r="B437" s="31" t="s">
        <x:v>2071</x:v>
      </x:c>
      <x:c r="C437" s="31" t="s">
        <x:v>1623</x:v>
      </x:c>
      <x:c r="D437" s="32" t="s">
        <x:v>1730</x:v>
      </x:c>
      <x:c r="E437" s="32" t="str">
        <x:v>Data Migration Only</x:v>
      </x:c>
      <x:c r="F437" s="33" t="s">
        <x:v>118</x:v>
      </x:c>
      <x:c r="G437" s="34" t="s">
        <x:v>1655</x:v>
      </x:c>
      <x:c r="H437" s="33" t="s">
        <x:v>87</x:v>
      </x:c>
      <x:c r="I437" s="33" t="s">
        <x:v>1626</x:v>
      </x:c>
      <x:c r="J437" s="33" t="s">
        <x:v>80</x:v>
      </x:c>
      <x:c r="K437" s="33" t="s">
        <x:v>60</x:v>
      </x:c>
      <x:c r="L437" s="33" t="s">
        <x:v>73</x:v>
      </x:c>
      <x:c r="M437" s="35">
        <x:v>31</x:v>
      </x:c>
      <x:c r="N437" s="35">
        <x:v>4095446</x:v>
      </x:c>
      <x:c r="O437" s="33" t="s">
        <x:v>101</x:v>
      </x:c>
      <x:c r="P437" s="33" t="s">
        <x:v>98</x:v>
      </x:c>
      <x:c r="Q437" s="33" t="s">
        <x:v>118</x:v>
      </x:c>
      <x:c r="R437" s="33" t="s">
        <x:v>98</x:v>
      </x:c>
      <x:c r="S437" s="31" t="s">
        <x:v>2072</x:v>
      </x:c>
      <x:c r="T437" s="31" t="s">
        <x:v>2073</x:v>
      </x:c>
      <x:c r="U437" s="31" t="s">
        <x:v>276</x:v>
      </x:c>
      <x:c r="V437" s="33" t="s">
        <x:v>289</x:v>
      </x:c>
      <x:c r="W437" s="33"/>
      <x:c r="X437" s="33" t="s">
        <x:v>238</x:v>
      </x:c>
      <x:c r="Y437" s="36"/>
      <x:c r="Z437" s="36"/>
      <x:c r="AA437" s="33" t="s">
        <x:v>120</x:v>
      </x:c>
      <x:c r="AB437" s="37" t="n">
        <x:f>IFERROR(INDEX(Effort_Model!$J$6:$J$33,MATCH(K437&amp;"|"&amp;L437,Effort_Model!$B$6:$B$33,0)),"")</x:f>
        <x:v>42.4</x:v>
      </x:c>
      <x:c r="AC437" s="38">
        <x:v>229.5</x:v>
      </x:c>
      <x:c r="AD437" s="37">
        <x:f t="shared" si="6"/>
        <x:v>306.5</x:v>
      </x:c>
      <x:c r="AE437" s="37" t="n">
        <x:f>IFERROR(ROUND(IFERROR(INDEX(Scoring_Rules!$C$43:$C$44,MATCH(Q437,Scoring_Rules!$B$43:$B$44,0)),0)*Scoring_Rules!$C$6+IFERROR(INDEX(Scoring_Rules!$C$34:$C$40,MATCH(K437,Scoring_Rules!$B$34:$B$40,0)),0)*Scoring_Rules!$C$7+IFERROR(INDEX(Scoring_Rules!$C$16:$C$19,MATCH(P437,Scoring_Rules!$B$16:$B$19,0)),0)*Scoring_Rules!$C$8+IFERROR(INDEX(Scoring_Rules!$C$22:$C$25,MATCH(O437,Scoring_Rules!$B$22:$B$25,0)),0)*Scoring_Rules!$C$9+IFERROR(INDEX(Scoring_Rules!$C$47:$C$50,MATCH(X437,Scoring_Rules!$B$47:$B$50,0)),0)*Scoring_Rules!$C$10+IFERROR(INDEX(Scoring_Rules!$C$28:$C$31,MATCH(R437,Scoring_Rules!$B$28:$B$31,0)),0)*Scoring_Rules!$C$11,1),"")</x:f>
        <x:v>85.3</x:v>
      </x:c>
      <x:c r="AF437" s="35">
        <x:v>1</x:v>
      </x:c>
      <x:c r="AG437" s="33" t="s">
        <x:v>1639</x:v>
      </x:c>
      <x:c r="AH437" s="36">
        <x:v>46306</x:v>
      </x:c>
      <x:c r="AI437" s="33" t="s">
        <x:v>127</x:v>
      </x:c>
      <x:c r="AJ437" s="34" t="s">
        <x:v>383</x:v>
      </x:c>
    </x:row>
    <x:row r="438" ht="15" customHeight="1">
      <x:c r="A438" s="31" t="s">
        <x:v>2074</x:v>
      </x:c>
      <x:c r="B438" s="31" t="s">
        <x:v>2075</x:v>
      </x:c>
      <x:c r="C438" s="31" t="s">
        <x:v>1623</x:v>
      </x:c>
      <x:c r="D438" s="32" t="s">
        <x:v>1730</x:v>
      </x:c>
      <x:c r="E438" s="32" t="str">
        <x:v>Data Migration Only</x:v>
      </x:c>
      <x:c r="F438" s="33" t="s">
        <x:v>118</x:v>
      </x:c>
      <x:c r="G438" s="34" t="s">
        <x:v>1638</x:v>
      </x:c>
      <x:c r="H438" s="33" t="s">
        <x:v>87</x:v>
      </x:c>
      <x:c r="I438" s="33" t="s">
        <x:v>1626</x:v>
      </x:c>
      <x:c r="J438" s="33" t="s">
        <x:v>80</x:v>
      </x:c>
      <x:c r="K438" s="33" t="s">
        <x:v>60</x:v>
      </x:c>
      <x:c r="L438" s="33" t="s">
        <x:v>77</x:v>
      </x:c>
      <x:c r="M438" s="35">
        <x:v>43</x:v>
      </x:c>
      <x:c r="N438" s="35">
        <x:v>3987874</x:v>
      </x:c>
      <x:c r="O438" s="33" t="s">
        <x:v>98</x:v>
      </x:c>
      <x:c r="P438" s="33" t="s">
        <x:v>101</x:v>
      </x:c>
      <x:c r="Q438" s="33" t="s">
        <x:v>120</x:v>
      </x:c>
      <x:c r="R438" s="33" t="s">
        <x:v>98</x:v>
      </x:c>
      <x:c r="S438" s="31" t="s">
        <x:v>2076</x:v>
      </x:c>
      <x:c r="T438" s="31" t="s">
        <x:v>2077</x:v>
      </x:c>
      <x:c r="U438" s="31" t="s">
        <x:v>276</x:v>
      </x:c>
      <x:c r="V438" s="33" t="s">
        <x:v>303</x:v>
      </x:c>
      <x:c r="W438" s="33" t="s">
        <x:v>1841</x:v>
      </x:c>
      <x:c r="X438" s="33" t="s">
        <x:v>239</x:v>
      </x:c>
      <x:c r="Y438" s="36"/>
      <x:c r="Z438" s="36"/>
      <x:c r="AA438" s="33" t="s">
        <x:v>120</x:v>
      </x:c>
      <x:c r="AB438" s="37" t="n">
        <x:f>IFERROR(INDEX(Effort_Model!$J$6:$J$33,MATCH(K438&amp;"|"&amp;L438,Effort_Model!$B$6:$B$33,0)),"")</x:f>
        <x:v>42.4</x:v>
      </x:c>
      <x:c r="AC438" s="38">
        <x:v>394.7</x:v>
      </x:c>
      <x:c r="AD438" s="37">
        <x:f t="shared" si="6"/>
        <x:v>540.03330000000005</x:v>
      </x:c>
      <x:c r="AE438" s="37" t="n">
        <x:f>IFERROR(ROUND(IFERROR(INDEX(Scoring_Rules!$C$43:$C$44,MATCH(Q438,Scoring_Rules!$B$43:$B$44,0)),0)*Scoring_Rules!$C$6+IFERROR(INDEX(Scoring_Rules!$C$34:$C$40,MATCH(K438,Scoring_Rules!$B$34:$B$40,0)),0)*Scoring_Rules!$C$7+IFERROR(INDEX(Scoring_Rules!$C$16:$C$19,MATCH(P438,Scoring_Rules!$B$16:$B$19,0)),0)*Scoring_Rules!$C$8+IFERROR(INDEX(Scoring_Rules!$C$22:$C$25,MATCH(O438,Scoring_Rules!$B$22:$B$25,0)),0)*Scoring_Rules!$C$9+IFERROR(INDEX(Scoring_Rules!$C$47:$C$50,MATCH(X438,Scoring_Rules!$B$47:$B$50,0)),0)*Scoring_Rules!$C$10+IFERROR(INDEX(Scoring_Rules!$C$28:$C$31,MATCH(R438,Scoring_Rules!$B$28:$B$31,0)),0)*Scoring_Rules!$C$11,1),"")</x:f>
        <x:v>52.5</x:v>
      </x:c>
      <x:c r="AF438" s="35">
        <x:v>7</x:v>
      </x:c>
      <x:c r="AG438" s="33" t="s">
        <x:v>1645</x:v>
      </x:c>
      <x:c r="AH438" s="36">
        <x:v>46370</x:v>
      </x:c>
      <x:c r="AI438" s="33" t="s">
        <x:v>125</x:v>
      </x:c>
      <x:c r="AJ438" s="34"/>
    </x:row>
    <x:row r="439" ht="15" customHeight="1">
      <x:c r="A439" s="31" t="s">
        <x:v>2078</x:v>
      </x:c>
      <x:c r="B439" s="31" t="s">
        <x:v>2079</x:v>
      </x:c>
      <x:c r="C439" s="31" t="s">
        <x:v>1623</x:v>
      </x:c>
      <x:c r="D439" s="32" t="s">
        <x:v>1730</x:v>
      </x:c>
      <x:c r="E439" s="32" t="str">
        <x:v>Functional Migration Only</x:v>
      </x:c>
      <x:c r="F439" s="33" t="s">
        <x:v>118</x:v>
      </x:c>
      <x:c r="G439" s="34" t="s">
        <x:v>1655</x:v>
      </x:c>
      <x:c r="H439" s="33" t="s">
        <x:v>87</x:v>
      </x:c>
      <x:c r="I439" s="33" t="s">
        <x:v>1626</x:v>
      </x:c>
      <x:c r="J439" s="33" t="s">
        <x:v>82</x:v>
      </x:c>
      <x:c r="K439" s="33" t="s">
        <x:v>60</x:v>
      </x:c>
      <x:c r="L439" s="33" t="s">
        <x:v>75</x:v>
      </x:c>
      <x:c r="M439" s="35">
        <x:v>41</x:v>
      </x:c>
      <x:c r="N439" s="35">
        <x:v>5971728</x:v>
      </x:c>
      <x:c r="O439" s="33" t="s">
        <x:v>73</x:v>
      </x:c>
      <x:c r="P439" s="33" t="s">
        <x:v>73</x:v>
      </x:c>
      <x:c r="Q439" s="33" t="s">
        <x:v>120</x:v>
      </x:c>
      <x:c r="R439" s="33" t="s">
        <x:v>73</x:v>
      </x:c>
      <x:c r="S439" s="31" t="s">
        <x:v>1885</x:v>
      </x:c>
      <x:c r="T439" s="31" t="s">
        <x:v>2080</x:v>
      </x:c>
      <x:c r="U439" s="31" t="s">
        <x:v>276</x:v>
      </x:c>
      <x:c r="V439" s="33" t="s">
        <x:v>277</x:v>
      </x:c>
      <x:c r="W439" s="33" t="s">
        <x:v>1922</x:v>
      </x:c>
      <x:c r="X439" s="33" t="s">
        <x:v>241</x:v>
      </x:c>
      <x:c r="Y439" s="36"/>
      <x:c r="Z439" s="36"/>
      <x:c r="AA439" s="33" t="s">
        <x:v>120</x:v>
      </x:c>
      <x:c r="AB439" s="37" t="n">
        <x:f>IFERROR(INDEX(Effort_Model!$J$6:$J$33,MATCH(K439&amp;"|"&amp;L439,Effort_Model!$B$6:$B$33,0)),"")</x:f>
        <x:v>42.4</x:v>
      </x:c>
      <x:c r="AC439" s="38">
        <x:v>506.5</x:v>
      </x:c>
      <x:c r="AD439" s="37">
        <x:f t="shared" si="6"/>
        <x:v>619.83330000000001</x:v>
      </x:c>
      <x:c r="AE439" s="37" t="n">
        <x:f>IFERROR(ROUND(IFERROR(INDEX(Scoring_Rules!$C$43:$C$44,MATCH(Q439,Scoring_Rules!$B$43:$B$44,0)),0)*Scoring_Rules!$C$6+IFERROR(INDEX(Scoring_Rules!$C$34:$C$40,MATCH(K439,Scoring_Rules!$B$34:$B$40,0)),0)*Scoring_Rules!$C$7+IFERROR(INDEX(Scoring_Rules!$C$16:$C$19,MATCH(P439,Scoring_Rules!$B$16:$B$19,0)),0)*Scoring_Rules!$C$8+IFERROR(INDEX(Scoring_Rules!$C$22:$C$25,MATCH(O439,Scoring_Rules!$B$22:$B$25,0)),0)*Scoring_Rules!$C$9+IFERROR(INDEX(Scoring_Rules!$C$47:$C$50,MATCH(X439,Scoring_Rules!$B$47:$B$50,0)),0)*Scoring_Rules!$C$10+IFERROR(INDEX(Scoring_Rules!$C$28:$C$31,MATCH(R439,Scoring_Rules!$B$28:$B$31,0)),0)*Scoring_Rules!$C$11,1),"")</x:f>
        <x:v>43</x:v>
      </x:c>
      <x:c r="AF439" s="35">
        <x:v>5</x:v>
      </x:c>
      <x:c r="AG439" s="33" t="s">
        <x:v>1629</x:v>
      </x:c>
      <x:c r="AH439" s="36">
        <x:v>46312</x:v>
      </x:c>
      <x:c r="AI439" s="33" t="s">
        <x:v>127</x:v>
      </x:c>
      <x:c r="AJ439" s="34"/>
    </x:row>
    <x:row r="440" ht="23.25" customHeight="1">
      <x:c r="A440" s="31" t="s">
        <x:v>2081</x:v>
      </x:c>
      <x:c r="B440" s="31" t="s">
        <x:v>2082</x:v>
      </x:c>
      <x:c r="C440" s="31" t="s">
        <x:v>1623</x:v>
      </x:c>
      <x:c r="D440" s="32" t="s">
        <x:v>1642</x:v>
      </x:c>
      <x:c r="E440" s="32" t="str">
        <x:v>Data Migration Only</x:v>
      </x:c>
      <x:c r="F440" s="33" t="s">
        <x:v>118</x:v>
      </x:c>
      <x:c r="G440" s="34" t="s">
        <x:v>1648</x:v>
      </x:c>
      <x:c r="H440" s="33" t="s">
        <x:v>87</x:v>
      </x:c>
      <x:c r="I440" s="33" t="s">
        <x:v>1626</x:v>
      </x:c>
      <x:c r="J440" s="33" t="s">
        <x:v>80</x:v>
      </x:c>
      <x:c r="K440" s="33" t="s">
        <x:v>60</x:v>
      </x:c>
      <x:c r="L440" s="33" t="s">
        <x:v>75</x:v>
      </x:c>
      <x:c r="M440" s="35">
        <x:v>36</x:v>
      </x:c>
      <x:c r="N440" s="35">
        <x:v>5134230</x:v>
      </x:c>
      <x:c r="O440" s="33" t="s">
        <x:v>103</x:v>
      </x:c>
      <x:c r="P440" s="33" t="s">
        <x:v>101</x:v>
      </x:c>
      <x:c r="Q440" s="33" t="s">
        <x:v>120</x:v>
      </x:c>
      <x:c r="R440" s="33" t="s">
        <x:v>101</x:v>
      </x:c>
      <x:c r="S440" s="31" t="s">
        <x:v>2083</x:v>
      </x:c>
      <x:c r="T440" s="31" t="s">
        <x:v>2084</x:v>
      </x:c>
      <x:c r="U440" s="31" t="s">
        <x:v>522</x:v>
      </x:c>
      <x:c r="V440" s="33" t="s">
        <x:v>347</x:v>
      </x:c>
      <x:c r="W440" s="33"/>
      <x:c r="X440" s="33" t="s">
        <x:v>238</x:v>
      </x:c>
      <x:c r="Y440" s="36"/>
      <x:c r="Z440" s="36"/>
      <x:c r="AA440" s="33" t="s">
        <x:v>120</x:v>
      </x:c>
      <x:c r="AB440" s="37" t="n">
        <x:f>IFERROR(INDEX(Effort_Model!$J$6:$J$33,MATCH(K440&amp;"|"&amp;L440,Effort_Model!$B$6:$B$33,0)),"")</x:f>
        <x:v>42.4</x:v>
      </x:c>
      <x:c r="AC440" s="38">
        <x:v>352.7</x:v>
      </x:c>
      <x:c r="AD440" s="37">
        <x:f t="shared" si="6"/>
        <x:v>466.0333</x:v>
      </x:c>
      <x:c r="AE440" s="37" t="n">
        <x:f>IFERROR(ROUND(IFERROR(INDEX(Scoring_Rules!$C$43:$C$44,MATCH(Q440,Scoring_Rules!$B$43:$B$44,0)),0)*Scoring_Rules!$C$6+IFERROR(INDEX(Scoring_Rules!$C$34:$C$40,MATCH(K440,Scoring_Rules!$B$34:$B$40,0)),0)*Scoring_Rules!$C$7+IFERROR(INDEX(Scoring_Rules!$C$16:$C$19,MATCH(P440,Scoring_Rules!$B$16:$B$19,0)),0)*Scoring_Rules!$C$8+IFERROR(INDEX(Scoring_Rules!$C$22:$C$25,MATCH(O440,Scoring_Rules!$B$22:$B$25,0)),0)*Scoring_Rules!$C$9+IFERROR(INDEX(Scoring_Rules!$C$47:$C$50,MATCH(X440,Scoring_Rules!$B$47:$B$50,0)),0)*Scoring_Rules!$C$10+IFERROR(INDEX(Scoring_Rules!$C$28:$C$31,MATCH(R440,Scoring_Rules!$B$28:$B$31,0)),0)*Scoring_Rules!$C$11,1),"")</x:f>
        <x:v>38.8</x:v>
      </x:c>
      <x:c r="AF440" s="35">
        <x:v>7</x:v>
      </x:c>
      <x:c r="AG440" s="33" t="s">
        <x:v>1634</x:v>
      </x:c>
      <x:c r="AH440" s="36">
        <x:v>46355</x:v>
      </x:c>
      <x:c r="AI440" s="33" t="s">
        <x:v>127</x:v>
      </x:c>
      <x:c r="AJ440" s="34" t="s">
        <x:v>383</x:v>
      </x:c>
    </x:row>
    <x:row r="441" ht="23.25" customHeight="1">
      <x:c r="A441" s="31" t="s">
        <x:v>2085</x:v>
      </x:c>
      <x:c r="B441" s="31" t="s">
        <x:v>2086</x:v>
      </x:c>
      <x:c r="C441" s="31" t="s">
        <x:v>1623</x:v>
      </x:c>
      <x:c r="D441" s="32" t="s">
        <x:v>2087</x:v>
      </x:c>
      <x:c r="E441" s="32" t="str">
        <x:v>Data Migration Only</x:v>
      </x:c>
      <x:c r="F441" s="33" t="s">
        <x:v>118</x:v>
      </x:c>
      <x:c r="G441" s="34" t="s">
        <x:v>1648</x:v>
      </x:c>
      <x:c r="H441" s="33" t="s">
        <x:v>87</x:v>
      </x:c>
      <x:c r="I441" s="33" t="s">
        <x:v>1626</x:v>
      </x:c>
      <x:c r="J441" s="33" t="s">
        <x:v>80</x:v>
      </x:c>
      <x:c r="K441" s="33" t="s">
        <x:v>62</x:v>
      </x:c>
      <x:c r="L441" s="33" t="s">
        <x:v>77</x:v>
      </x:c>
      <x:c r="M441" s="35">
        <x:v>55</x:v>
      </x:c>
      <x:c r="N441" s="35">
        <x:v>109915366</x:v>
      </x:c>
      <x:c r="O441" s="33" t="s">
        <x:v>101</x:v>
      </x:c>
      <x:c r="P441" s="33" t="s">
        <x:v>101</x:v>
      </x:c>
      <x:c r="Q441" s="33" t="s">
        <x:v>120</x:v>
      </x:c>
      <x:c r="R441" s="33" t="s">
        <x:v>98</x:v>
      </x:c>
      <x:c r="S441" s="31" t="s">
        <x:v>1885</x:v>
      </x:c>
      <x:c r="T441" s="31" t="s">
        <x:v>2088</x:v>
      </x:c>
      <x:c r="U441" s="31" t="s">
        <x:v>522</x:v>
      </x:c>
      <x:c r="V441" s="33" t="s">
        <x:v>323</x:v>
      </x:c>
      <x:c r="W441" s="33"/>
      <x:c r="X441" s="33" t="s">
        <x:v>238</x:v>
      </x:c>
      <x:c r="Y441" s="36"/>
      <x:c r="Z441" s="36"/>
      <x:c r="AA441" s="33" t="s">
        <x:v>120</x:v>
      </x:c>
      <x:c r="AB441" s="37" t="n">
        <x:f>IFERROR(INDEX(Effort_Model!$J$6:$J$33,MATCH(K441&amp;"|"&amp;L441,Effort_Model!$B$6:$B$33,0)),"")</x:f>
        <x:v>74.4</x:v>
      </x:c>
      <x:c r="AC441" s="38">
        <x:v>870.5</x:v>
      </x:c>
      <x:c r="AD441" s="37">
        <x:f t="shared" si="6"/>
        <x:v>1143.8333</x:v>
      </x:c>
      <x:c r="AE441" s="37" t="n">
        <x:f>IFERROR(ROUND(IFERROR(INDEX(Scoring_Rules!$C$43:$C$44,MATCH(Q441,Scoring_Rules!$B$43:$B$44,0)),0)*Scoring_Rules!$C$6+IFERROR(INDEX(Scoring_Rules!$C$34:$C$40,MATCH(K441,Scoring_Rules!$B$34:$B$40,0)),0)*Scoring_Rules!$C$7+IFERROR(INDEX(Scoring_Rules!$C$16:$C$19,MATCH(P441,Scoring_Rules!$B$16:$B$19,0)),0)*Scoring_Rules!$C$8+IFERROR(INDEX(Scoring_Rules!$C$22:$C$25,MATCH(O441,Scoring_Rules!$B$22:$B$25,0)),0)*Scoring_Rules!$C$9+IFERROR(INDEX(Scoring_Rules!$C$47:$C$50,MATCH(X441,Scoring_Rules!$B$47:$B$50,0)),0)*Scoring_Rules!$C$10+IFERROR(INDEX(Scoring_Rules!$C$28:$C$31,MATCH(R441,Scoring_Rules!$B$28:$B$31,0)),0)*Scoring_Rules!$C$11,1),"")</x:f>
        <x:v>43.3</x:v>
      </x:c>
      <x:c r="AF441" s="35">
        <x:v>8</x:v>
      </x:c>
      <x:c r="AG441" s="33" t="s">
        <x:v>1639</x:v>
      </x:c>
      <x:c r="AH441" s="36">
        <x:v>46396</x:v>
      </x:c>
      <x:c r="AI441" s="33" t="s">
        <x:v>126</x:v>
      </x:c>
      <x:c r="AJ441" s="34" t="s">
        <x:v>445</x:v>
      </x:c>
    </x:row>
    <x:row r="442" ht="15" customHeight="1">
      <x:c r="A442" s="31" t="s">
        <x:v>2089</x:v>
      </x:c>
      <x:c r="B442" s="31" t="s">
        <x:v>2090</x:v>
      </x:c>
      <x:c r="C442" s="31" t="s">
        <x:v>1623</x:v>
      </x:c>
      <x:c r="D442" s="32" t="s">
        <x:v>1718</x:v>
      </x:c>
      <x:c r="E442" s="32" t="str">
        <x:v>Functional Migration Only</x:v>
      </x:c>
      <x:c r="F442" s="33" t="s">
        <x:v>118</x:v>
      </x:c>
      <x:c r="G442" s="34" t="s">
        <x:v>1638</x:v>
      </x:c>
      <x:c r="H442" s="33" t="s">
        <x:v>87</x:v>
      </x:c>
      <x:c r="I442" s="33" t="s">
        <x:v>1626</x:v>
      </x:c>
      <x:c r="J442" s="33" t="s">
        <x:v>82</x:v>
      </x:c>
      <x:c r="K442" s="33" t="s">
        <x:v>62</x:v>
      </x:c>
      <x:c r="L442" s="33" t="s">
        <x:v>73</x:v>
      </x:c>
      <x:c r="M442" s="35">
        <x:v>55</x:v>
      </x:c>
      <x:c r="N442" s="35">
        <x:v>50360054</x:v>
      </x:c>
      <x:c r="O442" s="33" t="s">
        <x:v>73</x:v>
      </x:c>
      <x:c r="P442" s="33" t="s">
        <x:v>101</x:v>
      </x:c>
      <x:c r="Q442" s="33" t="s">
        <x:v>120</x:v>
      </x:c>
      <x:c r="R442" s="33" t="s">
        <x:v>98</x:v>
      </x:c>
      <x:c r="S442" s="31" t="s">
        <x:v>2091</x:v>
      </x:c>
      <x:c r="T442" s="31" t="s">
        <x:v>2092</x:v>
      </x:c>
      <x:c r="U442" s="31" t="s">
        <x:v>276</x:v>
      </x:c>
      <x:c r="V442" s="33" t="s">
        <x:v>379</x:v>
      </x:c>
      <x:c r="W442" s="33"/>
      <x:c r="X442" s="33" t="s">
        <x:v>238</x:v>
      </x:c>
      <x:c r="Y442" s="36"/>
      <x:c r="Z442" s="36"/>
      <x:c r="AA442" s="33" t="s">
        <x:v>120</x:v>
      </x:c>
      <x:c r="AB442" s="37" t="n">
        <x:f>IFERROR(INDEX(Effort_Model!$J$6:$J$33,MATCH(K442&amp;"|"&amp;L442,Effort_Model!$B$6:$B$33,0)),"")</x:f>
        <x:v>74.4</x:v>
      </x:c>
      <x:c r="AC442" s="38">
        <x:v>693.6</x:v>
      </x:c>
      <x:c r="AD442" s="37">
        <x:f t="shared" si="6"/>
        <x:v>834.6</x:v>
      </x:c>
      <x:c r="AE442" s="37" t="n">
        <x:f>IFERROR(ROUND(IFERROR(INDEX(Scoring_Rules!$C$43:$C$44,MATCH(Q442,Scoring_Rules!$B$43:$B$44,0)),0)*Scoring_Rules!$C$6+IFERROR(INDEX(Scoring_Rules!$C$34:$C$40,MATCH(K442,Scoring_Rules!$B$34:$B$40,0)),0)*Scoring_Rules!$C$7+IFERROR(INDEX(Scoring_Rules!$C$16:$C$19,MATCH(P442,Scoring_Rules!$B$16:$B$19,0)),0)*Scoring_Rules!$C$8+IFERROR(INDEX(Scoring_Rules!$C$22:$C$25,MATCH(O442,Scoring_Rules!$B$22:$B$25,0)),0)*Scoring_Rules!$C$9+IFERROR(INDEX(Scoring_Rules!$C$47:$C$50,MATCH(X442,Scoring_Rules!$B$47:$B$50,0)),0)*Scoring_Rules!$C$10+IFERROR(INDEX(Scoring_Rules!$C$28:$C$31,MATCH(R442,Scoring_Rules!$B$28:$B$31,0)),0)*Scoring_Rules!$C$11,1),"")</x:f>
        <x:v>48.5</x:v>
      </x:c>
      <x:c r="AF442" s="35">
        <x:v>4</x:v>
      </x:c>
      <x:c r="AG442" s="33" t="s">
        <x:v>1645</x:v>
      </x:c>
      <x:c r="AH442" s="36">
        <x:v>46328</x:v>
      </x:c>
      <x:c r="AI442" s="33" t="s">
        <x:v>127</x:v>
      </x:c>
      <x:c r="AJ442" s="34"/>
    </x:row>
    <x:row r="443" ht="15" customHeight="1">
      <x:c r="A443" s="31" t="s">
        <x:v>2093</x:v>
      </x:c>
      <x:c r="B443" s="31" t="s">
        <x:v>2094</x:v>
      </x:c>
      <x:c r="C443" s="31" t="s">
        <x:v>1623</x:v>
      </x:c>
      <x:c r="D443" s="32" t="s">
        <x:v>1637</x:v>
      </x:c>
      <x:c r="E443" s="32" t="str">
        <x:v>Functional Migration Only</x:v>
      </x:c>
      <x:c r="F443" s="33" t="s">
        <x:v>118</x:v>
      </x:c>
      <x:c r="G443" s="34" t="s">
        <x:v>1625</x:v>
      </x:c>
      <x:c r="H443" s="33" t="s">
        <x:v>87</x:v>
      </x:c>
      <x:c r="I443" s="33" t="s">
        <x:v>1626</x:v>
      </x:c>
      <x:c r="J443" s="33" t="s">
        <x:v>82</x:v>
      </x:c>
      <x:c r="K443" s="33" t="s">
        <x:v>60</x:v>
      </x:c>
      <x:c r="L443" s="33" t="s">
        <x:v>75</x:v>
      </x:c>
      <x:c r="M443" s="35">
        <x:v>38</x:v>
      </x:c>
      <x:c r="N443" s="35">
        <x:v>6708991</x:v>
      </x:c>
      <x:c r="O443" s="33" t="s">
        <x:v>101</x:v>
      </x:c>
      <x:c r="P443" s="33" t="s">
        <x:v>73</x:v>
      </x:c>
      <x:c r="Q443" s="33" t="s">
        <x:v>120</x:v>
      </x:c>
      <x:c r="R443" s="33" t="s">
        <x:v>101</x:v>
      </x:c>
      <x:c r="S443" s="31" t="s">
        <x:v>2095</x:v>
      </x:c>
      <x:c r="T443" s="31" t="s">
        <x:v>2096</x:v>
      </x:c>
      <x:c r="U443" s="31" t="s">
        <x:v>522</x:v>
      </x:c>
      <x:c r="V443" s="33" t="s">
        <x:v>289</x:v>
      </x:c>
      <x:c r="W443" s="33" t="s">
        <x:v>1922</x:v>
      </x:c>
      <x:c r="X443" s="33" t="s">
        <x:v>241</x:v>
      </x:c>
      <x:c r="Y443" s="36"/>
      <x:c r="Z443" s="36"/>
      <x:c r="AA443" s="33" t="s">
        <x:v>120</x:v>
      </x:c>
      <x:c r="AB443" s="37" t="n">
        <x:f>IFERROR(INDEX(Effort_Model!$J$6:$J$33,MATCH(K443&amp;"|"&amp;L443,Effort_Model!$B$6:$B$33,0)),"")</x:f>
        <x:v>42.4</x:v>
      </x:c>
      <x:c r="AC443" s="38">
        <x:v>516.20000000000005</x:v>
      </x:c>
      <x:c r="AD443" s="37">
        <x:f t="shared" si="6"/>
        <x:v>629.53330000000005</x:v>
      </x:c>
      <x:c r="AE443" s="37" t="n">
        <x:f>IFERROR(ROUND(IFERROR(INDEX(Scoring_Rules!$C$43:$C$44,MATCH(Q443,Scoring_Rules!$B$43:$B$44,0)),0)*Scoring_Rules!$C$6+IFERROR(INDEX(Scoring_Rules!$C$34:$C$40,MATCH(K443,Scoring_Rules!$B$34:$B$40,0)),0)*Scoring_Rules!$C$7+IFERROR(INDEX(Scoring_Rules!$C$16:$C$19,MATCH(P443,Scoring_Rules!$B$16:$B$19,0)),0)*Scoring_Rules!$C$8+IFERROR(INDEX(Scoring_Rules!$C$22:$C$25,MATCH(O443,Scoring_Rules!$B$22:$B$25,0)),0)*Scoring_Rules!$C$9+IFERROR(INDEX(Scoring_Rules!$C$47:$C$50,MATCH(X443,Scoring_Rules!$B$47:$B$50,0)),0)*Scoring_Rules!$C$10+IFERROR(INDEX(Scoring_Rules!$C$28:$C$31,MATCH(R443,Scoring_Rules!$B$28:$B$31,0)),0)*Scoring_Rules!$C$11,1),"")</x:f>
        <x:v>36</x:v>
      </x:c>
      <x:c r="AF443" s="35">
        <x:v>6</x:v>
      </x:c>
      <x:c r="AG443" s="33" t="s">
        <x:v>1629</x:v>
      </x:c>
      <x:c r="AH443" s="36">
        <x:v>46378</x:v>
      </x:c>
      <x:c r="AI443" s="33" t="s">
        <x:v>127</x:v>
      </x:c>
      <x:c r="AJ443" s="34" t="s">
        <x:v>395</x:v>
      </x:c>
    </x:row>
    <x:row r="444" ht="15" customHeight="1">
      <x:c r="A444" s="31" t="s">
        <x:v>2097</x:v>
      </x:c>
      <x:c r="B444" s="31" t="s">
        <x:v>2098</x:v>
      </x:c>
      <x:c r="C444" s="31" t="s">
        <x:v>1623</x:v>
      </x:c>
      <x:c r="D444" s="32" t="s">
        <x:v>1637</x:v>
      </x:c>
      <x:c r="E444" s="32" t="str">
        <x:v>Data Migration Only</x:v>
      </x:c>
      <x:c r="F444" s="33" t="s">
        <x:v>118</x:v>
      </x:c>
      <x:c r="G444" s="34" t="s">
        <x:v>1924</x:v>
      </x:c>
      <x:c r="H444" s="33" t="s">
        <x:v>89</x:v>
      </x:c>
      <x:c r="I444" s="33" t="s">
        <x:v>1626</x:v>
      </x:c>
      <x:c r="J444" s="33" t="s">
        <x:v>80</x:v>
      </x:c>
      <x:c r="K444" s="33" t="s">
        <x:v>62</x:v>
      </x:c>
      <x:c r="L444" s="33" t="s">
        <x:v>71</x:v>
      </x:c>
      <x:c r="M444" s="35">
        <x:v>61</x:v>
      </x:c>
      <x:c r="N444" s="35">
        <x:v>71927959</x:v>
      </x:c>
      <x:c r="O444" s="33" t="s">
        <x:v>73</x:v>
      </x:c>
      <x:c r="P444" s="33" t="s">
        <x:v>101</x:v>
      </x:c>
      <x:c r="Q444" s="33" t="s">
        <x:v>120</x:v>
      </x:c>
      <x:c r="R444" s="33" t="s">
        <x:v>73</x:v>
      </x:c>
      <x:c r="S444" s="31" t="s">
        <x:v>2095</x:v>
      </x:c>
      <x:c r="T444" s="31" t="s">
        <x:v>2096</x:v>
      </x:c>
      <x:c r="U444" s="31" t="s">
        <x:v>522</x:v>
      </x:c>
      <x:c r="V444" s="33" t="s">
        <x:v>365</x:v>
      </x:c>
      <x:c r="W444" s="33"/>
      <x:c r="X444" s="33" t="s">
        <x:v>238</x:v>
      </x:c>
      <x:c r="Y444" s="36">
        <x:v>46677</x:v>
      </x:c>
      <x:c r="Z444" s="36"/>
      <x:c r="AA444" s="33" t="s">
        <x:v>120</x:v>
      </x:c>
      <x:c r="AB444" s="37" t="n">
        <x:f>IFERROR(INDEX(Effort_Model!$J$6:$J$33,MATCH(K444&amp;"|"&amp;L444,Effort_Model!$B$6:$B$33,0)),"")</x:f>
        <x:v>18.4</x:v>
      </x:c>
      <x:c r="AC444" s="38">
        <x:v>376.4</x:v>
      </x:c>
      <x:c r="AD444" s="37">
        <x:f t="shared" si="6"/>
        <x:v>450.79999999999995</x:v>
      </x:c>
      <x:c r="AE444" s="37" t="n">
        <x:f>IFERROR(ROUND(IFERROR(INDEX(Scoring_Rules!$C$43:$C$44,MATCH(Q444,Scoring_Rules!$B$43:$B$44,0)),0)*Scoring_Rules!$C$6+IFERROR(INDEX(Scoring_Rules!$C$34:$C$40,MATCH(K444,Scoring_Rules!$B$34:$B$40,0)),0)*Scoring_Rules!$C$7+IFERROR(INDEX(Scoring_Rules!$C$16:$C$19,MATCH(P444,Scoring_Rules!$B$16:$B$19,0)),0)*Scoring_Rules!$C$8+IFERROR(INDEX(Scoring_Rules!$C$22:$C$25,MATCH(O444,Scoring_Rules!$B$22:$B$25,0)),0)*Scoring_Rules!$C$9+IFERROR(INDEX(Scoring_Rules!$C$47:$C$50,MATCH(X444,Scoring_Rules!$B$47:$B$50,0)),0)*Scoring_Rules!$C$10+IFERROR(INDEX(Scoring_Rules!$C$28:$C$31,MATCH(R444,Scoring_Rules!$B$28:$B$31,0)),0)*Scoring_Rules!$C$11,1),"")</x:f>
        <x:v>47</x:v>
      </x:c>
      <x:c r="AF444" s="35"/>
      <x:c r="AG444" s="33" t="s">
        <x:v>1634</x:v>
      </x:c>
      <x:c r="AH444" s="36">
        <x:v>46380</x:v>
      </x:c>
      <x:c r="AI444" s="33" t="s">
        <x:v>126</x:v>
      </x:c>
      <x:c r="AJ444" s="34" t="s">
        <x:v>395</x:v>
      </x:c>
    </x:row>
    <x:row r="445" ht="15" customHeight="1">
      <x:c r="A445" s="31" t="s">
        <x:v>2099</x:v>
      </x:c>
      <x:c r="B445" s="31" t="s">
        <x:v>2100</x:v>
      </x:c>
      <x:c r="C445" s="31" t="s">
        <x:v>1623</x:v>
      </x:c>
      <x:c r="D445" s="32" t="s">
        <x:v>1686</x:v>
      </x:c>
      <x:c r="E445" s="32" t="str">
        <x:v>Functional Migration Only</x:v>
      </x:c>
      <x:c r="F445" s="33" t="s">
        <x:v>118</x:v>
      </x:c>
      <x:c r="G445" s="34" t="s">
        <x:v>1655</x:v>
      </x:c>
      <x:c r="H445" s="33" t="s">
        <x:v>87</x:v>
      </x:c>
      <x:c r="I445" s="33" t="s">
        <x:v>1626</x:v>
      </x:c>
      <x:c r="J445" s="33" t="s">
        <x:v>82</x:v>
      </x:c>
      <x:c r="K445" s="33" t="s">
        <x:v>64</x:v>
      </x:c>
      <x:c r="L445" s="33" t="s">
        <x:v>73</x:v>
      </x:c>
      <x:c r="M445" s="35">
        <x:v>109</x:v>
      </x:c>
      <x:c r="N445" s="35">
        <x:v>703918632</x:v>
      </x:c>
      <x:c r="O445" s="33" t="s">
        <x:v>101</x:v>
      </x:c>
      <x:c r="P445" s="33" t="s">
        <x:v>73</x:v>
      </x:c>
      <x:c r="Q445" s="33" t="s">
        <x:v>120</x:v>
      </x:c>
      <x:c r="R445" s="33" t="s">
        <x:v>101</x:v>
      </x:c>
      <x:c r="S445" s="31" t="s">
        <x:v>2101</x:v>
      </x:c>
      <x:c r="T445" s="31" t="s">
        <x:v>2102</x:v>
      </x:c>
      <x:c r="U445" s="31" t="s">
        <x:v>276</x:v>
      </x:c>
      <x:c r="V445" s="33" t="s">
        <x:v>379</x:v>
      </x:c>
      <x:c r="W445" s="33" t="s">
        <x:v>1873</x:v>
      </x:c>
      <x:c r="X445" s="33" t="s">
        <x:v>240</x:v>
      </x:c>
      <x:c r="Y445" s="36"/>
      <x:c r="Z445" s="36"/>
      <x:c r="AA445" s="33" t="s">
        <x:v>120</x:v>
      </x:c>
      <x:c r="AB445" s="37" t="n">
        <x:f>IFERROR(INDEX(Effort_Model!$J$6:$J$33,MATCH(K445&amp;"|"&amp;L445,Effort_Model!$B$6:$B$33,0)),"")</x:f>
        <x:v>106.4</x:v>
      </x:c>
      <x:c r="AC445" s="38">
        <x:v>1206.8</x:v>
      </x:c>
      <x:c r="AD445" s="37">
        <x:f t="shared" si="6"/>
        <x:v>1411.8</x:v>
      </x:c>
      <x:c r="AE445" s="37" t="n">
        <x:f>IFERROR(ROUND(IFERROR(INDEX(Scoring_Rules!$C$43:$C$44,MATCH(Q445,Scoring_Rules!$B$43:$B$44,0)),0)*Scoring_Rules!$C$6+IFERROR(INDEX(Scoring_Rules!$C$34:$C$40,MATCH(K445,Scoring_Rules!$B$34:$B$40,0)),0)*Scoring_Rules!$C$7+IFERROR(INDEX(Scoring_Rules!$C$16:$C$19,MATCH(P445,Scoring_Rules!$B$16:$B$19,0)),0)*Scoring_Rules!$C$8+IFERROR(INDEX(Scoring_Rules!$C$22:$C$25,MATCH(O445,Scoring_Rules!$B$22:$B$25,0)),0)*Scoring_Rules!$C$9+IFERROR(INDEX(Scoring_Rules!$C$47:$C$50,MATCH(X445,Scoring_Rules!$B$47:$B$50,0)),0)*Scoring_Rules!$C$10+IFERROR(INDEX(Scoring_Rules!$C$28:$C$31,MATCH(R445,Scoring_Rules!$B$28:$B$31,0)),0)*Scoring_Rules!$C$11,1),"")</x:f>
        <x:v>32.5</x:v>
      </x:c>
      <x:c r="AF445" s="35">
        <x:v>5</x:v>
      </x:c>
      <x:c r="AG445" s="33" t="s">
        <x:v>1639</x:v>
      </x:c>
      <x:c r="AH445" s="36">
        <x:v>46382</x:v>
      </x:c>
      <x:c r="AI445" s="33" t="s">
        <x:v>127</x:v>
      </x:c>
      <x:c r="AJ445" s="34" t="s">
        <x:v>354</x:v>
      </x:c>
    </x:row>
    <x:row r="446" ht="15" customHeight="1">
      <x:c r="A446" s="31" t="s">
        <x:v>2103</x:v>
      </x:c>
      <x:c r="B446" s="31" t="s">
        <x:v>2104</x:v>
      </x:c>
      <x:c r="C446" s="31" t="s">
        <x:v>1623</x:v>
      </x:c>
      <x:c r="D446" s="32" t="s">
        <x:v>1024</x:v>
      </x:c>
      <x:c r="E446" s="32" t="str">
        <x:v>Data Migration Only</x:v>
      </x:c>
      <x:c r="F446" s="33" t="s">
        <x:v>118</x:v>
      </x:c>
      <x:c r="G446" s="34" t="s">
        <x:v>1655</x:v>
      </x:c>
      <x:c r="H446" s="33" t="s">
        <x:v>87</x:v>
      </x:c>
      <x:c r="I446" s="33" t="s">
        <x:v>1626</x:v>
      </x:c>
      <x:c r="J446" s="33" t="s">
        <x:v>80</x:v>
      </x:c>
      <x:c r="K446" s="33" t="s">
        <x:v>60</x:v>
      </x:c>
      <x:c r="L446" s="33" t="s">
        <x:v>73</x:v>
      </x:c>
      <x:c r="M446" s="35">
        <x:v>42</x:v>
      </x:c>
      <x:c r="N446" s="35">
        <x:v>5749467</x:v>
      </x:c>
      <x:c r="O446" s="33" t="s">
        <x:v>101</x:v>
      </x:c>
      <x:c r="P446" s="33" t="s">
        <x:v>73</x:v>
      </x:c>
      <x:c r="Q446" s="33" t="s">
        <x:v>118</x:v>
      </x:c>
      <x:c r="R446" s="33" t="s">
        <x:v>101</x:v>
      </x:c>
      <x:c r="S446" s="31" t="s">
        <x:v>2105</x:v>
      </x:c>
      <x:c r="T446" s="31" t="s">
        <x:v>2106</x:v>
      </x:c>
      <x:c r="U446" s="31" t="s">
        <x:v>276</x:v>
      </x:c>
      <x:c r="V446" s="33" t="s">
        <x:v>323</x:v>
      </x:c>
      <x:c r="W446" s="33" t="s">
        <x:v>2107</x:v>
      </x:c>
      <x:c r="X446" s="33" t="s">
        <x:v>240</x:v>
      </x:c>
      <x:c r="Y446" s="36">
        <x:v>46302</x:v>
      </x:c>
      <x:c r="Z446" s="36"/>
      <x:c r="AA446" s="33" t="s">
        <x:v>120</x:v>
      </x:c>
      <x:c r="AB446" s="37" t="n">
        <x:f>IFERROR(INDEX(Effort_Model!$J$6:$J$33,MATCH(K446&amp;"|"&amp;L446,Effort_Model!$B$6:$B$33,0)),"")</x:f>
        <x:v>42.4</x:v>
      </x:c>
      <x:c r="AC446" s="38">
        <x:v>265.39999999999998</x:v>
      </x:c>
      <x:c r="AD446" s="37">
        <x:f t="shared" si="6"/>
        <x:v>342.4</x:v>
      </x:c>
      <x:c r="AE446" s="37" t="n">
        <x:f>IFERROR(ROUND(IFERROR(INDEX(Scoring_Rules!$C$43:$C$44,MATCH(Q446,Scoring_Rules!$B$43:$B$44,0)),0)*Scoring_Rules!$C$6+IFERROR(INDEX(Scoring_Rules!$C$34:$C$40,MATCH(K446,Scoring_Rules!$B$34:$B$40,0)),0)*Scoring_Rules!$C$7+IFERROR(INDEX(Scoring_Rules!$C$16:$C$19,MATCH(P446,Scoring_Rules!$B$16:$B$19,0)),0)*Scoring_Rules!$C$8+IFERROR(INDEX(Scoring_Rules!$C$22:$C$25,MATCH(O446,Scoring_Rules!$B$22:$B$25,0)),0)*Scoring_Rules!$C$9+IFERROR(INDEX(Scoring_Rules!$C$47:$C$50,MATCH(X446,Scoring_Rules!$B$47:$B$50,0)),0)*Scoring_Rules!$C$10+IFERROR(INDEX(Scoring_Rules!$C$28:$C$31,MATCH(R446,Scoring_Rules!$B$28:$B$31,0)),0)*Scoring_Rules!$C$11,1),"")</x:f>
        <x:v>65.5</x:v>
      </x:c>
      <x:c r="AF446" s="35">
        <x:v>2</x:v>
      </x:c>
      <x:c r="AG446" s="33" t="s">
        <x:v>1645</x:v>
      </x:c>
      <x:c r="AH446" s="36">
        <x:v>46331</x:v>
      </x:c>
      <x:c r="AI446" s="33" t="s">
        <x:v>125</x:v>
      </x:c>
      <x:c r="AJ446" s="34"/>
    </x:row>
    <x:row r="447" ht="23.25" customHeight="1">
      <x:c r="A447" s="31" t="s">
        <x:v>2108</x:v>
      </x:c>
      <x:c r="B447" s="31" t="s">
        <x:v>2109</x:v>
      </x:c>
      <x:c r="C447" s="31" t="s">
        <x:v>1623</x:v>
      </x:c>
      <x:c r="D447" s="32" t="s">
        <x:v>1642</x:v>
      </x:c>
      <x:c r="E447" s="32" t="str">
        <x:v>Functional Migration Only</x:v>
      </x:c>
      <x:c r="F447" s="33" t="s">
        <x:v>118</x:v>
      </x:c>
      <x:c r="G447" s="34" t="s">
        <x:v>1625</x:v>
      </x:c>
      <x:c r="H447" s="33" t="s">
        <x:v>87</x:v>
      </x:c>
      <x:c r="I447" s="33" t="s">
        <x:v>1626</x:v>
      </x:c>
      <x:c r="J447" s="33" t="s">
        <x:v>82</x:v>
      </x:c>
      <x:c r="K447" s="33" t="s">
        <x:v>58</x:v>
      </x:c>
      <x:c r="L447" s="33" t="s">
        <x:v>75</x:v>
      </x:c>
      <x:c r="M447" s="35">
        <x:v>10</x:v>
      </x:c>
      <x:c r="N447" s="35">
        <x:v>1292400</x:v>
      </x:c>
      <x:c r="O447" s="33" t="s">
        <x:v>101</x:v>
      </x:c>
      <x:c r="P447" s="33" t="s">
        <x:v>101</x:v>
      </x:c>
      <x:c r="Q447" s="33" t="s">
        <x:v>120</x:v>
      </x:c>
      <x:c r="R447" s="33" t="s">
        <x:v>101</x:v>
      </x:c>
      <x:c r="S447" s="31" t="s">
        <x:v>2110</x:v>
      </x:c>
      <x:c r="T447" s="31" t="s">
        <x:v>2111</x:v>
      </x:c>
      <x:c r="U447" s="31" t="s">
        <x:v>276</x:v>
      </x:c>
      <x:c r="V447" s="33" t="s">
        <x:v>277</x:v>
      </x:c>
      <x:c r="W447" s="33" t="s">
        <x:v>2112</x:v>
      </x:c>
      <x:c r="X447" s="33" t="s">
        <x:v>240</x:v>
      </x:c>
      <x:c r="Y447" s="36"/>
      <x:c r="Z447" s="36"/>
      <x:c r="AA447" s="33" t="s">
        <x:v>120</x:v>
      </x:c>
      <x:c r="AB447" s="37" t="n">
        <x:f>IFERROR(INDEX(Effort_Model!$J$6:$J$33,MATCH(K447&amp;"|"&amp;L447,Effort_Model!$B$6:$B$33,0)),"")</x:f>
        <x:v>26.4</x:v>
      </x:c>
      <x:c r="AC447" s="38">
        <x:v>299.10000000000002</x:v>
      </x:c>
      <x:c r="AD447" s="37">
        <x:f t="shared" si="6"/>
        <x:v>364.43330000000003</x:v>
      </x:c>
      <x:c r="AE447" s="37" t="n">
        <x:f>IFERROR(ROUND(IFERROR(INDEX(Scoring_Rules!$C$43:$C$44,MATCH(Q447,Scoring_Rules!$B$43:$B$44,0)),0)*Scoring_Rules!$C$6+IFERROR(INDEX(Scoring_Rules!$C$34:$C$40,MATCH(K447,Scoring_Rules!$B$34:$B$40,0)),0)*Scoring_Rules!$C$7+IFERROR(INDEX(Scoring_Rules!$C$16:$C$19,MATCH(P447,Scoring_Rules!$B$16:$B$19,0)),0)*Scoring_Rules!$C$8+IFERROR(INDEX(Scoring_Rules!$C$22:$C$25,MATCH(O447,Scoring_Rules!$B$22:$B$25,0)),0)*Scoring_Rules!$C$9+IFERROR(INDEX(Scoring_Rules!$C$47:$C$50,MATCH(X447,Scoring_Rules!$B$47:$B$50,0)),0)*Scoring_Rules!$C$10+IFERROR(INDEX(Scoring_Rules!$C$28:$C$31,MATCH(R447,Scoring_Rules!$B$28:$B$31,0)),0)*Scoring_Rules!$C$11,1),"")</x:f>
        <x:v>36.5</x:v>
      </x:c>
      <x:c r="AF447" s="35">
        <x:v>6</x:v>
      </x:c>
      <x:c r="AG447" s="33" t="s">
        <x:v>1629</x:v>
      </x:c>
      <x:c r="AH447" s="36">
        <x:v>46302</x:v>
      </x:c>
      <x:c r="AI447" s="33" t="s">
        <x:v>125</x:v>
      </x:c>
      <x:c r="AJ447" s="34" t="s">
        <x:v>383</x:v>
      </x:c>
    </x:row>
    <x:row r="448" ht="23.25" customHeight="1">
      <x:c r="A448" s="31" t="s">
        <x:v>2113</x:v>
      </x:c>
      <x:c r="B448" s="31" t="s">
        <x:v>2114</x:v>
      </x:c>
      <x:c r="C448" s="31" t="s">
        <x:v>1623</x:v>
      </x:c>
      <x:c r="D448" s="32" t="s">
        <x:v>2115</x:v>
      </x:c>
      <x:c r="E448" s="32" t="str">
        <x:v>Data Migration Only</x:v>
      </x:c>
      <x:c r="F448" s="33" t="s">
        <x:v>118</x:v>
      </x:c>
      <x:c r="G448" s="34" t="s">
        <x:v>1655</x:v>
      </x:c>
      <x:c r="H448" s="33" t="s">
        <x:v>87</x:v>
      </x:c>
      <x:c r="I448" s="33" t="s">
        <x:v>1626</x:v>
      </x:c>
      <x:c r="J448" s="33" t="s">
        <x:v>80</x:v>
      </x:c>
      <x:c r="K448" s="33" t="s">
        <x:v>62</x:v>
      </x:c>
      <x:c r="L448" s="33" t="s">
        <x:v>71</x:v>
      </x:c>
      <x:c r="M448" s="35">
        <x:v>63</x:v>
      </x:c>
      <x:c r="N448" s="35">
        <x:v>64183502</x:v>
      </x:c>
      <x:c r="O448" s="33" t="s">
        <x:v>101</x:v>
      </x:c>
      <x:c r="P448" s="33" t="s">
        <x:v>98</x:v>
      </x:c>
      <x:c r="Q448" s="33" t="s">
        <x:v>120</x:v>
      </x:c>
      <x:c r="R448" s="33" t="s">
        <x:v>101</x:v>
      </x:c>
      <x:c r="S448" s="31" t="s">
        <x:v>2116</x:v>
      </x:c>
      <x:c r="T448" s="31" t="s">
        <x:v>2117</x:v>
      </x:c>
      <x:c r="U448" s="31" t="s">
        <x:v>276</x:v>
      </x:c>
      <x:c r="V448" s="33" t="s">
        <x:v>303</x:v>
      </x:c>
      <x:c r="W448" s="33"/>
      <x:c r="X448" s="33" t="s">
        <x:v>238</x:v>
      </x:c>
      <x:c r="Y448" s="36"/>
      <x:c r="Z448" s="36"/>
      <x:c r="AA448" s="33" t="s">
        <x:v>120</x:v>
      </x:c>
      <x:c r="AB448" s="37" t="n">
        <x:f>IFERROR(INDEX(Effort_Model!$J$6:$J$33,MATCH(K448&amp;"|"&amp;L448,Effort_Model!$B$6:$B$33,0)),"")</x:f>
        <x:v>18.4</x:v>
      </x:c>
      <x:c r="AC448" s="38">
        <x:v>308.39999999999998</x:v>
      </x:c>
      <x:c r="AD448" s="37">
        <x:f t="shared" si="6"/>
        <x:v>382.79999999999995</x:v>
      </x:c>
      <x:c r="AE448" s="37" t="n">
        <x:f>IFERROR(ROUND(IFERROR(INDEX(Scoring_Rules!$C$43:$C$44,MATCH(Q448,Scoring_Rules!$B$43:$B$44,0)),0)*Scoring_Rules!$C$6+IFERROR(INDEX(Scoring_Rules!$C$34:$C$40,MATCH(K448,Scoring_Rules!$B$34:$B$40,0)),0)*Scoring_Rules!$C$7+IFERROR(INDEX(Scoring_Rules!$C$16:$C$19,MATCH(P448,Scoring_Rules!$B$16:$B$19,0)),0)*Scoring_Rules!$C$8+IFERROR(INDEX(Scoring_Rules!$C$22:$C$25,MATCH(O448,Scoring_Rules!$B$22:$B$25,0)),0)*Scoring_Rules!$C$9+IFERROR(INDEX(Scoring_Rules!$C$47:$C$50,MATCH(X448,Scoring_Rules!$B$47:$B$50,0)),0)*Scoring_Rules!$C$10+IFERROR(INDEX(Scoring_Rules!$C$28:$C$31,MATCH(R448,Scoring_Rules!$B$28:$B$31,0)),0)*Scoring_Rules!$C$11,1),"")</x:f>
        <x:v>53</x:v>
      </x:c>
      <x:c r="AF448" s="35">
        <x:v>2</x:v>
      </x:c>
      <x:c r="AG448" s="33" t="s">
        <x:v>1634</x:v>
      </x:c>
      <x:c r="AH448" s="36">
        <x:v>46314</x:v>
      </x:c>
      <x:c r="AI448" s="33" t="s">
        <x:v>127</x:v>
      </x:c>
      <x:c r="AJ448" s="34" t="s">
        <x:v>336</x:v>
      </x:c>
    </x:row>
    <x:row r="449" ht="57" customHeight="1">
      <x:c r="A449" s="31" t="s">
        <x:v>2118</x:v>
      </x:c>
      <x:c r="B449" s="31" t="s">
        <x:v>2119</x:v>
      </x:c>
      <x:c r="C449" s="31" t="s">
        <x:v>1623</x:v>
      </x:c>
      <x:c r="D449" s="32" t="s">
        <x:v>2120</x:v>
      </x:c>
      <x:c r="E449" s="32" t="str">
        <x:v>Data Migration Only</x:v>
      </x:c>
      <x:c r="F449" s="33" t="s">
        <x:v>118</x:v>
      </x:c>
      <x:c r="G449" s="34" t="s">
        <x:v>1625</x:v>
      </x:c>
      <x:c r="H449" s="33" t="s">
        <x:v>87</x:v>
      </x:c>
      <x:c r="I449" s="33" t="s">
        <x:v>1626</x:v>
      </x:c>
      <x:c r="J449" s="33" t="s">
        <x:v>80</x:v>
      </x:c>
      <x:c r="K449" s="33" t="s">
        <x:v>60</x:v>
      </x:c>
      <x:c r="L449" s="33" t="s">
        <x:v>75</x:v>
      </x:c>
      <x:c r="M449" s="35">
        <x:v>33</x:v>
      </x:c>
      <x:c r="N449" s="35">
        <x:v>4441974</x:v>
      </x:c>
      <x:c r="O449" s="33" t="s">
        <x:v>73</x:v>
      </x:c>
      <x:c r="P449" s="33" t="s">
        <x:v>73</x:v>
      </x:c>
      <x:c r="Q449" s="33" t="s">
        <x:v>120</x:v>
      </x:c>
      <x:c r="R449" s="33" t="s">
        <x:v>98</x:v>
      </x:c>
      <x:c r="S449" s="31" t="s">
        <x:v>2121</x:v>
      </x:c>
      <x:c r="T449" s="31" t="s">
        <x:v>2122</x:v>
      </x:c>
      <x:c r="U449" s="31" t="s">
        <x:v>522</x:v>
      </x:c>
      <x:c r="V449" s="33" t="s">
        <x:v>303</x:v>
      </x:c>
      <x:c r="W449" s="33" t="s">
        <x:v>1922</x:v>
      </x:c>
      <x:c r="X449" s="33" t="s">
        <x:v>241</x:v>
      </x:c>
      <x:c r="Y449" s="36"/>
      <x:c r="Z449" s="36"/>
      <x:c r="AA449" s="33" t="s">
        <x:v>120</x:v>
      </x:c>
      <x:c r="AB449" s="37" t="n">
        <x:f>IFERROR(INDEX(Effort_Model!$J$6:$J$33,MATCH(K449&amp;"|"&amp;L449,Effort_Model!$B$6:$B$33,0)),"")</x:f>
        <x:v>42.4</x:v>
      </x:c>
      <x:c r="AC449" s="38">
        <x:v>341.9</x:v>
      </x:c>
      <x:c r="AD449" s="37">
        <x:f t="shared" si="6"/>
        <x:v>455.23329999999999</x:v>
      </x:c>
      <x:c r="AE449" s="37" t="n">
        <x:f>IFERROR(ROUND(IFERROR(INDEX(Scoring_Rules!$C$43:$C$44,MATCH(Q449,Scoring_Rules!$B$43:$B$44,0)),0)*Scoring_Rules!$C$6+IFERROR(INDEX(Scoring_Rules!$C$34:$C$40,MATCH(K449,Scoring_Rules!$B$34:$B$40,0)),0)*Scoring_Rules!$C$7+IFERROR(INDEX(Scoring_Rules!$C$16:$C$19,MATCH(P449,Scoring_Rules!$B$16:$B$19,0)),0)*Scoring_Rules!$C$8+IFERROR(INDEX(Scoring_Rules!$C$22:$C$25,MATCH(O449,Scoring_Rules!$B$22:$B$25,0)),0)*Scoring_Rules!$C$9+IFERROR(INDEX(Scoring_Rules!$C$47:$C$50,MATCH(X449,Scoring_Rules!$B$47:$B$50,0)),0)*Scoring_Rules!$C$10+IFERROR(INDEX(Scoring_Rules!$C$28:$C$31,MATCH(R449,Scoring_Rules!$B$28:$B$31,0)),0)*Scoring_Rules!$C$11,1),"")</x:f>
        <x:v>44.5</x:v>
      </x:c>
      <x:c r="AF449" s="35">
        <x:v>5</x:v>
      </x:c>
      <x:c r="AG449" s="33" t="s">
        <x:v>1639</x:v>
      </x:c>
      <x:c r="AH449" s="36">
        <x:v>46333</x:v>
      </x:c>
      <x:c r="AI449" s="33" t="s">
        <x:v>125</x:v>
      </x:c>
      <x:c r="AJ449" s="34"/>
    </x:row>
    <x:row r="450" ht="23.25" customHeight="1">
      <x:c r="A450" s="31" t="s">
        <x:v>2123</x:v>
      </x:c>
      <x:c r="B450" s="31" t="s">
        <x:v>2124</x:v>
      </x:c>
      <x:c r="C450" s="31" t="s">
        <x:v>1623</x:v>
      </x:c>
      <x:c r="D450" s="32" t="s">
        <x:v>1669</x:v>
      </x:c>
      <x:c r="E450" s="32" t="str">
        <x:v>Functional Migration Only</x:v>
      </x:c>
      <x:c r="F450" s="33" t="s">
        <x:v>118</x:v>
      </x:c>
      <x:c r="G450" s="34" t="s">
        <x:v>1648</x:v>
      </x:c>
      <x:c r="H450" s="33" t="s">
        <x:v>87</x:v>
      </x:c>
      <x:c r="I450" s="33" t="s">
        <x:v>1626</x:v>
      </x:c>
      <x:c r="J450" s="33" t="s">
        <x:v>82</x:v>
      </x:c>
      <x:c r="K450" s="33" t="s">
        <x:v>64</x:v>
      </x:c>
      <x:c r="L450" s="33" t="s">
        <x:v>77</x:v>
      </x:c>
      <x:c r="M450" s="35">
        <x:v>93</x:v>
      </x:c>
      <x:c r="N450" s="35">
        <x:v>820256003</x:v>
      </x:c>
      <x:c r="O450" s="33" t="s">
        <x:v>73</x:v>
      </x:c>
      <x:c r="P450" s="33" t="s">
        <x:v>101</x:v>
      </x:c>
      <x:c r="Q450" s="33" t="s">
        <x:v>120</x:v>
      </x:c>
      <x:c r="R450" s="33" t="s">
        <x:v>101</x:v>
      </x:c>
      <x:c r="S450" s="31" t="s">
        <x:v>2125</x:v>
      </x:c>
      <x:c r="T450" s="31" t="s">
        <x:v>2126</x:v>
      </x:c>
      <x:c r="U450" s="31" t="s">
        <x:v>522</x:v>
      </x:c>
      <x:c r="V450" s="33" t="s">
        <x:v>289</x:v>
      </x:c>
      <x:c r="W450" s="33"/>
      <x:c r="X450" s="33" t="s">
        <x:v>238</x:v>
      </x:c>
      <x:c r="Y450" s="36">
        <x:v>46361</x:v>
      </x:c>
      <x:c r="Z450" s="36"/>
      <x:c r="AA450" s="33" t="s">
        <x:v>120</x:v>
      </x:c>
      <x:c r="AB450" s="37" t="n">
        <x:f>IFERROR(INDEX(Effort_Model!$J$6:$J$33,MATCH(K450&amp;"|"&amp;L450,Effort_Model!$B$6:$B$33,0)),"")</x:f>
        <x:v>106.4</x:v>
      </x:c>
      <x:c r="AC450" s="38">
        <x:v>2003.9</x:v>
      </x:c>
      <x:c r="AD450" s="37" t="n">
        <x:f t="shared" ref="AD450:AD513" si="7">IFERROR(AB450+N(AC450),"")</x:f>
        <x:v>2110.3</x:v>
      </x:c>
      <x:c r="AE450" s="37" t="n">
        <x:f>IFERROR(ROUND(IFERROR(INDEX(Scoring_Rules!$C$43:$C$44,MATCH(Q450,Scoring_Rules!$B$43:$B$44,0)),0)*Scoring_Rules!$C$6+IFERROR(INDEX(Scoring_Rules!$C$34:$C$40,MATCH(K450,Scoring_Rules!$B$34:$B$40,0)),0)*Scoring_Rules!$C$7+IFERROR(INDEX(Scoring_Rules!$C$16:$C$19,MATCH(P450,Scoring_Rules!$B$16:$B$19,0)),0)*Scoring_Rules!$C$8+IFERROR(INDEX(Scoring_Rules!$C$22:$C$25,MATCH(O450,Scoring_Rules!$B$22:$B$25,0)),0)*Scoring_Rules!$C$9+IFERROR(INDEX(Scoring_Rules!$C$47:$C$50,MATCH(X450,Scoring_Rules!$B$47:$B$50,0)),0)*Scoring_Rules!$C$10+IFERROR(INDEX(Scoring_Rules!$C$28:$C$31,MATCH(R450,Scoring_Rules!$B$28:$B$31,0)),0)*Scoring_Rules!$C$11,1),"")</x:f>
        <x:v>41.3</x:v>
      </x:c>
      <x:c r="AF450" s="35">
        <x:v>7</x:v>
      </x:c>
      <x:c r="AG450" s="33" t="s">
        <x:v>1645</x:v>
      </x:c>
      <x:c r="AH450" s="36">
        <x:v>46354</x:v>
      </x:c>
      <x:c r="AI450" s="33" t="s">
        <x:v>126</x:v>
      </x:c>
      <x:c r="AJ450" s="34"/>
    </x:row>
    <x:row r="451" ht="15" customHeight="1">
      <x:c r="A451" s="31" t="s">
        <x:v>2127</x:v>
      </x:c>
      <x:c r="B451" s="31" t="s">
        <x:v>2128</x:v>
      </x:c>
      <x:c r="C451" s="31" t="s">
        <x:v>1623</x:v>
      </x:c>
      <x:c r="D451" s="32" t="s">
        <x:v>1024</x:v>
      </x:c>
      <x:c r="E451" s="32" t="str">
        <x:v>Data Migration Only</x:v>
      </x:c>
      <x:c r="F451" s="33" t="s">
        <x:v>118</x:v>
      </x:c>
      <x:c r="G451" s="34" t="s">
        <x:v>1625</x:v>
      </x:c>
      <x:c r="H451" s="33" t="s">
        <x:v>87</x:v>
      </x:c>
      <x:c r="I451" s="33" t="s">
        <x:v>1626</x:v>
      </x:c>
      <x:c r="J451" s="33" t="s">
        <x:v>80</x:v>
      </x:c>
      <x:c r="K451" s="33" t="s">
        <x:v>62</x:v>
      </x:c>
      <x:c r="L451" s="33" t="s">
        <x:v>75</x:v>
      </x:c>
      <x:c r="M451" s="35">
        <x:v>54</x:v>
      </x:c>
      <x:c r="N451" s="35">
        <x:v>130214092</x:v>
      </x:c>
      <x:c r="O451" s="33" t="s">
        <x:v>101</x:v>
      </x:c>
      <x:c r="P451" s="33" t="s">
        <x:v>101</x:v>
      </x:c>
      <x:c r="Q451" s="33" t="s">
        <x:v>120</x:v>
      </x:c>
      <x:c r="R451" s="33" t="s">
        <x:v>101</x:v>
      </x:c>
      <x:c r="S451" s="31" t="s">
        <x:v>2129</x:v>
      </x:c>
      <x:c r="T451" s="31" t="s">
        <x:v>2130</x:v>
      </x:c>
      <x:c r="U451" s="31" t="s">
        <x:v>522</x:v>
      </x:c>
      <x:c r="V451" s="33" t="s">
        <x:v>289</x:v>
      </x:c>
      <x:c r="W451" s="33"/>
      <x:c r="X451" s="33" t="s">
        <x:v>238</x:v>
      </x:c>
      <x:c r="Y451" s="36"/>
      <x:c r="Z451" s="36"/>
      <x:c r="AA451" s="33" t="s">
        <x:v>120</x:v>
      </x:c>
      <x:c r="AB451" s="37" t="n">
        <x:f>IFERROR(INDEX(Effort_Model!$J$6:$J$33,MATCH(K451&amp;"|"&amp;L451,Effort_Model!$B$6:$B$33,0)),"")</x:f>
        <x:v>74.4</x:v>
      </x:c>
      <x:c r="AC451" s="38">
        <x:v>623.4</x:v>
      </x:c>
      <x:c r="AD451" s="37">
        <x:f t="shared" si="7"/>
        <x:v>832.73329999999999</x:v>
      </x:c>
      <x:c r="AE451" s="37" t="n">
        <x:f>IFERROR(ROUND(IFERROR(INDEX(Scoring_Rules!$C$43:$C$44,MATCH(Q451,Scoring_Rules!$B$43:$B$44,0)),0)*Scoring_Rules!$C$6+IFERROR(INDEX(Scoring_Rules!$C$34:$C$40,MATCH(K451,Scoring_Rules!$B$34:$B$40,0)),0)*Scoring_Rules!$C$7+IFERROR(INDEX(Scoring_Rules!$C$16:$C$19,MATCH(P451,Scoring_Rules!$B$16:$B$19,0)),0)*Scoring_Rules!$C$8+IFERROR(INDEX(Scoring_Rules!$C$22:$C$25,MATCH(O451,Scoring_Rules!$B$22:$B$25,0)),0)*Scoring_Rules!$C$9+IFERROR(INDEX(Scoring_Rules!$C$47:$C$50,MATCH(X451,Scoring_Rules!$B$47:$B$50,0)),0)*Scoring_Rules!$C$10+IFERROR(INDEX(Scoring_Rules!$C$28:$C$31,MATCH(R451,Scoring_Rules!$B$28:$B$31,0)),0)*Scoring_Rules!$C$11,1),"")</x:f>
        <x:v>40</x:v>
      </x:c>
      <x:c r="AF451" s="35">
        <x:v>7</x:v>
      </x:c>
      <x:c r="AG451" s="33" t="s">
        <x:v>1629</x:v>
      </x:c>
      <x:c r="AH451" s="36">
        <x:v>46395</x:v>
      </x:c>
      <x:c r="AI451" s="33" t="s">
        <x:v>127</x:v>
      </x:c>
      <x:c r="AJ451" s="34" t="s">
        <x:v>383</x:v>
      </x:c>
    </x:row>
    <x:row r="452" ht="15" customHeight="1">
      <x:c r="A452" s="31" t="s">
        <x:v>2131</x:v>
      </x:c>
      <x:c r="B452" s="31" t="s">
        <x:v>2132</x:v>
      </x:c>
      <x:c r="C452" s="31" t="s">
        <x:v>1623</x:v>
      </x:c>
      <x:c r="D452" s="32" t="s">
        <x:v>1024</x:v>
      </x:c>
      <x:c r="E452" s="32" t="str">
        <x:v>Data Migration Only</x:v>
      </x:c>
      <x:c r="F452" s="33" t="s">
        <x:v>120</x:v>
      </x:c>
      <x:c r="G452" s="34" t="s">
        <x:v>1638</x:v>
      </x:c>
      <x:c r="H452" s="33" t="s">
        <x:v>87</x:v>
      </x:c>
      <x:c r="I452" s="33" t="s">
        <x:v>1626</x:v>
      </x:c>
      <x:c r="J452" s="33" t="s">
        <x:v>80</x:v>
      </x:c>
      <x:c r="K452" s="33" t="s">
        <x:v>60</x:v>
      </x:c>
      <x:c r="L452" s="33" t="s">
        <x:v>71</x:v>
      </x:c>
      <x:c r="M452" s="35">
        <x:v>30</x:v>
      </x:c>
      <x:c r="N452" s="35">
        <x:v>4449593</x:v>
      </x:c>
      <x:c r="O452" s="33" t="s">
        <x:v>73</x:v>
      </x:c>
      <x:c r="P452" s="33" t="s">
        <x:v>101</x:v>
      </x:c>
      <x:c r="Q452" s="33" t="s">
        <x:v>120</x:v>
      </x:c>
      <x:c r="R452" s="33" t="s">
        <x:v>73</x:v>
      </x:c>
      <x:c r="S452" s="31" t="s">
        <x:v>1885</x:v>
      </x:c>
      <x:c r="T452" s="31" t="s">
        <x:v>1886</x:v>
      </x:c>
      <x:c r="U452" s="31" t="s">
        <x:v>471</x:v>
      </x:c>
      <x:c r="V452" s="33" t="s">
        <x:v>365</x:v>
      </x:c>
      <x:c r="W452" s="33"/>
      <x:c r="X452" s="33" t="s">
        <x:v>238</x:v>
      </x:c>
      <x:c r="Y452" s="36"/>
      <x:c r="Z452" s="36"/>
      <x:c r="AA452" s="33" t="s">
        <x:v>120</x:v>
      </x:c>
      <x:c r="AB452" s="37" t="n">
        <x:f>IFERROR(INDEX(Effort_Model!$J$6:$J$33,MATCH(K452&amp;"|"&amp;L452,Effort_Model!$B$6:$B$33,0)),"")</x:f>
        <x:v>18.4</x:v>
      </x:c>
      <x:c r="AC452" s="38">
        <x:v>192.3</x:v>
      </x:c>
      <x:c r="AD452" s="37">
        <x:f t="shared" si="7"/>
        <x:v>234.70000000000002</x:v>
      </x:c>
      <x:c r="AE452" s="37" t="n">
        <x:f>IFERROR(ROUND(IFERROR(INDEX(Scoring_Rules!$C$43:$C$44,MATCH(Q452,Scoring_Rules!$B$43:$B$44,0)),0)*Scoring_Rules!$C$6+IFERROR(INDEX(Scoring_Rules!$C$34:$C$40,MATCH(K452,Scoring_Rules!$B$34:$B$40,0)),0)*Scoring_Rules!$C$7+IFERROR(INDEX(Scoring_Rules!$C$16:$C$19,MATCH(P452,Scoring_Rules!$B$16:$B$19,0)),0)*Scoring_Rules!$C$8+IFERROR(INDEX(Scoring_Rules!$C$22:$C$25,MATCH(O452,Scoring_Rules!$B$22:$B$25,0)),0)*Scoring_Rules!$C$9+IFERROR(INDEX(Scoring_Rules!$C$47:$C$50,MATCH(X452,Scoring_Rules!$B$47:$B$50,0)),0)*Scoring_Rules!$C$10+IFERROR(INDEX(Scoring_Rules!$C$28:$C$31,MATCH(R452,Scoring_Rules!$B$28:$B$31,0)),0)*Scoring_Rules!$C$11,1),"")</x:f>
        <x:v>51</x:v>
      </x:c>
      <x:c r="AF452" s="35">
        <x:v>3</x:v>
      </x:c>
      <x:c r="AG452" s="33" t="s">
        <x:v>1634</x:v>
      </x:c>
      <x:c r="AH452" s="36">
        <x:v>46353</x:v>
      </x:c>
      <x:c r="AI452" s="33" t="s">
        <x:v>127</x:v>
      </x:c>
      <x:c r="AJ452" s="34" t="s">
        <x:v>342</x:v>
      </x:c>
    </x:row>
    <x:row r="453" ht="23.25" customHeight="1">
      <x:c r="A453" s="31" t="s">
        <x:v>2133</x:v>
      </x:c>
      <x:c r="B453" s="31" t="s">
        <x:v>2134</x:v>
      </x:c>
      <x:c r="C453" s="31" t="s">
        <x:v>1623</x:v>
      </x:c>
      <x:c r="D453" s="32" t="s">
        <x:v>1079</x:v>
      </x:c>
      <x:c r="E453" s="32" t="str">
        <x:v>Functional Migration Only</x:v>
      </x:c>
      <x:c r="F453" s="33" t="s">
        <x:v>118</x:v>
      </x:c>
      <x:c r="G453" s="34" t="s">
        <x:v>1638</x:v>
      </x:c>
      <x:c r="H453" s="33" t="s">
        <x:v>87</x:v>
      </x:c>
      <x:c r="I453" s="33" t="s">
        <x:v>1626</x:v>
      </x:c>
      <x:c r="J453" s="33" t="s">
        <x:v>82</x:v>
      </x:c>
      <x:c r="K453" s="33" t="s">
        <x:v>58</x:v>
      </x:c>
      <x:c r="L453" s="33" t="s">
        <x:v>73</x:v>
      </x:c>
      <x:c r="M453" s="35">
        <x:v>14</x:v>
      </x:c>
      <x:c r="N453" s="35">
        <x:v>877460</x:v>
      </x:c>
      <x:c r="O453" s="33" t="s">
        <x:v>101</x:v>
      </x:c>
      <x:c r="P453" s="33" t="s">
        <x:v>73</x:v>
      </x:c>
      <x:c r="Q453" s="33" t="s">
        <x:v>118</x:v>
      </x:c>
      <x:c r="R453" s="33" t="s">
        <x:v>101</x:v>
      </x:c>
      <x:c r="S453" s="31" t="s">
        <x:v>1784</x:v>
      </x:c>
      <x:c r="T453" s="31" t="s">
        <x:v>1785</x:v>
      </x:c>
      <x:c r="U453" s="31" t="s">
        <x:v>522</x:v>
      </x:c>
      <x:c r="V453" s="33" t="s">
        <x:v>451</x:v>
      </x:c>
      <x:c r="W453" s="33"/>
      <x:c r="X453" s="33" t="s">
        <x:v>238</x:v>
      </x:c>
      <x:c r="Y453" s="36"/>
      <x:c r="Z453" s="36">
        <x:v>46646</x:v>
      </x:c>
      <x:c r="AA453" s="33" t="s">
        <x:v>120</x:v>
      </x:c>
      <x:c r="AB453" s="37" t="n">
        <x:f>IFERROR(INDEX(Effort_Model!$J$6:$J$33,MATCH(K453&amp;"|"&amp;L453,Effort_Model!$B$6:$B$33,0)),"")</x:f>
        <x:v>26.4</x:v>
      </x:c>
      <x:c r="AC453" s="38">
        <x:v>209.8</x:v>
      </x:c>
      <x:c r="AD453" s="37">
        <x:f t="shared" si="7"/>
        <x:v>254.8</x:v>
      </x:c>
      <x:c r="AE453" s="37" t="n">
        <x:f>IFERROR(ROUND(IFERROR(INDEX(Scoring_Rules!$C$43:$C$44,MATCH(Q453,Scoring_Rules!$B$43:$B$44,0)),0)*Scoring_Rules!$C$6+IFERROR(INDEX(Scoring_Rules!$C$34:$C$40,MATCH(K453,Scoring_Rules!$B$34:$B$40,0)),0)*Scoring_Rules!$C$7+IFERROR(INDEX(Scoring_Rules!$C$16:$C$19,MATCH(P453,Scoring_Rules!$B$16:$B$19,0)),0)*Scoring_Rules!$C$8+IFERROR(INDEX(Scoring_Rules!$C$22:$C$25,MATCH(O453,Scoring_Rules!$B$22:$B$25,0)),0)*Scoring_Rules!$C$9+IFERROR(INDEX(Scoring_Rules!$C$47:$C$50,MATCH(X453,Scoring_Rules!$B$47:$B$50,0)),0)*Scoring_Rules!$C$10+IFERROR(INDEX(Scoring_Rules!$C$28:$C$31,MATCH(R453,Scoring_Rules!$B$28:$B$31,0)),0)*Scoring_Rules!$C$11,1),"")</x:f>
        <x:v>79</x:v>
      </x:c>
      <x:c r="AF453" s="35">
        <x:v>1</x:v>
      </x:c>
      <x:c r="AG453" s="33" t="s">
        <x:v>1639</x:v>
      </x:c>
      <x:c r="AH453" s="36">
        <x:v>46353</x:v>
      </x:c>
      <x:c r="AI453" s="33" t="s">
        <x:v>127</x:v>
      </x:c>
      <x:c r="AJ453" s="34" t="s">
        <x:v>336</x:v>
      </x:c>
    </x:row>
    <x:row r="454" ht="23.25" customHeight="1">
      <x:c r="A454" s="31" t="s">
        <x:v>2135</x:v>
      </x:c>
      <x:c r="B454" s="31" t="s">
        <x:v>2136</x:v>
      </x:c>
      <x:c r="C454" s="31" t="s">
        <x:v>1623</x:v>
      </x:c>
      <x:c r="D454" s="32" t="s">
        <x:v>1642</x:v>
      </x:c>
      <x:c r="E454" s="32" t="str">
        <x:v>Data Migration Only</x:v>
      </x:c>
      <x:c r="F454" s="33" t="s">
        <x:v>118</x:v>
      </x:c>
      <x:c r="G454" s="34" t="s">
        <x:v>1655</x:v>
      </x:c>
      <x:c r="H454" s="33" t="s">
        <x:v>87</x:v>
      </x:c>
      <x:c r="I454" s="33" t="s">
        <x:v>1626</x:v>
      </x:c>
      <x:c r="J454" s="33" t="s">
        <x:v>80</x:v>
      </x:c>
      <x:c r="K454" s="33" t="s">
        <x:v>62</x:v>
      </x:c>
      <x:c r="L454" s="33" t="s">
        <x:v>73</x:v>
      </x:c>
      <x:c r="M454" s="35">
        <x:v>66</x:v>
      </x:c>
      <x:c r="N454" s="35">
        <x:v>119856392</x:v>
      </x:c>
      <x:c r="O454" s="33" t="s">
        <x:v>101</x:v>
      </x:c>
      <x:c r="P454" s="33" t="s">
        <x:v>101</x:v>
      </x:c>
      <x:c r="Q454" s="33" t="s">
        <x:v>120</x:v>
      </x:c>
      <x:c r="R454" s="33" t="s">
        <x:v>73</x:v>
      </x:c>
      <x:c r="S454" s="31" t="s">
        <x:v>1256</x:v>
      </x:c>
      <x:c r="T454" s="31" t="s">
        <x:v>1257</x:v>
      </x:c>
      <x:c r="U454" s="31" t="s">
        <x:v>522</x:v>
      </x:c>
      <x:c r="V454" s="33" t="s">
        <x:v>303</x:v>
      </x:c>
      <x:c r="W454" s="33" t="s">
        <x:v>2137</x:v>
      </x:c>
      <x:c r="X454" s="33" t="s">
        <x:v>239</x:v>
      </x:c>
      <x:c r="Y454" s="36"/>
      <x:c r="Z454" s="36"/>
      <x:c r="AA454" s="33" t="s">
        <x:v>118</x:v>
      </x:c>
      <x:c r="AB454" s="37" t="n">
        <x:f>IFERROR(INDEX(Effort_Model!$J$6:$J$33,MATCH(K454&amp;"|"&amp;L454,Effort_Model!$B$6:$B$33,0)),"")</x:f>
        <x:v>74.4</x:v>
      </x:c>
      <x:c r="AC454" s="38">
        <x:v>500.4</x:v>
      </x:c>
      <x:c r="AD454" s="37">
        <x:f t="shared" si="7"/>
        <x:v>641.4</x:v>
      </x:c>
      <x:c r="AE454" s="37" t="n">
        <x:f>IFERROR(ROUND(IFERROR(INDEX(Scoring_Rules!$C$43:$C$44,MATCH(Q454,Scoring_Rules!$B$43:$B$44,0)),0)*Scoring_Rules!$C$6+IFERROR(INDEX(Scoring_Rules!$C$34:$C$40,MATCH(K454,Scoring_Rules!$B$34:$B$40,0)),0)*Scoring_Rules!$C$7+IFERROR(INDEX(Scoring_Rules!$C$16:$C$19,MATCH(P454,Scoring_Rules!$B$16:$B$19,0)),0)*Scoring_Rules!$C$8+IFERROR(INDEX(Scoring_Rules!$C$22:$C$25,MATCH(O454,Scoring_Rules!$B$22:$B$25,0)),0)*Scoring_Rules!$C$9+IFERROR(INDEX(Scoring_Rules!$C$47:$C$50,MATCH(X454,Scoring_Rules!$B$47:$B$50,0)),0)*Scoring_Rules!$C$10+IFERROR(INDEX(Scoring_Rules!$C$28:$C$31,MATCH(R454,Scoring_Rules!$B$28:$B$31,0)),0)*Scoring_Rules!$C$11,1),"")</x:f>
        <x:v>37.3</x:v>
      </x:c>
      <x:c r="AF454" s="35"/>
      <x:c r="AG454" s="33" t="s">
        <x:v>1645</x:v>
      </x:c>
      <x:c r="AH454" s="36">
        <x:v>46406</x:v>
      </x:c>
      <x:c r="AI454" s="33" t="s">
        <x:v>127</x:v>
      </x:c>
      <x:c r="AJ454" s="34" t="s">
        <x:v>395</x:v>
      </x:c>
    </x:row>
    <x:row r="455" ht="79.5" customHeight="1">
      <x:c r="A455" s="31" t="s">
        <x:v>2138</x:v>
      </x:c>
      <x:c r="B455" s="31" t="s">
        <x:v>2139</x:v>
      </x:c>
      <x:c r="C455" s="31" t="s">
        <x:v>1623</x:v>
      </x:c>
      <x:c r="D455" s="32" t="s">
        <x:v>2140</x:v>
      </x:c>
      <x:c r="E455" s="32" t="str">
        <x:v>Data Migration Only</x:v>
      </x:c>
      <x:c r="F455" s="33" t="s">
        <x:v>118</x:v>
      </x:c>
      <x:c r="G455" s="34" t="s">
        <x:v>1648</x:v>
      </x:c>
      <x:c r="H455" s="33" t="s">
        <x:v>87</x:v>
      </x:c>
      <x:c r="I455" s="33" t="s">
        <x:v>1626</x:v>
      </x:c>
      <x:c r="J455" s="33" t="s">
        <x:v>80</x:v>
      </x:c>
      <x:c r="K455" s="33" t="s">
        <x:v>64</x:v>
      </x:c>
      <x:c r="L455" s="33" t="s">
        <x:v>73</x:v>
      </x:c>
      <x:c r="M455" s="35">
        <x:v>95</x:v>
      </x:c>
      <x:c r="N455" s="35">
        <x:v>771827608</x:v>
      </x:c>
      <x:c r="O455" s="33" t="s">
        <x:v>101</x:v>
      </x:c>
      <x:c r="P455" s="33" t="s">
        <x:v>101</x:v>
      </x:c>
      <x:c r="Q455" s="33" t="s">
        <x:v>120</x:v>
      </x:c>
      <x:c r="R455" s="33" t="s">
        <x:v>115</x:v>
      </x:c>
      <x:c r="S455" s="31" t="s">
        <x:v>2141</x:v>
      </x:c>
      <x:c r="T455" s="31" t="s">
        <x:v>2142</x:v>
      </x:c>
      <x:c r="U455" s="31" t="s">
        <x:v>522</x:v>
      </x:c>
      <x:c r="V455" s="33" t="s">
        <x:v>277</x:v>
      </x:c>
      <x:c r="W455" s="33"/>
      <x:c r="X455" s="33" t="s">
        <x:v>238</x:v>
      </x:c>
      <x:c r="Y455" s="36"/>
      <x:c r="Z455" s="36"/>
      <x:c r="AA455" s="33" t="s">
        <x:v>120</x:v>
      </x:c>
      <x:c r="AB455" s="37" t="n">
        <x:f>IFERROR(INDEX(Effort_Model!$J$6:$J$33,MATCH(K455&amp;"|"&amp;L455,Effort_Model!$B$6:$B$33,0)),"")</x:f>
        <x:v>106.4</x:v>
      </x:c>
      <x:c r="AC455" s="38">
        <x:v>679.3</x:v>
      </x:c>
      <x:c r="AD455" s="37">
        <x:f t="shared" si="7"/>
        <x:v>884.3</x:v>
      </x:c>
      <x:c r="AE455" s="37" t="n">
        <x:f>IFERROR(ROUND(IFERROR(INDEX(Scoring_Rules!$C$43:$C$44,MATCH(Q455,Scoring_Rules!$B$43:$B$44,0)),0)*Scoring_Rules!$C$6+IFERROR(INDEX(Scoring_Rules!$C$34:$C$40,MATCH(K455,Scoring_Rules!$B$34:$B$40,0)),0)*Scoring_Rules!$C$7+IFERROR(INDEX(Scoring_Rules!$C$16:$C$19,MATCH(P455,Scoring_Rules!$B$16:$B$19,0)),0)*Scoring_Rules!$C$8+IFERROR(INDEX(Scoring_Rules!$C$22:$C$25,MATCH(O455,Scoring_Rules!$B$22:$B$25,0)),0)*Scoring_Rules!$C$9+IFERROR(INDEX(Scoring_Rules!$C$47:$C$50,MATCH(X455,Scoring_Rules!$B$47:$B$50,0)),0)*Scoring_Rules!$C$10+IFERROR(INDEX(Scoring_Rules!$C$28:$C$31,MATCH(R455,Scoring_Rules!$B$28:$B$31,0)),0)*Scoring_Rules!$C$11,1),"")</x:f>
        <x:v>34.3</x:v>
      </x:c>
      <x:c r="AF455" s="35">
        <x:v>6</x:v>
      </x:c>
      <x:c r="AG455" s="33" t="s">
        <x:v>1629</x:v>
      </x:c>
      <x:c r="AH455" s="36">
        <x:v>46361</x:v>
      </x:c>
      <x:c r="AI455" s="33" t="s">
        <x:v>127</x:v>
      </x:c>
      <x:c r="AJ455" s="34" t="s">
        <x:v>312</x:v>
      </x:c>
    </x:row>
    <x:row r="456" ht="23.25" customHeight="1">
      <x:c r="A456" s="31" t="s">
        <x:v>2143</x:v>
      </x:c>
      <x:c r="B456" s="31" t="s">
        <x:v>2144</x:v>
      </x:c>
      <x:c r="C456" s="31" t="s">
        <x:v>1623</x:v>
      </x:c>
      <x:c r="D456" s="32" t="s">
        <x:v>2145</x:v>
      </x:c>
      <x:c r="E456" s="32" t="str">
        <x:v>Data Migration Only</x:v>
      </x:c>
      <x:c r="F456" s="33" t="s">
        <x:v>120</x:v>
      </x:c>
      <x:c r="G456" s="34" t="s">
        <x:v>1625</x:v>
      </x:c>
      <x:c r="H456" s="33" t="s">
        <x:v>87</x:v>
      </x:c>
      <x:c r="I456" s="33" t="s">
        <x:v>1626</x:v>
      </x:c>
      <x:c r="J456" s="33" t="s">
        <x:v>80</x:v>
      </x:c>
      <x:c r="K456" s="33" t="s">
        <x:v>64</x:v>
      </x:c>
      <x:c r="L456" s="33" t="s">
        <x:v>73</x:v>
      </x:c>
      <x:c r="M456" s="35">
        <x:v>122</x:v>
      </x:c>
      <x:c r="N456" s="35">
        <x:v>1146647195</x:v>
      </x:c>
      <x:c r="O456" s="33" t="s">
        <x:v>103</x:v>
      </x:c>
      <x:c r="P456" s="33" t="s">
        <x:v>73</x:v>
      </x:c>
      <x:c r="Q456" s="33" t="s">
        <x:v>120</x:v>
      </x:c>
      <x:c r="R456" s="33" t="s">
        <x:v>73</x:v>
      </x:c>
      <x:c r="S456" s="31" t="s">
        <x:v>1759</x:v>
      </x:c>
      <x:c r="T456" s="31" t="s">
        <x:v>2146</x:v>
      </x:c>
      <x:c r="U456" s="31" t="s">
        <x:v>522</x:v>
      </x:c>
      <x:c r="V456" s="33" t="s">
        <x:v>277</x:v>
      </x:c>
      <x:c r="W456" s="33" t="s">
        <x:v>1701</x:v>
      </x:c>
      <x:c r="X456" s="33" t="s">
        <x:v>239</x:v>
      </x:c>
      <x:c r="Y456" s="36"/>
      <x:c r="Z456" s="36"/>
      <x:c r="AA456" s="33" t="s">
        <x:v>118</x:v>
      </x:c>
      <x:c r="AB456" s="37" t="n">
        <x:f>IFERROR(INDEX(Effort_Model!$J$6:$J$33,MATCH(K456&amp;"|"&amp;L456,Effort_Model!$B$6:$B$33,0)),"")</x:f>
        <x:v>106.4</x:v>
      </x:c>
      <x:c r="AC456" s="38">
        <x:v>701.9</x:v>
      </x:c>
      <x:c r="AD456" s="37">
        <x:f t="shared" si="7"/>
        <x:v>906.9</x:v>
      </x:c>
      <x:c r="AE456" s="37" t="n">
        <x:f>IFERROR(ROUND(IFERROR(INDEX(Scoring_Rules!$C$43:$C$44,MATCH(Q456,Scoring_Rules!$B$43:$B$44,0)),0)*Scoring_Rules!$C$6+IFERROR(INDEX(Scoring_Rules!$C$34:$C$40,MATCH(K456,Scoring_Rules!$B$34:$B$40,0)),0)*Scoring_Rules!$C$7+IFERROR(INDEX(Scoring_Rules!$C$16:$C$19,MATCH(P456,Scoring_Rules!$B$16:$B$19,0)),0)*Scoring_Rules!$C$8+IFERROR(INDEX(Scoring_Rules!$C$22:$C$25,MATCH(O456,Scoring_Rules!$B$22:$B$25,0)),0)*Scoring_Rules!$C$9+IFERROR(INDEX(Scoring_Rules!$C$47:$C$50,MATCH(X456,Scoring_Rules!$B$47:$B$50,0)),0)*Scoring_Rules!$C$10+IFERROR(INDEX(Scoring_Rules!$C$28:$C$31,MATCH(R456,Scoring_Rules!$B$28:$B$31,0)),0)*Scoring_Rules!$C$11,1),"")</x:f>
        <x:v>35</x:v>
      </x:c>
      <x:c r="AF456" s="35"/>
      <x:c r="AG456" s="33" t="s">
        <x:v>1634</x:v>
      </x:c>
      <x:c r="AH456" s="36">
        <x:v>46330</x:v>
      </x:c>
      <x:c r="AI456" s="33" t="s">
        <x:v>127</x:v>
      </x:c>
      <x:c r="AJ456" s="34" t="s">
        <x:v>354</x:v>
      </x:c>
    </x:row>
    <x:row r="457" ht="23.25" customHeight="1">
      <x:c r="A457" s="31" t="s">
        <x:v>2147</x:v>
      </x:c>
      <x:c r="B457" s="31" t="s">
        <x:v>2148</x:v>
      </x:c>
      <x:c r="C457" s="31" t="s">
        <x:v>1623</x:v>
      </x:c>
      <x:c r="D457" s="32" t="s">
        <x:v>2149</x:v>
      </x:c>
      <x:c r="E457" s="32" t="str">
        <x:v>Data Migration Only</x:v>
      </x:c>
      <x:c r="F457" s="33" t="s">
        <x:v>118</x:v>
      </x:c>
      <x:c r="G457" s="34" t="s">
        <x:v>1648</x:v>
      </x:c>
      <x:c r="H457" s="33" t="s">
        <x:v>87</x:v>
      </x:c>
      <x:c r="I457" s="33" t="s">
        <x:v>1626</x:v>
      </x:c>
      <x:c r="J457" s="33" t="s">
        <x:v>80</x:v>
      </x:c>
      <x:c r="K457" s="33" t="s">
        <x:v>62</x:v>
      </x:c>
      <x:c r="L457" s="33" t="s">
        <x:v>75</x:v>
      </x:c>
      <x:c r="M457" s="35">
        <x:v>51</x:v>
      </x:c>
      <x:c r="N457" s="35">
        <x:v>54804890</x:v>
      </x:c>
      <x:c r="O457" s="33" t="s">
        <x:v>103</x:v>
      </x:c>
      <x:c r="P457" s="33" t="s">
        <x:v>101</x:v>
      </x:c>
      <x:c r="Q457" s="33" t="s">
        <x:v>120</x:v>
      </x:c>
      <x:c r="R457" s="33" t="s">
        <x:v>115</x:v>
      </x:c>
      <x:c r="S457" s="31" t="s">
        <x:v>1545</x:v>
      </x:c>
      <x:c r="T457" s="31" t="s">
        <x:v>2150</x:v>
      </x:c>
      <x:c r="U457" s="31" t="s">
        <x:v>276</x:v>
      </x:c>
      <x:c r="V457" s="33" t="s">
        <x:v>379</x:v>
      </x:c>
      <x:c r="W457" s="33" t="s">
        <x:v>1971</x:v>
      </x:c>
      <x:c r="X457" s="33" t="s">
        <x:v>240</x:v>
      </x:c>
      <x:c r="Y457" s="36">
        <x:v>46504</x:v>
      </x:c>
      <x:c r="Z457" s="36"/>
      <x:c r="AA457" s="33" t="s">
        <x:v>120</x:v>
      </x:c>
      <x:c r="AB457" s="37" t="n">
        <x:f>IFERROR(INDEX(Effort_Model!$J$6:$J$33,MATCH(K457&amp;"|"&amp;L457,Effort_Model!$B$6:$B$33,0)),"")</x:f>
        <x:v>74.4</x:v>
      </x:c>
      <x:c r="AC457" s="38">
        <x:v>612.5</x:v>
      </x:c>
      <x:c r="AD457" s="37">
        <x:f t="shared" si="7"/>
        <x:v>821.83330000000001</x:v>
      </x:c>
      <x:c r="AE457" s="37" t="n">
        <x:f>IFERROR(ROUND(IFERROR(INDEX(Scoring_Rules!$C$43:$C$44,MATCH(Q457,Scoring_Rules!$B$43:$B$44,0)),0)*Scoring_Rules!$C$6+IFERROR(INDEX(Scoring_Rules!$C$34:$C$40,MATCH(K457,Scoring_Rules!$B$34:$B$40,0)),0)*Scoring_Rules!$C$7+IFERROR(INDEX(Scoring_Rules!$C$16:$C$19,MATCH(P457,Scoring_Rules!$B$16:$B$19,0)),0)*Scoring_Rules!$C$8+IFERROR(INDEX(Scoring_Rules!$C$22:$C$25,MATCH(O457,Scoring_Rules!$B$22:$B$25,0)),0)*Scoring_Rules!$C$9+IFERROR(INDEX(Scoring_Rules!$C$47:$C$50,MATCH(X457,Scoring_Rules!$B$47:$B$50,0)),0)*Scoring_Rules!$C$10+IFERROR(INDEX(Scoring_Rules!$C$28:$C$31,MATCH(R457,Scoring_Rules!$B$28:$B$31,0)),0)*Scoring_Rules!$C$11,1),"")</x:f>
        <x:v>22.5</x:v>
      </x:c>
      <x:c r="AF457" s="35">
        <x:v>7</x:v>
      </x:c>
      <x:c r="AG457" s="33" t="s">
        <x:v>1639</x:v>
      </x:c>
      <x:c r="AH457" s="36">
        <x:v>46399</x:v>
      </x:c>
      <x:c r="AI457" s="33" t="s">
        <x:v>127</x:v>
      </x:c>
      <x:c r="AJ457" s="34" t="s">
        <x:v>354</x:v>
      </x:c>
    </x:row>
    <x:row r="458" ht="15" customHeight="1">
      <x:c r="A458" s="31" t="s">
        <x:v>2151</x:v>
      </x:c>
      <x:c r="B458" s="31" t="s">
        <x:v>2152</x:v>
      </x:c>
      <x:c r="C458" s="31" t="s">
        <x:v>1623</x:v>
      </x:c>
      <x:c r="D458" s="32" t="s">
        <x:v>1624</x:v>
      </x:c>
      <x:c r="E458" s="32" t="str">
        <x:v>Functional Migration Only</x:v>
      </x:c>
      <x:c r="F458" s="33" t="s">
        <x:v>118</x:v>
      </x:c>
      <x:c r="G458" s="34" t="s">
        <x:v>1655</x:v>
      </x:c>
      <x:c r="H458" s="33" t="s">
        <x:v>87</x:v>
      </x:c>
      <x:c r="I458" s="33" t="s">
        <x:v>1626</x:v>
      </x:c>
      <x:c r="J458" s="33" t="s">
        <x:v>82</x:v>
      </x:c>
      <x:c r="K458" s="33" t="s">
        <x:v>62</x:v>
      </x:c>
      <x:c r="L458" s="33" t="s">
        <x:v>77</x:v>
      </x:c>
      <x:c r="M458" s="35">
        <x:v>51</x:v>
      </x:c>
      <x:c r="N458" s="35">
        <x:v>79011938</x:v>
      </x:c>
      <x:c r="O458" s="33" t="s">
        <x:v>101</x:v>
      </x:c>
      <x:c r="P458" s="33" t="s">
        <x:v>73</x:v>
      </x:c>
      <x:c r="Q458" s="33" t="s">
        <x:v>120</x:v>
      </x:c>
      <x:c r="R458" s="33" t="s">
        <x:v>115</x:v>
      </x:c>
      <x:c r="S458" s="31" t="s">
        <x:v>1903</x:v>
      </x:c>
      <x:c r="T458" s="31" t="s">
        <x:v>2153</x:v>
      </x:c>
      <x:c r="U458" s="31" t="s">
        <x:v>276</x:v>
      </x:c>
      <x:c r="V458" s="33" t="s">
        <x:v>365</x:v>
      </x:c>
      <x:c r="W458" s="33"/>
      <x:c r="X458" s="33" t="s">
        <x:v>238</x:v>
      </x:c>
      <x:c r="Y458" s="36"/>
      <x:c r="Z458" s="36"/>
      <x:c r="AA458" s="33" t="s">
        <x:v>120</x:v>
      </x:c>
      <x:c r="AB458" s="37" t="n">
        <x:f>IFERROR(INDEX(Effort_Model!$J$6:$J$33,MATCH(K458&amp;"|"&amp;L458,Effort_Model!$B$6:$B$33,0)),"")</x:f>
        <x:v>74.4</x:v>
      </x:c>
      <x:c r="AC458" s="38">
        <x:v>1390.4</x:v>
      </x:c>
      <x:c r="AD458" s="37">
        <x:f t="shared" si="7"/>
        <x:v>1663.7333000000001</x:v>
      </x:c>
      <x:c r="AE458" s="37" t="n">
        <x:f>IFERROR(ROUND(IFERROR(INDEX(Scoring_Rules!$C$43:$C$44,MATCH(Q458,Scoring_Rules!$B$43:$B$44,0)),0)*Scoring_Rules!$C$6+IFERROR(INDEX(Scoring_Rules!$C$34:$C$40,MATCH(K458,Scoring_Rules!$B$34:$B$40,0)),0)*Scoring_Rules!$C$7+IFERROR(INDEX(Scoring_Rules!$C$16:$C$19,MATCH(P458,Scoring_Rules!$B$16:$B$19,0)),0)*Scoring_Rules!$C$8+IFERROR(INDEX(Scoring_Rules!$C$22:$C$25,MATCH(O458,Scoring_Rules!$B$22:$B$25,0)),0)*Scoring_Rules!$C$9+IFERROR(INDEX(Scoring_Rules!$C$47:$C$50,MATCH(X458,Scoring_Rules!$B$47:$B$50,0)),0)*Scoring_Rules!$C$10+IFERROR(INDEX(Scoring_Rules!$C$28:$C$31,MATCH(R458,Scoring_Rules!$B$28:$B$31,0)),0)*Scoring_Rules!$C$11,1),"")</x:f>
        <x:v>45.3</x:v>
      </x:c>
      <x:c r="AF458" s="35">
        <x:v>7</x:v>
      </x:c>
      <x:c r="AG458" s="33" t="s">
        <x:v>1645</x:v>
      </x:c>
      <x:c r="AH458" s="36">
        <x:v>46393</x:v>
      </x:c>
      <x:c r="AI458" s="33" t="s">
        <x:v>126</x:v>
      </x:c>
      <x:c r="AJ458" s="34" t="s">
        <x:v>445</x:v>
      </x:c>
    </x:row>
    <x:row r="459" ht="15" customHeight="1">
      <x:c r="A459" s="31" t="s">
        <x:v>2154</x:v>
      </x:c>
      <x:c r="B459" s="31" t="s">
        <x:v>2155</x:v>
      </x:c>
      <x:c r="C459" s="31" t="s">
        <x:v>1623</x:v>
      </x:c>
      <x:c r="D459" s="32" t="s">
        <x:v>1024</x:v>
      </x:c>
      <x:c r="E459" s="32" t="str">
        <x:v>Data Migration Only</x:v>
      </x:c>
      <x:c r="F459" s="33" t="s">
        <x:v>118</x:v>
      </x:c>
      <x:c r="G459" s="34" t="s">
        <x:v>1625</x:v>
      </x:c>
      <x:c r="H459" s="33" t="s">
        <x:v>87</x:v>
      </x:c>
      <x:c r="I459" s="33" t="s">
        <x:v>1626</x:v>
      </x:c>
      <x:c r="J459" s="33" t="s">
        <x:v>80</x:v>
      </x:c>
      <x:c r="K459" s="33" t="s">
        <x:v>62</x:v>
      </x:c>
      <x:c r="L459" s="33" t="s">
        <x:v>73</x:v>
      </x:c>
      <x:c r="M459" s="35">
        <x:v>59</x:v>
      </x:c>
      <x:c r="N459" s="35">
        <x:v>86031635</x:v>
      </x:c>
      <x:c r="O459" s="33" t="s">
        <x:v>73</x:v>
      </x:c>
      <x:c r="P459" s="33" t="s">
        <x:v>101</x:v>
      </x:c>
      <x:c r="Q459" s="33" t="s">
        <x:v>120</x:v>
      </x:c>
      <x:c r="R459" s="33" t="s">
        <x:v>115</x:v>
      </x:c>
      <x:c r="S459" s="31" t="s">
        <x:v>2072</x:v>
      </x:c>
      <x:c r="T459" s="31" t="s">
        <x:v>2156</x:v>
      </x:c>
      <x:c r="U459" s="31" t="s">
        <x:v>477</x:v>
      </x:c>
      <x:c r="V459" s="33" t="s">
        <x:v>277</x:v>
      </x:c>
      <x:c r="W459" s="33"/>
      <x:c r="X459" s="33" t="s">
        <x:v>238</x:v>
      </x:c>
      <x:c r="Y459" s="36">
        <x:v>46617</x:v>
      </x:c>
      <x:c r="Z459" s="36"/>
      <x:c r="AA459" s="33" t="s">
        <x:v>120</x:v>
      </x:c>
      <x:c r="AB459" s="37" t="n">
        <x:f>IFERROR(INDEX(Effort_Model!$J$6:$J$33,MATCH(K459&amp;"|"&amp;L459,Effort_Model!$B$6:$B$33,0)),"")</x:f>
        <x:v>74.4</x:v>
      </x:c>
      <x:c r="AC459" s="38">
        <x:v>414.7</x:v>
      </x:c>
      <x:c r="AD459" s="37">
        <x:f t="shared" si="7"/>
        <x:v>555.70000000000005</x:v>
      </x:c>
      <x:c r="AE459" s="37" t="n">
        <x:f>IFERROR(ROUND(IFERROR(INDEX(Scoring_Rules!$C$43:$C$44,MATCH(Q459,Scoring_Rules!$B$43:$B$44,0)),0)*Scoring_Rules!$C$6+IFERROR(INDEX(Scoring_Rules!$C$34:$C$40,MATCH(K459,Scoring_Rules!$B$34:$B$40,0)),0)*Scoring_Rules!$C$7+IFERROR(INDEX(Scoring_Rules!$C$16:$C$19,MATCH(P459,Scoring_Rules!$B$16:$B$19,0)),0)*Scoring_Rules!$C$8+IFERROR(INDEX(Scoring_Rules!$C$22:$C$25,MATCH(O459,Scoring_Rules!$B$22:$B$25,0)),0)*Scoring_Rules!$C$9+IFERROR(INDEX(Scoring_Rules!$C$47:$C$50,MATCH(X459,Scoring_Rules!$B$47:$B$50,0)),0)*Scoring_Rules!$C$10+IFERROR(INDEX(Scoring_Rules!$C$28:$C$31,MATCH(R459,Scoring_Rules!$B$28:$B$31,0)),0)*Scoring_Rules!$C$11,1),"")</x:f>
        <x:v>43.5</x:v>
      </x:c>
      <x:c r="AF459" s="35">
        <x:v>4</x:v>
      </x:c>
      <x:c r="AG459" s="33" t="s">
        <x:v>1629</x:v>
      </x:c>
      <x:c r="AH459" s="36">
        <x:v>46398</x:v>
      </x:c>
      <x:c r="AI459" s="33" t="s">
        <x:v>124</x:v>
      </x:c>
      <x:c r="AJ459" s="34"/>
    </x:row>
    <x:row r="460" ht="15" customHeight="1">
      <x:c r="A460" s="31" t="s">
        <x:v>2157</x:v>
      </x:c>
      <x:c r="B460" s="31" t="s">
        <x:v>2158</x:v>
      </x:c>
      <x:c r="C460" s="31" t="s">
        <x:v>1623</x:v>
      </x:c>
      <x:c r="D460" s="32" t="s">
        <x:v>1624</x:v>
      </x:c>
      <x:c r="E460" s="32" t="str">
        <x:v>Data Migration Only</x:v>
      </x:c>
      <x:c r="F460" s="33" t="s">
        <x:v>118</x:v>
      </x:c>
      <x:c r="G460" s="34" t="s">
        <x:v>1648</x:v>
      </x:c>
      <x:c r="H460" s="33" t="s">
        <x:v>87</x:v>
      </x:c>
      <x:c r="I460" s="33" t="s">
        <x:v>1626</x:v>
      </x:c>
      <x:c r="J460" s="33" t="s">
        <x:v>80</x:v>
      </x:c>
      <x:c r="K460" s="33" t="s">
        <x:v>62</x:v>
      </x:c>
      <x:c r="L460" s="33" t="s">
        <x:v>73</x:v>
      </x:c>
      <x:c r="M460" s="35">
        <x:v>55</x:v>
      </x:c>
      <x:c r="N460" s="35">
        <x:v>143405597</x:v>
      </x:c>
      <x:c r="O460" s="33" t="s">
        <x:v>73</x:v>
      </x:c>
      <x:c r="P460" s="33" t="s">
        <x:v>98</x:v>
      </x:c>
      <x:c r="Q460" s="33" t="s">
        <x:v>120</x:v>
      </x:c>
      <x:c r="R460" s="33" t="s">
        <x:v>101</x:v>
      </x:c>
      <x:c r="S460" s="31" t="s">
        <x:v>488</x:v>
      </x:c>
      <x:c r="T460" s="31" t="s">
        <x:v>2159</x:v>
      </x:c>
      <x:c r="U460" s="31" t="s">
        <x:v>522</x:v>
      </x:c>
      <x:c r="V460" s="33" t="s">
        <x:v>347</x:v>
      </x:c>
      <x:c r="W460" s="33" t="s">
        <x:v>1879</x:v>
      </x:c>
      <x:c r="X460" s="33" t="s">
        <x:v>240</x:v>
      </x:c>
      <x:c r="Y460" s="36"/>
      <x:c r="Z460" s="36"/>
      <x:c r="AA460" s="33" t="s">
        <x:v>120</x:v>
      </x:c>
      <x:c r="AB460" s="37" t="n">
        <x:f>IFERROR(INDEX(Effort_Model!$J$6:$J$33,MATCH(K460&amp;"|"&amp;L460,Effort_Model!$B$6:$B$33,0)),"")</x:f>
        <x:v>74.4</x:v>
      </x:c>
      <x:c r="AC460" s="38">
        <x:v>511</x:v>
      </x:c>
      <x:c r="AD460" s="37">
        <x:f t="shared" si="7"/>
        <x:v>652</x:v>
      </x:c>
      <x:c r="AE460" s="37" t="n">
        <x:f>IFERROR(ROUND(IFERROR(INDEX(Scoring_Rules!$C$43:$C$44,MATCH(Q460,Scoring_Rules!$B$43:$B$44,0)),0)*Scoring_Rules!$C$6+IFERROR(INDEX(Scoring_Rules!$C$34:$C$40,MATCH(K460,Scoring_Rules!$B$34:$B$40,0)),0)*Scoring_Rules!$C$7+IFERROR(INDEX(Scoring_Rules!$C$16:$C$19,MATCH(P460,Scoring_Rules!$B$16:$B$19,0)),0)*Scoring_Rules!$C$8+IFERROR(INDEX(Scoring_Rules!$C$22:$C$25,MATCH(O460,Scoring_Rules!$B$22:$B$25,0)),0)*Scoring_Rules!$C$9+IFERROR(INDEX(Scoring_Rules!$C$47:$C$50,MATCH(X460,Scoring_Rules!$B$47:$B$50,0)),0)*Scoring_Rules!$C$10+IFERROR(INDEX(Scoring_Rules!$C$28:$C$31,MATCH(R460,Scoring_Rules!$B$28:$B$31,0)),0)*Scoring_Rules!$C$11,1),"")</x:f>
        <x:v>47.8</x:v>
      </x:c>
      <x:c r="AF460" s="35">
        <x:v>3</x:v>
      </x:c>
      <x:c r="AG460" s="33" t="s">
        <x:v>1634</x:v>
      </x:c>
      <x:c r="AH460" s="36">
        <x:v>46346</x:v>
      </x:c>
      <x:c r="AI460" s="33" t="s">
        <x:v>125</x:v>
      </x:c>
      <x:c r="AJ460" s="34" t="s">
        <x:v>445</x:v>
      </x:c>
    </x:row>
    <x:row r="461" ht="15" customHeight="1">
      <x:c r="A461" s="31" t="s">
        <x:v>2160</x:v>
      </x:c>
      <x:c r="B461" s="31" t="s">
        <x:v>2161</x:v>
      </x:c>
      <x:c r="C461" s="31" t="s">
        <x:v>1623</x:v>
      </x:c>
      <x:c r="D461" s="32" t="s">
        <x:v>315</x:v>
      </x:c>
      <x:c r="E461" s="32" t="str">
        <x:v>Functional Migration Only</x:v>
      </x:c>
      <x:c r="F461" s="33" t="s">
        <x:v>118</x:v>
      </x:c>
      <x:c r="G461" s="34" t="s">
        <x:v>1638</x:v>
      </x:c>
      <x:c r="H461" s="33" t="s">
        <x:v>87</x:v>
      </x:c>
      <x:c r="I461" s="33" t="s">
        <x:v>1626</x:v>
      </x:c>
      <x:c r="J461" s="33" t="s">
        <x:v>82</x:v>
      </x:c>
      <x:c r="K461" s="33" t="s">
        <x:v>62</x:v>
      </x:c>
      <x:c r="L461" s="33" t="s">
        <x:v>75</x:v>
      </x:c>
      <x:c r="M461" s="35">
        <x:v>71</x:v>
      </x:c>
      <x:c r="N461" s="35">
        <x:v>62898423</x:v>
      </x:c>
      <x:c r="O461" s="33" t="s">
        <x:v>101</x:v>
      </x:c>
      <x:c r="P461" s="33" t="s">
        <x:v>101</x:v>
      </x:c>
      <x:c r="Q461" s="33" t="s">
        <x:v>120</x:v>
      </x:c>
      <x:c r="R461" s="33" t="s">
        <x:v>115</x:v>
      </x:c>
      <x:c r="S461" s="31" t="s">
        <x:v>2162</x:v>
      </x:c>
      <x:c r="T461" s="31" t="s">
        <x:v>2163</x:v>
      </x:c>
      <x:c r="U461" s="31" t="s">
        <x:v>522</x:v>
      </x:c>
      <x:c r="V461" s="33" t="s">
        <x:v>379</x:v>
      </x:c>
      <x:c r="W461" s="33" t="s">
        <x:v>2164</x:v>
      </x:c>
      <x:c r="X461" s="33" t="s">
        <x:v>240</x:v>
      </x:c>
      <x:c r="Y461" s="36"/>
      <x:c r="Z461" s="36">
        <x:v>46675</x:v>
      </x:c>
      <x:c r="AA461" s="33" t="s">
        <x:v>120</x:v>
      </x:c>
      <x:c r="AB461" s="37" t="n">
        <x:f>IFERROR(INDEX(Effort_Model!$J$6:$J$33,MATCH(K461&amp;"|"&amp;L461,Effort_Model!$B$6:$B$33,0)),"")</x:f>
        <x:v>74.4</x:v>
      </x:c>
      <x:c r="AC461" s="38">
        <x:v>930</x:v>
      </x:c>
      <x:c r="AD461" s="37">
        <x:f t="shared" si="7"/>
        <x:v>1139.3333</x:v>
      </x:c>
      <x:c r="AE461" s="37" t="n">
        <x:f>IFERROR(ROUND(IFERROR(INDEX(Scoring_Rules!$C$43:$C$44,MATCH(Q461,Scoring_Rules!$B$43:$B$44,0)),0)*Scoring_Rules!$C$6+IFERROR(INDEX(Scoring_Rules!$C$34:$C$40,MATCH(K461,Scoring_Rules!$B$34:$B$40,0)),0)*Scoring_Rules!$C$7+IFERROR(INDEX(Scoring_Rules!$C$16:$C$19,MATCH(P461,Scoring_Rules!$B$16:$B$19,0)),0)*Scoring_Rules!$C$8+IFERROR(INDEX(Scoring_Rules!$C$22:$C$25,MATCH(O461,Scoring_Rules!$B$22:$B$25,0)),0)*Scoring_Rules!$C$9+IFERROR(INDEX(Scoring_Rules!$C$47:$C$50,MATCH(X461,Scoring_Rules!$B$47:$B$50,0)),0)*Scoring_Rules!$C$10+IFERROR(INDEX(Scoring_Rules!$C$28:$C$31,MATCH(R461,Scoring_Rules!$B$28:$B$31,0)),0)*Scoring_Rules!$C$11,1),"")</x:f>
        <x:v>27.8</x:v>
      </x:c>
      <x:c r="AF461" s="35">
        <x:v>7</x:v>
      </x:c>
      <x:c r="AG461" s="33" t="s">
        <x:v>1639</x:v>
      </x:c>
      <x:c r="AH461" s="36">
        <x:v>46351</x:v>
      </x:c>
      <x:c r="AI461" s="33" t="s">
        <x:v>125</x:v>
      </x:c>
      <x:c r="AJ461" s="34" t="s">
        <x:v>342</x:v>
      </x:c>
    </x:row>
    <x:row r="462" ht="23.25" customHeight="1">
      <x:c r="A462" s="31" t="s">
        <x:v>2165</x:v>
      </x:c>
      <x:c r="B462" s="31" t="s">
        <x:v>2166</x:v>
      </x:c>
      <x:c r="C462" s="31" t="s">
        <x:v>1623</x:v>
      </x:c>
      <x:c r="D462" s="32" t="s">
        <x:v>2167</x:v>
      </x:c>
      <x:c r="E462" s="32" t="str">
        <x:v>Functional Migration Only</x:v>
      </x:c>
      <x:c r="F462" s="33" t="s">
        <x:v>118</x:v>
      </x:c>
      <x:c r="G462" s="34" t="s">
        <x:v>1648</x:v>
      </x:c>
      <x:c r="H462" s="33" t="s">
        <x:v>87</x:v>
      </x:c>
      <x:c r="I462" s="33" t="s">
        <x:v>1626</x:v>
      </x:c>
      <x:c r="J462" s="33" t="s">
        <x:v>82</x:v>
      </x:c>
      <x:c r="K462" s="33" t="s">
        <x:v>60</x:v>
      </x:c>
      <x:c r="L462" s="33" t="s">
        <x:v>75</x:v>
      </x:c>
      <x:c r="M462" s="35">
        <x:v>32</x:v>
      </x:c>
      <x:c r="N462" s="35">
        <x:v>4395751</x:v>
      </x:c>
      <x:c r="O462" s="33" t="s">
        <x:v>98</x:v>
      </x:c>
      <x:c r="P462" s="33" t="s">
        <x:v>73</x:v>
      </x:c>
      <x:c r="Q462" s="33" t="s">
        <x:v>120</x:v>
      </x:c>
      <x:c r="R462" s="33" t="s">
        <x:v>115</x:v>
      </x:c>
      <x:c r="S462" s="31" t="s">
        <x:v>2168</x:v>
      </x:c>
      <x:c r="T462" s="31" t="s">
        <x:v>2169</x:v>
      </x:c>
      <x:c r="U462" s="31" t="s">
        <x:v>276</x:v>
      </x:c>
      <x:c r="V462" s="33" t="s">
        <x:v>277</x:v>
      </x:c>
      <x:c r="W462" s="33"/>
      <x:c r="X462" s="33" t="s">
        <x:v>238</x:v>
      </x:c>
      <x:c r="Y462" s="36"/>
      <x:c r="Z462" s="36"/>
      <x:c r="AA462" s="33" t="s">
        <x:v>120</x:v>
      </x:c>
      <x:c r="AB462" s="37" t="n">
        <x:f>IFERROR(INDEX(Effort_Model!$J$6:$J$33,MATCH(K462&amp;"|"&amp;L462,Effort_Model!$B$6:$B$33,0)),"")</x:f>
        <x:v>42.4</x:v>
      </x:c>
      <x:c r="AC462" s="38">
        <x:v>490</x:v>
      </x:c>
      <x:c r="AD462" s="37">
        <x:f t="shared" si="7"/>
        <x:v>603.33330000000001</x:v>
      </x:c>
      <x:c r="AE462" s="37" t="n">
        <x:f>IFERROR(ROUND(IFERROR(INDEX(Scoring_Rules!$C$43:$C$44,MATCH(Q462,Scoring_Rules!$B$43:$B$44,0)),0)*Scoring_Rules!$C$6+IFERROR(INDEX(Scoring_Rules!$C$34:$C$40,MATCH(K462,Scoring_Rules!$B$34:$B$40,0)),0)*Scoring_Rules!$C$7+IFERROR(INDEX(Scoring_Rules!$C$16:$C$19,MATCH(P462,Scoring_Rules!$B$16:$B$19,0)),0)*Scoring_Rules!$C$8+IFERROR(INDEX(Scoring_Rules!$C$22:$C$25,MATCH(O462,Scoring_Rules!$B$22:$B$25,0)),0)*Scoring_Rules!$C$9+IFERROR(INDEX(Scoring_Rules!$C$47:$C$50,MATCH(X462,Scoring_Rules!$B$47:$B$50,0)),0)*Scoring_Rules!$C$10+IFERROR(INDEX(Scoring_Rules!$C$28:$C$31,MATCH(R462,Scoring_Rules!$B$28:$B$31,0)),0)*Scoring_Rules!$C$11,1),"")</x:f>
        <x:v>59</x:v>
      </x:c>
      <x:c r="AF462" s="35">
        <x:v>4</x:v>
      </x:c>
      <x:c r="AG462" s="33" t="s">
        <x:v>1645</x:v>
      </x:c>
      <x:c r="AH462" s="36">
        <x:v>46377</x:v>
      </x:c>
      <x:c r="AI462" s="33" t="s">
        <x:v>126</x:v>
      </x:c>
      <x:c r="AJ462" s="34"/>
    </x:row>
    <x:row r="463" ht="34.5" customHeight="1">
      <x:c r="A463" s="31" t="s">
        <x:v>2170</x:v>
      </x:c>
      <x:c r="B463" s="31" t="s">
        <x:v>2171</x:v>
      </x:c>
      <x:c r="C463" s="31" t="s">
        <x:v>1623</x:v>
      </x:c>
      <x:c r="D463" s="32" t="s">
        <x:v>2172</x:v>
      </x:c>
      <x:c r="E463" s="32" t="str">
        <x:v>Functional Migration Only</x:v>
      </x:c>
      <x:c r="F463" s="33" t="s">
        <x:v>118</x:v>
      </x:c>
      <x:c r="G463" s="34" t="s">
        <x:v>1638</x:v>
      </x:c>
      <x:c r="H463" s="33" t="s">
        <x:v>87</x:v>
      </x:c>
      <x:c r="I463" s="33" t="s">
        <x:v>1626</x:v>
      </x:c>
      <x:c r="J463" s="33" t="s">
        <x:v>82</x:v>
      </x:c>
      <x:c r="K463" s="33" t="s">
        <x:v>58</x:v>
      </x:c>
      <x:c r="L463" s="33" t="s">
        <x:v>73</x:v>
      </x:c>
      <x:c r="M463" s="35">
        <x:v>27</x:v>
      </x:c>
      <x:c r="N463" s="35">
        <x:v>655741</x:v>
      </x:c>
      <x:c r="O463" s="33" t="s">
        <x:v>73</x:v>
      </x:c>
      <x:c r="P463" s="33" t="s">
        <x:v>98</x:v>
      </x:c>
      <x:c r="Q463" s="33" t="s">
        <x:v>118</x:v>
      </x:c>
      <x:c r="R463" s="33" t="s">
        <x:v>73</x:v>
      </x:c>
      <x:c r="S463" s="31" t="s">
        <x:v>1351</x:v>
      </x:c>
      <x:c r="T463" s="31" t="s">
        <x:v>2173</x:v>
      </x:c>
      <x:c r="U463" s="31" t="s">
        <x:v>276</x:v>
      </x:c>
      <x:c r="V463" s="33" t="s">
        <x:v>365</x:v>
      </x:c>
      <x:c r="W463" s="33"/>
      <x:c r="X463" s="33" t="s">
        <x:v>238</x:v>
      </x:c>
      <x:c r="Y463" s="36"/>
      <x:c r="Z463" s="36">
        <x:v>46591</x:v>
      </x:c>
      <x:c r="AA463" s="33" t="s">
        <x:v>120</x:v>
      </x:c>
      <x:c r="AB463" s="37" t="n">
        <x:f>IFERROR(INDEX(Effort_Model!$J$6:$J$33,MATCH(K463&amp;"|"&amp;L463,Effort_Model!$B$6:$B$33,0)),"")</x:f>
        <x:v>26.4</x:v>
      </x:c>
      <x:c r="AC463" s="38">
        <x:v>263.39999999999998</x:v>
      </x:c>
      <x:c r="AD463" s="37">
        <x:f t="shared" si="7"/>
        <x:v>308.39999999999998</x:v>
      </x:c>
      <x:c r="AE463" s="37" t="n">
        <x:f>IFERROR(ROUND(IFERROR(INDEX(Scoring_Rules!$C$43:$C$44,MATCH(Q463,Scoring_Rules!$B$43:$B$44,0)),0)*Scoring_Rules!$C$6+IFERROR(INDEX(Scoring_Rules!$C$34:$C$40,MATCH(K463,Scoring_Rules!$B$34:$B$40,0)),0)*Scoring_Rules!$C$7+IFERROR(INDEX(Scoring_Rules!$C$16:$C$19,MATCH(P463,Scoring_Rules!$B$16:$B$19,0)),0)*Scoring_Rules!$C$8+IFERROR(INDEX(Scoring_Rules!$C$22:$C$25,MATCH(O463,Scoring_Rules!$B$22:$B$25,0)),0)*Scoring_Rules!$C$9+IFERROR(INDEX(Scoring_Rules!$C$47:$C$50,MATCH(X463,Scoring_Rules!$B$47:$B$50,0)),0)*Scoring_Rules!$C$10+IFERROR(INDEX(Scoring_Rules!$C$28:$C$31,MATCH(R463,Scoring_Rules!$B$28:$B$31,0)),0)*Scoring_Rules!$C$11,1),"")</x:f>
        <x:v>92</x:v>
      </x:c>
      <x:c r="AF463" s="35">
        <x:v>1</x:v>
      </x:c>
      <x:c r="AG463" s="33" t="s">
        <x:v>1629</x:v>
      </x:c>
      <x:c r="AH463" s="36">
        <x:v>46334</x:v>
      </x:c>
      <x:c r="AI463" s="33" t="s">
        <x:v>127</x:v>
      </x:c>
      <x:c r="AJ463" s="34"/>
    </x:row>
    <x:row r="464" ht="23.25" customHeight="1">
      <x:c r="A464" s="31" t="s">
        <x:v>2174</x:v>
      </x:c>
      <x:c r="B464" s="31" t="s">
        <x:v>2175</x:v>
      </x:c>
      <x:c r="C464" s="31" t="s">
        <x:v>1623</x:v>
      </x:c>
      <x:c r="D464" s="32" t="s">
        <x:v>1669</x:v>
      </x:c>
      <x:c r="E464" s="32" t="str">
        <x:v>Data Migration Only</x:v>
      </x:c>
      <x:c r="F464" s="33" t="s">
        <x:v>120</x:v>
      </x:c>
      <x:c r="G464" s="34" t="s">
        <x:v>1638</x:v>
      </x:c>
      <x:c r="H464" s="33" t="s">
        <x:v>87</x:v>
      </x:c>
      <x:c r="I464" s="33" t="s">
        <x:v>1626</x:v>
      </x:c>
      <x:c r="J464" s="33" t="s">
        <x:v>80</x:v>
      </x:c>
      <x:c r="K464" s="33" t="s">
        <x:v>58</x:v>
      </x:c>
      <x:c r="L464" s="33" t="s">
        <x:v>71</x:v>
      </x:c>
      <x:c r="M464" s="35">
        <x:v>22</x:v>
      </x:c>
      <x:c r="N464" s="35">
        <x:v>581709</x:v>
      </x:c>
      <x:c r="O464" s="33" t="s">
        <x:v>103</x:v>
      </x:c>
      <x:c r="P464" s="33" t="s">
        <x:v>98</x:v>
      </x:c>
      <x:c r="Q464" s="33" t="s">
        <x:v>118</x:v>
      </x:c>
      <x:c r="R464" s="33" t="s">
        <x:v>101</x:v>
      </x:c>
      <x:c r="S464" s="31" t="s">
        <x:v>2176</x:v>
      </x:c>
      <x:c r="T464" s="31" t="s">
        <x:v>2177</x:v>
      </x:c>
      <x:c r="U464" s="31" t="s">
        <x:v>522</x:v>
      </x:c>
      <x:c r="V464" s="33" t="s">
        <x:v>277</x:v>
      </x:c>
      <x:c r="W464" s="33"/>
      <x:c r="X464" s="33" t="s">
        <x:v>238</x:v>
      </x:c>
      <x:c r="Y464" s="36"/>
      <x:c r="Z464" s="36"/>
      <x:c r="AA464" s="33" t="s">
        <x:v>120</x:v>
      </x:c>
      <x:c r="AB464" s="37" t="n">
        <x:f>IFERROR(INDEX(Effort_Model!$J$6:$J$33,MATCH(K464&amp;"|"&amp;L464,Effort_Model!$B$6:$B$33,0)),"")</x:f>
        <x:v>18.4</x:v>
      </x:c>
      <x:c r="AC464" s="38">
        <x:v>102</x:v>
      </x:c>
      <x:c r="AD464" s="37">
        <x:f t="shared" si="7"/>
        <x:v>128.4</x:v>
      </x:c>
      <x:c r="AE464" s="37" t="n">
        <x:f>IFERROR(ROUND(IFERROR(INDEX(Scoring_Rules!$C$43:$C$44,MATCH(Q464,Scoring_Rules!$B$43:$B$44,0)),0)*Scoring_Rules!$C$6+IFERROR(INDEX(Scoring_Rules!$C$34:$C$40,MATCH(K464,Scoring_Rules!$B$34:$B$40,0)),0)*Scoring_Rules!$C$7+IFERROR(INDEX(Scoring_Rules!$C$16:$C$19,MATCH(P464,Scoring_Rules!$B$16:$B$19,0)),0)*Scoring_Rules!$C$8+IFERROR(INDEX(Scoring_Rules!$C$22:$C$25,MATCH(O464,Scoring_Rules!$B$22:$B$25,0)),0)*Scoring_Rules!$C$9+IFERROR(INDEX(Scoring_Rules!$C$47:$C$50,MATCH(X464,Scoring_Rules!$B$47:$B$50,0)),0)*Scoring_Rules!$C$10+IFERROR(INDEX(Scoring_Rules!$C$28:$C$31,MATCH(R464,Scoring_Rules!$B$28:$B$31,0)),0)*Scoring_Rules!$C$11,1),"")</x:f>
        <x:v>79.8</x:v>
      </x:c>
      <x:c r="AF464" s="35">
        <x:v>1</x:v>
      </x:c>
      <x:c r="AG464" s="33" t="s">
        <x:v>1634</x:v>
      </x:c>
      <x:c r="AH464" s="36">
        <x:v>46361</x:v>
      </x:c>
      <x:c r="AI464" s="33" t="s">
        <x:v>126</x:v>
      </x:c>
      <x:c r="AJ464" s="34" t="s">
        <x:v>342</x:v>
      </x:c>
    </x:row>
    <x:row r="465" ht="23.25" customHeight="1">
      <x:c r="A465" s="31" t="s">
        <x:v>2178</x:v>
      </x:c>
      <x:c r="B465" s="31" t="s">
        <x:v>2179</x:v>
      </x:c>
      <x:c r="C465" s="31" t="s">
        <x:v>1623</x:v>
      </x:c>
      <x:c r="D465" s="32" t="s">
        <x:v>2180</x:v>
      </x:c>
      <x:c r="E465" s="32" t="str">
        <x:v>Functional Migration Only</x:v>
      </x:c>
      <x:c r="F465" s="33" t="s">
        <x:v>118</x:v>
      </x:c>
      <x:c r="G465" s="34" t="s">
        <x:v>1638</x:v>
      </x:c>
      <x:c r="H465" s="33" t="s">
        <x:v>87</x:v>
      </x:c>
      <x:c r="I465" s="33" t="s">
        <x:v>1626</x:v>
      </x:c>
      <x:c r="J465" s="33" t="s">
        <x:v>82</x:v>
      </x:c>
      <x:c r="K465" s="33" t="s">
        <x:v>66</x:v>
      </x:c>
      <x:c r="L465" s="33" t="s">
        <x:v>73</x:v>
      </x:c>
      <x:c r="M465" s="35">
        <x:v>194</x:v>
      </x:c>
      <x:c r="N465" s="35">
        <x:v>10703168689</x:v>
      </x:c>
      <x:c r="O465" s="33" t="s">
        <x:v>103</x:v>
      </x:c>
      <x:c r="P465" s="33" t="s">
        <x:v>73</x:v>
      </x:c>
      <x:c r="Q465" s="33" t="s">
        <x:v>120</x:v>
      </x:c>
      <x:c r="R465" s="33" t="s">
        <x:v>115</x:v>
      </x:c>
      <x:c r="S465" s="31" t="s">
        <x:v>2017</x:v>
      </x:c>
      <x:c r="T465" s="31" t="s">
        <x:v>2181</x:v>
      </x:c>
      <x:c r="U465" s="31" t="s">
        <x:v>522</x:v>
      </x:c>
      <x:c r="V465" s="33" t="s">
        <x:v>289</x:v>
      </x:c>
      <x:c r="W465" s="33" t="s">
        <x:v>2182</x:v>
      </x:c>
      <x:c r="X465" s="33" t="s">
        <x:v>240</x:v>
      </x:c>
      <x:c r="Y465" s="36">
        <x:v>46458</x:v>
      </x:c>
      <x:c r="Z465" s="36">
        <x:v>46984</x:v>
      </x:c>
      <x:c r="AA465" s="33" t="s">
        <x:v>120</x:v>
      </x:c>
      <x:c r="AB465" s="37" t="n">
        <x:f>IFERROR(INDEX(Effort_Model!$J$6:$J$33,MATCH(K465&amp;"|"&amp;L465,Effort_Model!$B$6:$B$33,0)),"")</x:f>
        <x:v>138.4</x:v>
      </x:c>
      <x:c r="AC465" s="38">
        <x:v>1670.4</x:v>
      </x:c>
      <x:c r="AD465" s="37">
        <x:f t="shared" si="7"/>
        <x:v>1939.4</x:v>
      </x:c>
      <x:c r="AE465" s="37" t="n">
        <x:f>IFERROR(ROUND(IFERROR(INDEX(Scoring_Rules!$C$43:$C$44,MATCH(Q465,Scoring_Rules!$B$43:$B$44,0)),0)*Scoring_Rules!$C$6+IFERROR(INDEX(Scoring_Rules!$C$34:$C$40,MATCH(K465,Scoring_Rules!$B$34:$B$40,0)),0)*Scoring_Rules!$C$7+IFERROR(INDEX(Scoring_Rules!$C$16:$C$19,MATCH(P465,Scoring_Rules!$B$16:$B$19,0)),0)*Scoring_Rules!$C$8+IFERROR(INDEX(Scoring_Rules!$C$22:$C$25,MATCH(O465,Scoring_Rules!$B$22:$B$25,0)),0)*Scoring_Rules!$C$9+IFERROR(INDEX(Scoring_Rules!$C$47:$C$50,MATCH(X465,Scoring_Rules!$B$47:$B$50,0)),0)*Scoring_Rules!$C$10+IFERROR(INDEX(Scoring_Rules!$C$28:$C$31,MATCH(R465,Scoring_Rules!$B$28:$B$31,0)),0)*Scoring_Rules!$C$11,1),"")</x:f>
        <x:v>22.5</x:v>
      </x:c>
      <x:c r="AF465" s="35">
        <x:v>6</x:v>
      </x:c>
      <x:c r="AG465" s="33" t="s">
        <x:v>1639</x:v>
      </x:c>
      <x:c r="AH465" s="36">
        <x:v>46357</x:v>
      </x:c>
      <x:c r="AI465" s="33" t="s">
        <x:v>124</x:v>
      </x:c>
      <x:c r="AJ465" s="34" t="s">
        <x:v>445</x:v>
      </x:c>
    </x:row>
    <x:row r="466" ht="23.25" customHeight="1">
      <x:c r="A466" s="31" t="s">
        <x:v>2183</x:v>
      </x:c>
      <x:c r="B466" s="31" t="s">
        <x:v>2184</x:v>
      </x:c>
      <x:c r="C466" s="31" t="s">
        <x:v>1623</x:v>
      </x:c>
      <x:c r="D466" s="32" t="s">
        <x:v>2185</x:v>
      </x:c>
      <x:c r="E466" s="32" t="str">
        <x:v>Functional Migration Only</x:v>
      </x:c>
      <x:c r="F466" s="33" t="s">
        <x:v>118</x:v>
      </x:c>
      <x:c r="G466" s="34" t="s">
        <x:v>1655</x:v>
      </x:c>
      <x:c r="H466" s="33" t="s">
        <x:v>87</x:v>
      </x:c>
      <x:c r="I466" s="33" t="s">
        <x:v>1626</x:v>
      </x:c>
      <x:c r="J466" s="33" t="s">
        <x:v>82</x:v>
      </x:c>
      <x:c r="K466" s="33" t="s">
        <x:v>62</x:v>
      </x:c>
      <x:c r="L466" s="33" t="s">
        <x:v>75</x:v>
      </x:c>
      <x:c r="M466" s="35">
        <x:v>68</x:v>
      </x:c>
      <x:c r="N466" s="35">
        <x:v>59744605</x:v>
      </x:c>
      <x:c r="O466" s="33" t="s">
        <x:v>73</x:v>
      </x:c>
      <x:c r="P466" s="33" t="s">
        <x:v>101</x:v>
      </x:c>
      <x:c r="Q466" s="33" t="s">
        <x:v>120</x:v>
      </x:c>
      <x:c r="R466" s="33" t="s">
        <x:v>101</x:v>
      </x:c>
      <x:c r="S466" s="31" t="s">
        <x:v>2186</x:v>
      </x:c>
      <x:c r="T466" s="31" t="s">
        <x:v>2187</x:v>
      </x:c>
      <x:c r="U466" s="31" t="s">
        <x:v>522</x:v>
      </x:c>
      <x:c r="V466" s="33" t="s">
        <x:v>444</x:v>
      </x:c>
      <x:c r="W466" s="33" t="s">
        <x:v>2188</x:v>
      </x:c>
      <x:c r="X466" s="33" t="s">
        <x:v>240</x:v>
      </x:c>
      <x:c r="Y466" s="36"/>
      <x:c r="Z466" s="36"/>
      <x:c r="AA466" s="33" t="s">
        <x:v>120</x:v>
      </x:c>
      <x:c r="AB466" s="37" t="n">
        <x:f>IFERROR(INDEX(Effort_Model!$J$6:$J$33,MATCH(K466&amp;"|"&amp;L466,Effort_Model!$B$6:$B$33,0)),"")</x:f>
        <x:v>74.4</x:v>
      </x:c>
      <x:c r="AC466" s="38">
        <x:v>1026</x:v>
      </x:c>
      <x:c r="AD466" s="37">
        <x:f t="shared" si="7"/>
        <x:v>1235.3333</x:v>
      </x:c>
      <x:c r="AE466" s="37" t="n">
        <x:f>IFERROR(ROUND(IFERROR(INDEX(Scoring_Rules!$C$43:$C$44,MATCH(Q466,Scoring_Rules!$B$43:$B$44,0)),0)*Scoring_Rules!$C$6+IFERROR(INDEX(Scoring_Rules!$C$34:$C$40,MATCH(K466,Scoring_Rules!$B$34:$B$40,0)),0)*Scoring_Rules!$C$7+IFERROR(INDEX(Scoring_Rules!$C$16:$C$19,MATCH(P466,Scoring_Rules!$B$16:$B$19,0)),0)*Scoring_Rules!$C$8+IFERROR(INDEX(Scoring_Rules!$C$22:$C$25,MATCH(O466,Scoring_Rules!$B$22:$B$25,0)),0)*Scoring_Rules!$C$9+IFERROR(INDEX(Scoring_Rules!$C$47:$C$50,MATCH(X466,Scoring_Rules!$B$47:$B$50,0)),0)*Scoring_Rules!$C$10+IFERROR(INDEX(Scoring_Rules!$C$28:$C$31,MATCH(R466,Scoring_Rules!$B$28:$B$31,0)),0)*Scoring_Rules!$C$11,1),"")</x:f>
        <x:v>34.8</x:v>
      </x:c>
      <x:c r="AF466" s="35">
        <x:v>6</x:v>
      </x:c>
      <x:c r="AG466" s="33" t="s">
        <x:v>1645</x:v>
      </x:c>
      <x:c r="AH466" s="36">
        <x:v>46358</x:v>
      </x:c>
      <x:c r="AI466" s="33" t="s">
        <x:v>127</x:v>
      </x:c>
      <x:c r="AJ466" s="34"/>
    </x:row>
    <x:row r="467" ht="15" customHeight="1">
      <x:c r="A467" s="31" t="s">
        <x:v>2189</x:v>
      </x:c>
      <x:c r="B467" s="31" t="s">
        <x:v>2190</x:v>
      </x:c>
      <x:c r="C467" s="31" t="s">
        <x:v>1623</x:v>
      </x:c>
      <x:c r="D467" s="32" t="s">
        <x:v>1024</x:v>
      </x:c>
      <x:c r="E467" s="32" t="str">
        <x:v>Functional Migration Only</x:v>
      </x:c>
      <x:c r="F467" s="33" t="s">
        <x:v>118</x:v>
      </x:c>
      <x:c r="G467" s="34" t="s">
        <x:v>1625</x:v>
      </x:c>
      <x:c r="H467" s="33" t="s">
        <x:v>87</x:v>
      </x:c>
      <x:c r="I467" s="33" t="s">
        <x:v>1626</x:v>
      </x:c>
      <x:c r="J467" s="33" t="s">
        <x:v>82</x:v>
      </x:c>
      <x:c r="K467" s="33" t="s">
        <x:v>60</x:v>
      </x:c>
      <x:c r="L467" s="33" t="s">
        <x:v>75</x:v>
      </x:c>
      <x:c r="M467" s="35">
        <x:v>46</x:v>
      </x:c>
      <x:c r="N467" s="35">
        <x:v>6896280</x:v>
      </x:c>
      <x:c r="O467" s="33" t="s">
        <x:v>73</x:v>
      </x:c>
      <x:c r="P467" s="33" t="s">
        <x:v>73</x:v>
      </x:c>
      <x:c r="Q467" s="33" t="s">
        <x:v>120</x:v>
      </x:c>
      <x:c r="R467" s="33" t="s">
        <x:v>101</x:v>
      </x:c>
      <x:c r="S467" s="31" t="s">
        <x:v>1691</x:v>
      </x:c>
      <x:c r="T467" s="31" t="s">
        <x:v>2191</x:v>
      </x:c>
      <x:c r="U467" s="31" t="s">
        <x:v>522</x:v>
      </x:c>
      <x:c r="V467" s="33" t="s">
        <x:v>277</x:v>
      </x:c>
      <x:c r="W467" s="33"/>
      <x:c r="X467" s="33" t="s">
        <x:v>238</x:v>
      </x:c>
      <x:c r="Y467" s="36"/>
      <x:c r="Z467" s="36"/>
      <x:c r="AA467" s="33" t="s">
        <x:v>120</x:v>
      </x:c>
      <x:c r="AB467" s="37" t="n">
        <x:f>IFERROR(INDEX(Effort_Model!$J$6:$J$33,MATCH(K467&amp;"|"&amp;L467,Effort_Model!$B$6:$B$33,0)),"")</x:f>
        <x:v>42.4</x:v>
      </x:c>
      <x:c r="AC467" s="38">
        <x:v>564.79999999999995</x:v>
      </x:c>
      <x:c r="AD467" s="37">
        <x:f t="shared" si="7"/>
        <x:v>678.13329999999996</x:v>
      </x:c>
      <x:c r="AE467" s="37" t="n">
        <x:f>IFERROR(ROUND(IFERROR(INDEX(Scoring_Rules!$C$43:$C$44,MATCH(Q467,Scoring_Rules!$B$43:$B$44,0)),0)*Scoring_Rules!$C$6+IFERROR(INDEX(Scoring_Rules!$C$34:$C$40,MATCH(K467,Scoring_Rules!$B$34:$B$40,0)),0)*Scoring_Rules!$C$7+IFERROR(INDEX(Scoring_Rules!$C$16:$C$19,MATCH(P467,Scoring_Rules!$B$16:$B$19,0)),0)*Scoring_Rules!$C$8+IFERROR(INDEX(Scoring_Rules!$C$22:$C$25,MATCH(O467,Scoring_Rules!$B$22:$B$25,0)),0)*Scoring_Rules!$C$9+IFERROR(INDEX(Scoring_Rules!$C$47:$C$50,MATCH(X467,Scoring_Rules!$B$47:$B$50,0)),0)*Scoring_Rules!$C$10+IFERROR(INDEX(Scoring_Rules!$C$28:$C$31,MATCH(R467,Scoring_Rules!$B$28:$B$31,0)),0)*Scoring_Rules!$C$11,1),"")</x:f>
        <x:v>56.3</x:v>
      </x:c>
      <x:c r="AF467" s="35">
        <x:v>5</x:v>
      </x:c>
      <x:c r="AG467" s="33" t="s">
        <x:v>1629</x:v>
      </x:c>
      <x:c r="AH467" s="36">
        <x:v>46409</x:v>
      </x:c>
      <x:c r="AI467" s="33" t="s">
        <x:v>127</x:v>
      </x:c>
      <x:c r="AJ467" s="34"/>
    </x:row>
    <x:row r="468" ht="15" customHeight="1">
      <x:c r="A468" s="31" t="s">
        <x:v>2192</x:v>
      </x:c>
      <x:c r="B468" s="31" t="s">
        <x:v>2193</x:v>
      </x:c>
      <x:c r="C468" s="31" t="s">
        <x:v>1623</x:v>
      </x:c>
      <x:c r="D468" s="32" t="s">
        <x:v>1637</x:v>
      </x:c>
      <x:c r="E468" s="32" t="str">
        <x:v>Data Migration Only</x:v>
      </x:c>
      <x:c r="F468" s="33" t="s">
        <x:v>118</x:v>
      </x:c>
      <x:c r="G468" s="34" t="s">
        <x:v>1648</x:v>
      </x:c>
      <x:c r="H468" s="33" t="s">
        <x:v>87</x:v>
      </x:c>
      <x:c r="I468" s="33" t="s">
        <x:v>1626</x:v>
      </x:c>
      <x:c r="J468" s="33" t="s">
        <x:v>80</x:v>
      </x:c>
      <x:c r="K468" s="33" t="s">
        <x:v>64</x:v>
      </x:c>
      <x:c r="L468" s="33" t="s">
        <x:v>71</x:v>
      </x:c>
      <x:c r="M468" s="35">
        <x:v>77</x:v>
      </x:c>
      <x:c r="N468" s="35">
        <x:v>1116260371</x:v>
      </x:c>
      <x:c r="O468" s="33" t="s">
        <x:v>73</x:v>
      </x:c>
      <x:c r="P468" s="33" t="s">
        <x:v>101</x:v>
      </x:c>
      <x:c r="Q468" s="33" t="s">
        <x:v>120</x:v>
      </x:c>
      <x:c r="R468" s="33" t="s">
        <x:v>101</x:v>
      </x:c>
      <x:c r="S468" s="31" t="s">
        <x:v>915</x:v>
      </x:c>
      <x:c r="T468" s="31" t="s">
        <x:v>2194</x:v>
      </x:c>
      <x:c r="U468" s="31" t="s">
        <x:v>522</x:v>
      </x:c>
      <x:c r="V468" s="33" t="s">
        <x:v>379</x:v>
      </x:c>
      <x:c r="W468" s="33"/>
      <x:c r="X468" s="33" t="s">
        <x:v>238</x:v>
      </x:c>
      <x:c r="Y468" s="36"/>
      <x:c r="Z468" s="36"/>
      <x:c r="AA468" s="33" t="s">
        <x:v>120</x:v>
      </x:c>
      <x:c r="AB468" s="37" t="n">
        <x:f>IFERROR(INDEX(Effort_Model!$J$6:$J$33,MATCH(K468&amp;"|"&amp;L468,Effort_Model!$B$6:$B$33,0)),"")</x:f>
        <x:v>18.4</x:v>
      </x:c>
      <x:c r="AC468" s="38">
        <x:v>522.79999999999995</x:v>
      </x:c>
      <x:c r="AD468" s="37">
        <x:f t="shared" si="7"/>
        <x:v>629.19999999999993</x:v>
      </x:c>
      <x:c r="AE468" s="37" t="n">
        <x:f>IFERROR(ROUND(IFERROR(INDEX(Scoring_Rules!$C$43:$C$44,MATCH(Q468,Scoring_Rules!$B$43:$B$44,0)),0)*Scoring_Rules!$C$6+IFERROR(INDEX(Scoring_Rules!$C$34:$C$40,MATCH(K468,Scoring_Rules!$B$34:$B$40,0)),0)*Scoring_Rules!$C$7+IFERROR(INDEX(Scoring_Rules!$C$16:$C$19,MATCH(P468,Scoring_Rules!$B$16:$B$19,0)),0)*Scoring_Rules!$C$8+IFERROR(INDEX(Scoring_Rules!$C$22:$C$25,MATCH(O468,Scoring_Rules!$B$22:$B$25,0)),0)*Scoring_Rules!$C$9+IFERROR(INDEX(Scoring_Rules!$C$47:$C$50,MATCH(X468,Scoring_Rules!$B$47:$B$50,0)),0)*Scoring_Rules!$C$10+IFERROR(INDEX(Scoring_Rules!$C$28:$C$31,MATCH(R468,Scoring_Rules!$B$28:$B$31,0)),0)*Scoring_Rules!$C$11,1),"")</x:f>
        <x:v>41.3</x:v>
      </x:c>
      <x:c r="AF468" s="35">
        <x:v>4</x:v>
      </x:c>
      <x:c r="AG468" s="33" t="s">
        <x:v>1634</x:v>
      </x:c>
      <x:c r="AH468" s="36">
        <x:v>46348</x:v>
      </x:c>
      <x:c r="AI468" s="33" t="s">
        <x:v>127</x:v>
      </x:c>
      <x:c r="AJ468" s="34"/>
    </x:row>
    <x:row r="469" ht="15" customHeight="1">
      <x:c r="A469" s="31" t="s">
        <x:v>2195</x:v>
      </x:c>
      <x:c r="B469" s="31" t="s">
        <x:v>2196</x:v>
      </x:c>
      <x:c r="C469" s="31" t="s">
        <x:v>2197</x:v>
      </x:c>
      <x:c r="D469" s="32" t="s">
        <x:v>2198</x:v>
      </x:c>
      <x:c r="E469" s="32" t="str">
        <x:v>Functional Migration Only</x:v>
      </x:c>
      <x:c r="F469" s="33" t="s">
        <x:v>118</x:v>
      </x:c>
      <x:c r="G469" s="34" t="s">
        <x:v>2199</x:v>
      </x:c>
      <x:c r="H469" s="33" t="s">
        <x:v>87</x:v>
      </x:c>
      <x:c r="I469" s="33" t="s">
        <x:v>2200</x:v>
      </x:c>
      <x:c r="J469" s="33" t="s">
        <x:v>82</x:v>
      </x:c>
      <x:c r="K469" s="33" t="s">
        <x:v>64</x:v>
      </x:c>
      <x:c r="L469" s="33" t="s">
        <x:v>73</x:v>
      </x:c>
      <x:c r="M469" s="35">
        <x:v>134</x:v>
      </x:c>
      <x:c r="N469" s="35">
        <x:v>912934742</x:v>
      </x:c>
      <x:c r="O469" s="33" t="s">
        <x:v>73</x:v>
      </x:c>
      <x:c r="P469" s="33" t="s">
        <x:v>98</x:v>
      </x:c>
      <x:c r="Q469" s="33" t="s">
        <x:v>120</x:v>
      </x:c>
      <x:c r="R469" s="33" t="s">
        <x:v>73</x:v>
      </x:c>
      <x:c r="S469" s="31" t="s">
        <x:v>604</x:v>
      </x:c>
      <x:c r="T469" s="31" t="s">
        <x:v>2201</x:v>
      </x:c>
      <x:c r="U469" s="31" t="s">
        <x:v>522</x:v>
      </x:c>
      <x:c r="V469" s="33" t="s">
        <x:v>303</x:v>
      </x:c>
      <x:c r="W469" s="33"/>
      <x:c r="X469" s="33" t="s">
        <x:v>238</x:v>
      </x:c>
      <x:c r="Y469" s="36"/>
      <x:c r="Z469" s="36"/>
      <x:c r="AA469" s="33" t="s">
        <x:v>120</x:v>
      </x:c>
      <x:c r="AB469" s="37" t="n">
        <x:f>IFERROR(INDEX(Effort_Model!$J$6:$J$33,MATCH(K469&amp;"|"&amp;L469,Effort_Model!$B$6:$B$33,0)),"")</x:f>
        <x:v>106.4</x:v>
      </x:c>
      <x:c r="AC469" s="38">
        <x:v>1307.9000000000001</x:v>
      </x:c>
      <x:c r="AD469" s="37">
        <x:f t="shared" si="7"/>
        <x:v>1512.9</x:v>
      </x:c>
      <x:c r="AE469" s="37" t="n">
        <x:f>IFERROR(ROUND(IFERROR(INDEX(Scoring_Rules!$C$43:$C$44,MATCH(Q469,Scoring_Rules!$B$43:$B$44,0)),0)*Scoring_Rules!$C$6+IFERROR(INDEX(Scoring_Rules!$C$34:$C$40,MATCH(K469,Scoring_Rules!$B$34:$B$40,0)),0)*Scoring_Rules!$C$7+IFERROR(INDEX(Scoring_Rules!$C$16:$C$19,MATCH(P469,Scoring_Rules!$B$16:$B$19,0)),0)*Scoring_Rules!$C$8+IFERROR(INDEX(Scoring_Rules!$C$22:$C$25,MATCH(O469,Scoring_Rules!$B$22:$B$25,0)),0)*Scoring_Rules!$C$9+IFERROR(INDEX(Scoring_Rules!$C$47:$C$50,MATCH(X469,Scoring_Rules!$B$47:$B$50,0)),0)*Scoring_Rules!$C$10+IFERROR(INDEX(Scoring_Rules!$C$28:$C$31,MATCH(R469,Scoring_Rules!$B$28:$B$31,0)),0)*Scoring_Rules!$C$11,1),"")</x:f>
        <x:v>56</x:v>
      </x:c>
      <x:c r="AF469" s="35">
        <x:v>3</x:v>
      </x:c>
      <x:c r="AG469" s="33" t="s">
        <x:v>2202</x:v>
      </x:c>
      <x:c r="AH469" s="36">
        <x:v>46353</x:v>
      </x:c>
      <x:c r="AI469" s="33" t="s">
        <x:v>126</x:v>
      </x:c>
      <x:c r="AJ469" s="34" t="s">
        <x:v>336</x:v>
      </x:c>
    </x:row>
    <x:row r="470" ht="15" customHeight="1">
      <x:c r="A470" s="31" t="s">
        <x:v>2203</x:v>
      </x:c>
      <x:c r="B470" s="31" t="s">
        <x:v>2204</x:v>
      </x:c>
      <x:c r="C470" s="31" t="s">
        <x:v>2197</x:v>
      </x:c>
      <x:c r="D470" s="32" t="s">
        <x:v>2205</x:v>
      </x:c>
      <x:c r="E470" s="32" t="str">
        <x:v>Functional Migration Only</x:v>
      </x:c>
      <x:c r="F470" s="33" t="s">
        <x:v>118</x:v>
      </x:c>
      <x:c r="G470" s="34" t="s">
        <x:v>2206</x:v>
      </x:c>
      <x:c r="H470" s="33" t="s">
        <x:v>87</x:v>
      </x:c>
      <x:c r="I470" s="33" t="s">
        <x:v>2200</x:v>
      </x:c>
      <x:c r="J470" s="33" t="s">
        <x:v>82</x:v>
      </x:c>
      <x:c r="K470" s="33" t="s">
        <x:v>64</x:v>
      </x:c>
      <x:c r="L470" s="33" t="s">
        <x:v>73</x:v>
      </x:c>
      <x:c r="M470" s="35">
        <x:v>76</x:v>
      </x:c>
      <x:c r="N470" s="35">
        <x:v>526246817</x:v>
      </x:c>
      <x:c r="O470" s="33" t="s">
        <x:v>73</x:v>
      </x:c>
      <x:c r="P470" s="33" t="s">
        <x:v>73</x:v>
      </x:c>
      <x:c r="Q470" s="33" t="s">
        <x:v>120</x:v>
      </x:c>
      <x:c r="R470" s="33" t="s">
        <x:v>73</x:v>
      </x:c>
      <x:c r="S470" s="31" t="s">
        <x:v>2207</x:v>
      </x:c>
      <x:c r="T470" s="31" t="s">
        <x:v>2208</x:v>
      </x:c>
      <x:c r="U470" s="31" t="s">
        <x:v>276</x:v>
      </x:c>
      <x:c r="V470" s="33" t="s">
        <x:v>277</x:v>
      </x:c>
      <x:c r="W470" s="33"/>
      <x:c r="X470" s="33" t="s">
        <x:v>238</x:v>
      </x:c>
      <x:c r="Y470" s="36"/>
      <x:c r="Z470" s="36"/>
      <x:c r="AA470" s="33" t="s">
        <x:v>120</x:v>
      </x:c>
      <x:c r="AB470" s="37" t="n">
        <x:f>IFERROR(INDEX(Effort_Model!$J$6:$J$33,MATCH(K470&amp;"|"&amp;L470,Effort_Model!$B$6:$B$33,0)),"")</x:f>
        <x:v>106.4</x:v>
      </x:c>
      <x:c r="AC470" s="38">
        <x:v>1243.4000000000001</x:v>
      </x:c>
      <x:c r="AD470" s="37">
        <x:f t="shared" si="7"/>
        <x:v>1448.4</x:v>
      </x:c>
      <x:c r="AE470" s="37" t="n">
        <x:f>IFERROR(ROUND(IFERROR(INDEX(Scoring_Rules!$C$43:$C$44,MATCH(Q470,Scoring_Rules!$B$43:$B$44,0)),0)*Scoring_Rules!$C$6+IFERROR(INDEX(Scoring_Rules!$C$34:$C$40,MATCH(K470,Scoring_Rules!$B$34:$B$40,0)),0)*Scoring_Rules!$C$7+IFERROR(INDEX(Scoring_Rules!$C$16:$C$19,MATCH(P470,Scoring_Rules!$B$16:$B$19,0)),0)*Scoring_Rules!$C$8+IFERROR(INDEX(Scoring_Rules!$C$22:$C$25,MATCH(O470,Scoring_Rules!$B$22:$B$25,0)),0)*Scoring_Rules!$C$9+IFERROR(INDEX(Scoring_Rules!$C$47:$C$50,MATCH(X470,Scoring_Rules!$B$47:$B$50,0)),0)*Scoring_Rules!$C$10+IFERROR(INDEX(Scoring_Rules!$C$28:$C$31,MATCH(R470,Scoring_Rules!$B$28:$B$31,0)),0)*Scoring_Rules!$C$11,1),"")</x:f>
        <x:v>50</x:v>
      </x:c>
      <x:c r="AF470" s="35">
        <x:v>4</x:v>
      </x:c>
      <x:c r="AG470" s="33" t="s">
        <x:v>2209</x:v>
      </x:c>
      <x:c r="AH470" s="36">
        <x:v>46306</x:v>
      </x:c>
      <x:c r="AI470" s="33" t="s">
        <x:v>125</x:v>
      </x:c>
      <x:c r="AJ470" s="34" t="s">
        <x:v>445</x:v>
      </x:c>
    </x:row>
    <x:row r="471" ht="45.75" customHeight="1">
      <x:c r="A471" s="31" t="s">
        <x:v>2210</x:v>
      </x:c>
      <x:c r="B471" s="31" t="s">
        <x:v>2211</x:v>
      </x:c>
      <x:c r="C471" s="31" t="s">
        <x:v>2197</x:v>
      </x:c>
      <x:c r="D471" s="32" t="s">
        <x:v>2212</x:v>
      </x:c>
      <x:c r="E471" s="32" t="str">
        <x:v>Data Migration Only</x:v>
      </x:c>
      <x:c r="F471" s="33" t="s">
        <x:v>120</x:v>
      </x:c>
      <x:c r="G471" s="34" t="s">
        <x:v>2199</x:v>
      </x:c>
      <x:c r="H471" s="33" t="s">
        <x:v>87</x:v>
      </x:c>
      <x:c r="I471" s="33" t="s">
        <x:v>2200</x:v>
      </x:c>
      <x:c r="J471" s="33" t="s">
        <x:v>80</x:v>
      </x:c>
      <x:c r="K471" s="33" t="s">
        <x:v>56</x:v>
      </x:c>
      <x:c r="L471" s="33" t="s">
        <x:v>73</x:v>
      </x:c>
      <x:c r="M471" s="35">
        <x:v>10</x:v>
      </x:c>
      <x:c r="N471" s="35">
        <x:v>67371</x:v>
      </x:c>
      <x:c r="O471" s="33" t="s">
        <x:v>73</x:v>
      </x:c>
      <x:c r="P471" s="33" t="s">
        <x:v>98</x:v>
      </x:c>
      <x:c r="Q471" s="33" t="s">
        <x:v>118</x:v>
      </x:c>
      <x:c r="R471" s="33" t="s">
        <x:v>73</x:v>
      </x:c>
      <x:c r="S471" s="31" t="s">
        <x:v>2213</x:v>
      </x:c>
      <x:c r="T471" s="31" t="s">
        <x:v>2214</x:v>
      </x:c>
      <x:c r="U471" s="31" t="s">
        <x:v>522</x:v>
      </x:c>
      <x:c r="V471" s="33" t="s">
        <x:v>329</x:v>
      </x:c>
      <x:c r="W471" s="33"/>
      <x:c r="X471" s="33" t="s">
        <x:v>238</x:v>
      </x:c>
      <x:c r="Y471" s="36"/>
      <x:c r="Z471" s="36"/>
      <x:c r="AA471" s="33" t="s">
        <x:v>120</x:v>
      </x:c>
      <x:c r="AB471" s="37" t="n">
        <x:f>IFERROR(INDEX(Effort_Model!$J$6:$J$33,MATCH(K471&amp;"|"&amp;L471,Effort_Model!$B$6:$B$33,0)),"")</x:f>
        <x:v>18.4</x:v>
      </x:c>
      <x:c r="AC471" s="38">
        <x:v>82</x:v>
      </x:c>
      <x:c r="AD471" s="37">
        <x:f t="shared" si="7"/>
        <x:v>111</x:v>
      </x:c>
      <x:c r="AE471" s="37" t="n">
        <x:f>IFERROR(ROUND(IFERROR(INDEX(Scoring_Rules!$C$43:$C$44,MATCH(Q471,Scoring_Rules!$B$43:$B$44,0)),0)*Scoring_Rules!$C$6+IFERROR(INDEX(Scoring_Rules!$C$34:$C$40,MATCH(K471,Scoring_Rules!$B$34:$B$40,0)),0)*Scoring_Rules!$C$7+IFERROR(INDEX(Scoring_Rules!$C$16:$C$19,MATCH(P471,Scoring_Rules!$B$16:$B$19,0)),0)*Scoring_Rules!$C$8+IFERROR(INDEX(Scoring_Rules!$C$22:$C$25,MATCH(O471,Scoring_Rules!$B$22:$B$25,0)),0)*Scoring_Rules!$C$9+IFERROR(INDEX(Scoring_Rules!$C$47:$C$50,MATCH(X471,Scoring_Rules!$B$47:$B$50,0)),0)*Scoring_Rules!$C$10+IFERROR(INDEX(Scoring_Rules!$C$28:$C$31,MATCH(R471,Scoring_Rules!$B$28:$B$31,0)),0)*Scoring_Rules!$C$11,1),"")</x:f>
        <x:v>94</x:v>
      </x:c>
      <x:c r="AF471" s="35">
        <x:v>1</x:v>
      </x:c>
      <x:c r="AG471" s="33" t="s">
        <x:v>2215</x:v>
      </x:c>
      <x:c r="AH471" s="36">
        <x:v>46326</x:v>
      </x:c>
      <x:c r="AI471" s="33" t="s">
        <x:v>127</x:v>
      </x:c>
      <x:c r="AJ471" s="34"/>
    </x:row>
    <x:row r="472" ht="15" customHeight="1">
      <x:c r="A472" s="31" t="s">
        <x:v>2216</x:v>
      </x:c>
      <x:c r="B472" s="31" t="s">
        <x:v>2217</x:v>
      </x:c>
      <x:c r="C472" s="31" t="s">
        <x:v>2197</x:v>
      </x:c>
      <x:c r="D472" s="32" t="s">
        <x:v>1374</x:v>
      </x:c>
      <x:c r="E472" s="32" t="str">
        <x:v>Data Migration Only</x:v>
      </x:c>
      <x:c r="F472" s="33" t="s">
        <x:v>118</x:v>
      </x:c>
      <x:c r="G472" s="34" t="s">
        <x:v>2218</x:v>
      </x:c>
      <x:c r="H472" s="33" t="s">
        <x:v>87</x:v>
      </x:c>
      <x:c r="I472" s="33" t="s">
        <x:v>2200</x:v>
      </x:c>
      <x:c r="J472" s="33" t="s">
        <x:v>80</x:v>
      </x:c>
      <x:c r="K472" s="33" t="s">
        <x:v>60</x:v>
      </x:c>
      <x:c r="L472" s="33" t="s">
        <x:v>73</x:v>
      </x:c>
      <x:c r="M472" s="35">
        <x:v>48</x:v>
      </x:c>
      <x:c r="N472" s="35">
        <x:v>3612194</x:v>
      </x:c>
      <x:c r="O472" s="33" t="s">
        <x:v>98</x:v>
      </x:c>
      <x:c r="P472" s="33" t="s">
        <x:v>101</x:v>
      </x:c>
      <x:c r="Q472" s="33" t="s">
        <x:v>120</x:v>
      </x:c>
      <x:c r="R472" s="33" t="s">
        <x:v>115</x:v>
      </x:c>
      <x:c r="S472" s="31" t="s">
        <x:v>1375</x:v>
      </x:c>
      <x:c r="T472" s="31" t="s">
        <x:v>1376</x:v>
      </x:c>
      <x:c r="U472" s="31" t="s">
        <x:v>522</x:v>
      </x:c>
      <x:c r="V472" s="33" t="s">
        <x:v>347</x:v>
      </x:c>
      <x:c r="W472" s="33"/>
      <x:c r="X472" s="33" t="s">
        <x:v>238</x:v>
      </x:c>
      <x:c r="Y472" s="36"/>
      <x:c r="Z472" s="36"/>
      <x:c r="AA472" s="33" t="s">
        <x:v>120</x:v>
      </x:c>
      <x:c r="AB472" s="37" t="n">
        <x:f>IFERROR(INDEX(Effort_Model!$J$6:$J$33,MATCH(K472&amp;"|"&amp;L472,Effort_Model!$B$6:$B$33,0)),"")</x:f>
        <x:v>42.4</x:v>
      </x:c>
      <x:c r="AC472" s="38">
        <x:v>265.89999999999998</x:v>
      </x:c>
      <x:c r="AD472" s="37">
        <x:f t="shared" si="7"/>
        <x:v>342.9</x:v>
      </x:c>
      <x:c r="AE472" s="37" t="n">
        <x:f>IFERROR(ROUND(IFERROR(INDEX(Scoring_Rules!$C$43:$C$44,MATCH(Q472,Scoring_Rules!$B$43:$B$44,0)),0)*Scoring_Rules!$C$6+IFERROR(INDEX(Scoring_Rules!$C$34:$C$40,MATCH(K472,Scoring_Rules!$B$34:$B$40,0)),0)*Scoring_Rules!$C$7+IFERROR(INDEX(Scoring_Rules!$C$16:$C$19,MATCH(P472,Scoring_Rules!$B$16:$B$19,0)),0)*Scoring_Rules!$C$8+IFERROR(INDEX(Scoring_Rules!$C$22:$C$25,MATCH(O472,Scoring_Rules!$B$22:$B$25,0)),0)*Scoring_Rules!$C$9+IFERROR(INDEX(Scoring_Rules!$C$47:$C$50,MATCH(X472,Scoring_Rules!$B$47:$B$50,0)),0)*Scoring_Rules!$C$10+IFERROR(INDEX(Scoring_Rules!$C$28:$C$31,MATCH(R472,Scoring_Rules!$B$28:$B$31,0)),0)*Scoring_Rules!$C$11,1),"")</x:f>
        <x:v>52</x:v>
      </x:c>
      <x:c r="AF472" s="35">
        <x:v>3</x:v>
      </x:c>
      <x:c r="AG472" s="33" t="s">
        <x:v>2219</x:v>
      </x:c>
      <x:c r="AH472" s="36">
        <x:v>46324</x:v>
      </x:c>
      <x:c r="AI472" s="33" t="s">
        <x:v>126</x:v>
      </x:c>
      <x:c r="AJ472" s="34"/>
    </x:row>
    <x:row r="473" ht="15" customHeight="1">
      <x:c r="A473" s="31" t="s">
        <x:v>2220</x:v>
      </x:c>
      <x:c r="B473" s="31" t="s">
        <x:v>2221</x:v>
      </x:c>
      <x:c r="C473" s="31" t="s">
        <x:v>2197</x:v>
      </x:c>
      <x:c r="D473" s="32" t="s">
        <x:v>493</x:v>
      </x:c>
      <x:c r="E473" s="32" t="str">
        <x:v>Data Migration Only</x:v>
      </x:c>
      <x:c r="F473" s="33" t="s">
        <x:v>120</x:v>
      </x:c>
      <x:c r="G473" s="34" t="s">
        <x:v>2206</x:v>
      </x:c>
      <x:c r="H473" s="33" t="s">
        <x:v>87</x:v>
      </x:c>
      <x:c r="I473" s="33" t="s">
        <x:v>2200</x:v>
      </x:c>
      <x:c r="J473" s="33" t="s">
        <x:v>80</x:v>
      </x:c>
      <x:c r="K473" s="33" t="s">
        <x:v>62</x:v>
      </x:c>
      <x:c r="L473" s="33" t="s">
        <x:v>75</x:v>
      </x:c>
      <x:c r="M473" s="35">
        <x:v>62</x:v>
      </x:c>
      <x:c r="N473" s="35">
        <x:v>127039158</x:v>
      </x:c>
      <x:c r="O473" s="33" t="s">
        <x:v>101</x:v>
      </x:c>
      <x:c r="P473" s="33" t="s">
        <x:v>101</x:v>
      </x:c>
      <x:c r="Q473" s="33" t="s">
        <x:v>120</x:v>
      </x:c>
      <x:c r="R473" s="33" t="s">
        <x:v>101</x:v>
      </x:c>
      <x:c r="S473" s="31" t="s">
        <x:v>721</x:v>
      </x:c>
      <x:c r="T473" s="31" t="s">
        <x:v>2222</x:v>
      </x:c>
      <x:c r="U473" s="31" t="s">
        <x:v>522</x:v>
      </x:c>
      <x:c r="V473" s="33" t="s">
        <x:v>289</x:v>
      </x:c>
      <x:c r="W473" s="33" t="s">
        <x:v>2195</x:v>
      </x:c>
      <x:c r="X473" s="33" t="s">
        <x:v>239</x:v>
      </x:c>
      <x:c r="Y473" s="36"/>
      <x:c r="Z473" s="36">
        <x:v>47074</x:v>
      </x:c>
      <x:c r="AA473" s="33" t="s">
        <x:v>120</x:v>
      </x:c>
      <x:c r="AB473" s="37" t="n">
        <x:f>IFERROR(INDEX(Effort_Model!$J$6:$J$33,MATCH(K473&amp;"|"&amp;L473,Effort_Model!$B$6:$B$33,0)),"")</x:f>
        <x:v>74.4</x:v>
      </x:c>
      <x:c r="AC473" s="38">
        <x:v>662.6</x:v>
      </x:c>
      <x:c r="AD473" s="37">
        <x:f t="shared" si="7"/>
        <x:v>871.93330000000003</x:v>
      </x:c>
      <x:c r="AE473" s="37" t="n">
        <x:f>IFERROR(ROUND(IFERROR(INDEX(Scoring_Rules!$C$43:$C$44,MATCH(Q473,Scoring_Rules!$B$43:$B$44,0)),0)*Scoring_Rules!$C$6+IFERROR(INDEX(Scoring_Rules!$C$34:$C$40,MATCH(K473,Scoring_Rules!$B$34:$B$40,0)),0)*Scoring_Rules!$C$7+IFERROR(INDEX(Scoring_Rules!$C$16:$C$19,MATCH(P473,Scoring_Rules!$B$16:$B$19,0)),0)*Scoring_Rules!$C$8+IFERROR(INDEX(Scoring_Rules!$C$22:$C$25,MATCH(O473,Scoring_Rules!$B$22:$B$25,0)),0)*Scoring_Rules!$C$9+IFERROR(INDEX(Scoring_Rules!$C$47:$C$50,MATCH(X473,Scoring_Rules!$B$47:$B$50,0)),0)*Scoring_Rules!$C$10+IFERROR(INDEX(Scoring_Rules!$C$28:$C$31,MATCH(R473,Scoring_Rules!$B$28:$B$31,0)),0)*Scoring_Rules!$C$11,1),"")</x:f>
        <x:v>35.5</x:v>
      </x:c>
      <x:c r="AF473" s="35">
        <x:v>7</x:v>
      </x:c>
      <x:c r="AG473" s="33" t="s">
        <x:v>2202</x:v>
      </x:c>
      <x:c r="AH473" s="36">
        <x:v>46326</x:v>
      </x:c>
      <x:c r="AI473" s="33" t="s">
        <x:v>127</x:v>
      </x:c>
      <x:c r="AJ473" s="34"/>
    </x:row>
    <x:row r="474" ht="15" customHeight="1">
      <x:c r="A474" s="31" t="s">
        <x:v>2223</x:v>
      </x:c>
      <x:c r="B474" s="31" t="s">
        <x:v>2224</x:v>
      </x:c>
      <x:c r="C474" s="31" t="s">
        <x:v>2197</x:v>
      </x:c>
      <x:c r="D474" s="32" t="s">
        <x:v>320</x:v>
      </x:c>
      <x:c r="E474" s="32" t="str">
        <x:v>Functional Migration Only</x:v>
      </x:c>
      <x:c r="F474" s="33" t="s">
        <x:v>118</x:v>
      </x:c>
      <x:c r="G474" s="34" t="s">
        <x:v>2199</x:v>
      </x:c>
      <x:c r="H474" s="33" t="s">
        <x:v>87</x:v>
      </x:c>
      <x:c r="I474" s="33" t="s">
        <x:v>2200</x:v>
      </x:c>
      <x:c r="J474" s="33" t="s">
        <x:v>82</x:v>
      </x:c>
      <x:c r="K474" s="33" t="s">
        <x:v>62</x:v>
      </x:c>
      <x:c r="L474" s="33" t="s">
        <x:v>73</x:v>
      </x:c>
      <x:c r="M474" s="35">
        <x:v>65</x:v>
      </x:c>
      <x:c r="N474" s="35">
        <x:v>145921717</x:v>
      </x:c>
      <x:c r="O474" s="33" t="s">
        <x:v>101</x:v>
      </x:c>
      <x:c r="P474" s="33" t="s">
        <x:v>73</x:v>
      </x:c>
      <x:c r="Q474" s="33" t="s">
        <x:v>120</x:v>
      </x:c>
      <x:c r="R474" s="33" t="s">
        <x:v>98</x:v>
      </x:c>
      <x:c r="S474" s="31" t="s">
        <x:v>2225</x:v>
      </x:c>
      <x:c r="T474" s="31" t="s">
        <x:v>2226</x:v>
      </x:c>
      <x:c r="U474" s="31" t="s">
        <x:v>276</x:v>
      </x:c>
      <x:c r="V474" s="33" t="s">
        <x:v>451</x:v>
      </x:c>
      <x:c r="W474" s="33" t="s">
        <x:v>2203</x:v>
      </x:c>
      <x:c r="X474" s="33" t="s">
        <x:v>239</x:v>
      </x:c>
      <x:c r="Y474" s="36"/>
      <x:c r="Z474" s="36">
        <x:v>46919</x:v>
      </x:c>
      <x:c r="AA474" s="33" t="s">
        <x:v>120</x:v>
      </x:c>
      <x:c r="AB474" s="37" t="n">
        <x:f>IFERROR(INDEX(Effort_Model!$J$6:$J$33,MATCH(K474&amp;"|"&amp;L474,Effort_Model!$B$6:$B$33,0)),"")</x:f>
        <x:v>74.4</x:v>
      </x:c>
      <x:c r="AC474" s="38">
        <x:v>821.4</x:v>
      </x:c>
      <x:c r="AD474" s="37">
        <x:f t="shared" si="7"/>
        <x:v>962.4</x:v>
      </x:c>
      <x:c r="AE474" s="37" t="n">
        <x:f>IFERROR(ROUND(IFERROR(INDEX(Scoring_Rules!$C$43:$C$44,MATCH(Q474,Scoring_Rules!$B$43:$B$44,0)),0)*Scoring_Rules!$C$6+IFERROR(INDEX(Scoring_Rules!$C$34:$C$40,MATCH(K474,Scoring_Rules!$B$34:$B$40,0)),0)*Scoring_Rules!$C$7+IFERROR(INDEX(Scoring_Rules!$C$16:$C$19,MATCH(P474,Scoring_Rules!$B$16:$B$19,0)),0)*Scoring_Rules!$C$8+IFERROR(INDEX(Scoring_Rules!$C$22:$C$25,MATCH(O474,Scoring_Rules!$B$22:$B$25,0)),0)*Scoring_Rules!$C$9+IFERROR(INDEX(Scoring_Rules!$C$47:$C$50,MATCH(X474,Scoring_Rules!$B$47:$B$50,0)),0)*Scoring_Rules!$C$10+IFERROR(INDEX(Scoring_Rules!$C$28:$C$31,MATCH(R474,Scoring_Rules!$B$28:$B$31,0)),0)*Scoring_Rules!$C$11,1),"")</x:f>
        <x:v>45.8</x:v>
      </x:c>
      <x:c r="AF474" s="35">
        <x:v>5</x:v>
      </x:c>
      <x:c r="AG474" s="33" t="s">
        <x:v>2209</x:v>
      </x:c>
      <x:c r="AH474" s="36">
        <x:v>46378</x:v>
      </x:c>
      <x:c r="AI474" s="33" t="s">
        <x:v>126</x:v>
      </x:c>
      <x:c r="AJ474" s="34" t="s">
        <x:v>342</x:v>
      </x:c>
    </x:row>
    <x:row r="475" ht="23.25" customHeight="1">
      <x:c r="A475" s="31" t="s">
        <x:v>2227</x:v>
      </x:c>
      <x:c r="B475" s="31" t="s">
        <x:v>2228</x:v>
      </x:c>
      <x:c r="C475" s="31" t="s">
        <x:v>2197</x:v>
      </x:c>
      <x:c r="D475" s="32" t="s">
        <x:v>585</x:v>
      </x:c>
      <x:c r="E475" s="32" t="str">
        <x:v>Data Migration Only</x:v>
      </x:c>
      <x:c r="F475" s="33" t="s">
        <x:v>118</x:v>
      </x:c>
      <x:c r="G475" s="34" t="s">
        <x:v>2206</x:v>
      </x:c>
      <x:c r="H475" s="33" t="s">
        <x:v>87</x:v>
      </x:c>
      <x:c r="I475" s="33" t="s">
        <x:v>2200</x:v>
      </x:c>
      <x:c r="J475" s="33" t="s">
        <x:v>80</x:v>
      </x:c>
      <x:c r="K475" s="33" t="s">
        <x:v>58</x:v>
      </x:c>
      <x:c r="L475" s="33" t="s">
        <x:v>75</x:v>
      </x:c>
      <x:c r="M475" s="35">
        <x:v>13</x:v>
      </x:c>
      <x:c r="N475" s="35">
        <x:v>692845</x:v>
      </x:c>
      <x:c r="O475" s="33" t="s">
        <x:v>101</x:v>
      </x:c>
      <x:c r="P475" s="33" t="s">
        <x:v>73</x:v>
      </x:c>
      <x:c r="Q475" s="33" t="s">
        <x:v>120</x:v>
      </x:c>
      <x:c r="R475" s="33" t="s">
        <x:v>73</x:v>
      </x:c>
      <x:c r="S475" s="31" t="s">
        <x:v>2229</x:v>
      </x:c>
      <x:c r="T475" s="31" t="s">
        <x:v>2230</x:v>
      </x:c>
      <x:c r="U475" s="31" t="s">
        <x:v>276</x:v>
      </x:c>
      <x:c r="V475" s="33" t="s">
        <x:v>277</x:v>
      </x:c>
      <x:c r="W475" s="33" t="s">
        <x:v>2203</x:v>
      </x:c>
      <x:c r="X475" s="33" t="s">
        <x:v>239</x:v>
      </x:c>
      <x:c r="Y475" s="36">
        <x:v>46436</x:v>
      </x:c>
      <x:c r="Z475" s="36"/>
      <x:c r="AA475" s="33" t="s">
        <x:v>120</x:v>
      </x:c>
      <x:c r="AB475" s="37" t="n">
        <x:f>IFERROR(INDEX(Effort_Model!$J$6:$J$33,MATCH(K475&amp;"|"&amp;L475,Effort_Model!$B$6:$B$33,0)),"")</x:f>
        <x:v>26.4</x:v>
      </x:c>
      <x:c r="AC475" s="38">
        <x:v>219.5</x:v>
      </x:c>
      <x:c r="AD475" s="37">
        <x:f t="shared" si="7"/>
        <x:v>284.83330000000001</x:v>
      </x:c>
      <x:c r="AE475" s="37" t="n">
        <x:f>IFERROR(ROUND(IFERROR(INDEX(Scoring_Rules!$C$43:$C$44,MATCH(Q475,Scoring_Rules!$B$43:$B$44,0)),0)*Scoring_Rules!$C$6+IFERROR(INDEX(Scoring_Rules!$C$34:$C$40,MATCH(K475,Scoring_Rules!$B$34:$B$40,0)),0)*Scoring_Rules!$C$7+IFERROR(INDEX(Scoring_Rules!$C$16:$C$19,MATCH(P475,Scoring_Rules!$B$16:$B$19,0)),0)*Scoring_Rules!$C$8+IFERROR(INDEX(Scoring_Rules!$C$22:$C$25,MATCH(O475,Scoring_Rules!$B$22:$B$25,0)),0)*Scoring_Rules!$C$9+IFERROR(INDEX(Scoring_Rules!$C$47:$C$50,MATCH(X475,Scoring_Rules!$B$47:$B$50,0)),0)*Scoring_Rules!$C$10+IFERROR(INDEX(Scoring_Rules!$C$28:$C$31,MATCH(R475,Scoring_Rules!$B$28:$B$31,0)),0)*Scoring_Rules!$C$11,1),"")</x:f>
        <x:v>51.3</x:v>
      </x:c>
      <x:c r="AF475" s="35">
        <x:v>5</x:v>
      </x:c>
      <x:c r="AG475" s="33" t="s">
        <x:v>2215</x:v>
      </x:c>
      <x:c r="AH475" s="36">
        <x:v>46370</x:v>
      </x:c>
      <x:c r="AI475" s="33" t="s">
        <x:v>126</x:v>
      </x:c>
      <x:c r="AJ475" s="34" t="s">
        <x:v>383</x:v>
      </x:c>
    </x:row>
    <x:row r="476" ht="15" customHeight="1">
      <x:c r="A476" s="31" t="s">
        <x:v>2231</x:v>
      </x:c>
      <x:c r="B476" s="31" t="s">
        <x:v>2232</x:v>
      </x:c>
      <x:c r="C476" s="31" t="s">
        <x:v>2197</x:v>
      </x:c>
      <x:c r="D476" s="32" t="s">
        <x:v>824</x:v>
      </x:c>
      <x:c r="E476" s="32" t="str">
        <x:v>Data Migration Only</x:v>
      </x:c>
      <x:c r="F476" s="33" t="s">
        <x:v>118</x:v>
      </x:c>
      <x:c r="G476" s="34" t="s">
        <x:v>2199</x:v>
      </x:c>
      <x:c r="H476" s="33" t="s">
        <x:v>87</x:v>
      </x:c>
      <x:c r="I476" s="33" t="s">
        <x:v>2200</x:v>
      </x:c>
      <x:c r="J476" s="33" t="s">
        <x:v>80</x:v>
      </x:c>
      <x:c r="K476" s="33" t="s">
        <x:v>62</x:v>
      </x:c>
      <x:c r="L476" s="33" t="s">
        <x:v>73</x:v>
      </x:c>
      <x:c r="M476" s="35">
        <x:v>66</x:v>
      </x:c>
      <x:c r="N476" s="35">
        <x:v>144634567</x:v>
      </x:c>
      <x:c r="O476" s="33" t="s">
        <x:v>101</x:v>
      </x:c>
      <x:c r="P476" s="33" t="s">
        <x:v>101</x:v>
      </x:c>
      <x:c r="Q476" s="33" t="s">
        <x:v>120</x:v>
      </x:c>
      <x:c r="R476" s="33" t="s">
        <x:v>98</x:v>
      </x:c>
      <x:c r="S476" s="31" t="s">
        <x:v>807</x:v>
      </x:c>
      <x:c r="T476" s="31" t="s">
        <x:v>2233</x:v>
      </x:c>
      <x:c r="U476" s="31" t="s">
        <x:v>477</x:v>
      </x:c>
      <x:c r="V476" s="33" t="s">
        <x:v>365</x:v>
      </x:c>
      <x:c r="W476" s="33" t="s">
        <x:v>2234</x:v>
      </x:c>
      <x:c r="X476" s="33" t="s">
        <x:v>240</x:v>
      </x:c>
      <x:c r="Y476" s="36"/>
      <x:c r="Z476" s="36"/>
      <x:c r="AA476" s="33" t="s">
        <x:v>120</x:v>
      </x:c>
      <x:c r="AB476" s="37" t="n">
        <x:f>IFERROR(INDEX(Effort_Model!$J$6:$J$33,MATCH(K476&amp;"|"&amp;L476,Effort_Model!$B$6:$B$33,0)),"")</x:f>
        <x:v>74.4</x:v>
      </x:c>
      <x:c r="AC476" s="38">
        <x:v>453.1</x:v>
      </x:c>
      <x:c r="AD476" s="37">
        <x:f t="shared" si="7"/>
        <x:v>594.1</x:v>
      </x:c>
      <x:c r="AE476" s="37" t="n">
        <x:f>IFERROR(ROUND(IFERROR(INDEX(Scoring_Rules!$C$43:$C$44,MATCH(Q476,Scoring_Rules!$B$43:$B$44,0)),0)*Scoring_Rules!$C$6+IFERROR(INDEX(Scoring_Rules!$C$34:$C$40,MATCH(K476,Scoring_Rules!$B$34:$B$40,0)),0)*Scoring_Rules!$C$7+IFERROR(INDEX(Scoring_Rules!$C$16:$C$19,MATCH(P476,Scoring_Rules!$B$16:$B$19,0)),0)*Scoring_Rules!$C$8+IFERROR(INDEX(Scoring_Rules!$C$22:$C$25,MATCH(O476,Scoring_Rules!$B$22:$B$25,0)),0)*Scoring_Rules!$C$9+IFERROR(INDEX(Scoring_Rules!$C$47:$C$50,MATCH(X476,Scoring_Rules!$B$47:$B$50,0)),0)*Scoring_Rules!$C$10+IFERROR(INDEX(Scoring_Rules!$C$28:$C$31,MATCH(R476,Scoring_Rules!$B$28:$B$31,0)),0)*Scoring_Rules!$C$11,1),"")</x:f>
        <x:v>32.8</x:v>
      </x:c>
      <x:c r="AF476" s="35">
        <x:v>5</x:v>
      </x:c>
      <x:c r="AG476" s="33" t="s">
        <x:v>2219</x:v>
      </x:c>
      <x:c r="AH476" s="36">
        <x:v>46334</x:v>
      </x:c>
      <x:c r="AI476" s="33" t="s">
        <x:v>125</x:v>
      </x:c>
      <x:c r="AJ476" s="34" t="s">
        <x:v>336</x:v>
      </x:c>
    </x:row>
    <x:row r="477" ht="15" customHeight="1">
      <x:c r="A477" s="31" t="s">
        <x:v>2235</x:v>
      </x:c>
      <x:c r="B477" s="31" t="s">
        <x:v>2236</x:v>
      </x:c>
      <x:c r="C477" s="31" t="s">
        <x:v>2197</x:v>
      </x:c>
      <x:c r="D477" s="32" t="s">
        <x:v>493</x:v>
      </x:c>
      <x:c r="E477" s="32" t="str">
        <x:v>Functional Migration Only</x:v>
      </x:c>
      <x:c r="F477" s="33" t="s">
        <x:v>118</x:v>
      </x:c>
      <x:c r="G477" s="34" t="s">
        <x:v>2237</x:v>
      </x:c>
      <x:c r="H477" s="33" t="s">
        <x:v>87</x:v>
      </x:c>
      <x:c r="I477" s="33" t="s">
        <x:v>2200</x:v>
      </x:c>
      <x:c r="J477" s="33" t="s">
        <x:v>82</x:v>
      </x:c>
      <x:c r="K477" s="33" t="s">
        <x:v>60</x:v>
      </x:c>
      <x:c r="L477" s="33" t="s">
        <x:v>73</x:v>
      </x:c>
      <x:c r="M477" s="35">
        <x:v>48</x:v>
      </x:c>
      <x:c r="N477" s="35">
        <x:v>4411662</x:v>
      </x:c>
      <x:c r="O477" s="33" t="s">
        <x:v>101</x:v>
      </x:c>
      <x:c r="P477" s="33" t="s">
        <x:v>101</x:v>
      </x:c>
      <x:c r="Q477" s="33" t="s">
        <x:v>120</x:v>
      </x:c>
      <x:c r="R477" s="33" t="s">
        <x:v>73</x:v>
      </x:c>
      <x:c r="S477" s="31" t="s">
        <x:v>604</x:v>
      </x:c>
      <x:c r="T477" s="31" t="s">
        <x:v>2238</x:v>
      </x:c>
      <x:c r="U477" s="31" t="s">
        <x:v>276</x:v>
      </x:c>
      <x:c r="V477" s="33" t="s">
        <x:v>303</x:v>
      </x:c>
      <x:c r="W477" s="33"/>
      <x:c r="X477" s="33" t="s">
        <x:v>238</x:v>
      </x:c>
      <x:c r="Y477" s="36"/>
      <x:c r="Z477" s="36"/>
      <x:c r="AA477" s="33" t="s">
        <x:v>120</x:v>
      </x:c>
      <x:c r="AB477" s="37" t="n">
        <x:f>IFERROR(INDEX(Effort_Model!$J$6:$J$33,MATCH(K477&amp;"|"&amp;L477,Effort_Model!$B$6:$B$33,0)),"")</x:f>
        <x:v>42.4</x:v>
      </x:c>
      <x:c r="AC477" s="38">
        <x:v>413.4</x:v>
      </x:c>
      <x:c r="AD477" s="37">
        <x:f t="shared" si="7"/>
        <x:v>490.4</x:v>
      </x:c>
      <x:c r="AE477" s="37" t="n">
        <x:f>IFERROR(ROUND(IFERROR(INDEX(Scoring_Rules!$C$43:$C$44,MATCH(Q477,Scoring_Rules!$B$43:$B$44,0)),0)*Scoring_Rules!$C$6+IFERROR(INDEX(Scoring_Rules!$C$34:$C$40,MATCH(K477,Scoring_Rules!$B$34:$B$40,0)),0)*Scoring_Rules!$C$7+IFERROR(INDEX(Scoring_Rules!$C$16:$C$19,MATCH(P477,Scoring_Rules!$B$16:$B$19,0)),0)*Scoring_Rules!$C$8+IFERROR(INDEX(Scoring_Rules!$C$22:$C$25,MATCH(O477,Scoring_Rules!$B$22:$B$25,0)),0)*Scoring_Rules!$C$9+IFERROR(INDEX(Scoring_Rules!$C$47:$C$50,MATCH(X477,Scoring_Rules!$B$47:$B$50,0)),0)*Scoring_Rules!$C$10+IFERROR(INDEX(Scoring_Rules!$C$28:$C$31,MATCH(R477,Scoring_Rules!$B$28:$B$31,0)),0)*Scoring_Rules!$C$11,1),"")</x:f>
        <x:v>45.8</x:v>
      </x:c>
      <x:c r="AF477" s="35">
        <x:v>4</x:v>
      </x:c>
      <x:c r="AG477" s="33" t="s">
        <x:v>2202</x:v>
      </x:c>
      <x:c r="AH477" s="36">
        <x:v>46314</x:v>
      </x:c>
      <x:c r="AI477" s="33" t="s">
        <x:v>127</x:v>
      </x:c>
      <x:c r="AJ477" s="34" t="s">
        <x:v>312</x:v>
      </x:c>
    </x:row>
    <x:row r="478" ht="15" customHeight="1">
      <x:c r="A478" s="31" t="s">
        <x:v>2239</x:v>
      </x:c>
      <x:c r="B478" s="31" t="s">
        <x:v>2240</x:v>
      </x:c>
      <x:c r="C478" s="31" t="s">
        <x:v>2197</x:v>
      </x:c>
      <x:c r="D478" s="32" t="s">
        <x:v>493</x:v>
      </x:c>
      <x:c r="E478" s="32" t="str">
        <x:v>Functional Migration Only</x:v>
      </x:c>
      <x:c r="F478" s="33" t="s">
        <x:v>118</x:v>
      </x:c>
      <x:c r="G478" s="34" t="s">
        <x:v>2199</x:v>
      </x:c>
      <x:c r="H478" s="33" t="s">
        <x:v>87</x:v>
      </x:c>
      <x:c r="I478" s="33" t="s">
        <x:v>2200</x:v>
      </x:c>
      <x:c r="J478" s="33" t="s">
        <x:v>82</x:v>
      </x:c>
      <x:c r="K478" s="33" t="s">
        <x:v>60</x:v>
      </x:c>
      <x:c r="L478" s="33" t="s">
        <x:v>73</x:v>
      </x:c>
      <x:c r="M478" s="35">
        <x:v>36</x:v>
      </x:c>
      <x:c r="N478" s="35">
        <x:v>5627818</x:v>
      </x:c>
      <x:c r="O478" s="33" t="s">
        <x:v>98</x:v>
      </x:c>
      <x:c r="P478" s="33" t="s">
        <x:v>73</x:v>
      </x:c>
      <x:c r="Q478" s="33" t="s">
        <x:v>118</x:v>
      </x:c>
      <x:c r="R478" s="33" t="s">
        <x:v>98</x:v>
      </x:c>
      <x:c r="S478" s="31" t="s">
        <x:v>604</x:v>
      </x:c>
      <x:c r="T478" s="31" t="s">
        <x:v>2238</x:v>
      </x:c>
      <x:c r="U478" s="31" t="s">
        <x:v>276</x:v>
      </x:c>
      <x:c r="V478" s="33" t="s">
        <x:v>379</x:v>
      </x:c>
      <x:c r="W478" s="33"/>
      <x:c r="X478" s="33" t="s">
        <x:v>238</x:v>
      </x:c>
      <x:c r="Y478" s="36"/>
      <x:c r="Z478" s="36"/>
      <x:c r="AA478" s="33" t="s">
        <x:v>120</x:v>
      </x:c>
      <x:c r="AB478" s="37" t="n">
        <x:f>IFERROR(INDEX(Effort_Model!$J$6:$J$33,MATCH(K478&amp;"|"&amp;L478,Effort_Model!$B$6:$B$33,0)),"")</x:f>
        <x:v>42.4</x:v>
      </x:c>
      <x:c r="AC478" s="38">
        <x:v>420.4</x:v>
      </x:c>
      <x:c r="AD478" s="37">
        <x:f t="shared" si="7"/>
        <x:v>497.4</x:v>
      </x:c>
      <x:c r="AE478" s="37" t="n">
        <x:f>IFERROR(ROUND(IFERROR(INDEX(Scoring_Rules!$C$43:$C$44,MATCH(Q478,Scoring_Rules!$B$43:$B$44,0)),0)*Scoring_Rules!$C$6+IFERROR(INDEX(Scoring_Rules!$C$34:$C$40,MATCH(K478,Scoring_Rules!$B$34:$B$40,0)),0)*Scoring_Rules!$C$7+IFERROR(INDEX(Scoring_Rules!$C$16:$C$19,MATCH(P478,Scoring_Rules!$B$16:$B$19,0)),0)*Scoring_Rules!$C$8+IFERROR(INDEX(Scoring_Rules!$C$22:$C$25,MATCH(O478,Scoring_Rules!$B$22:$B$25,0)),0)*Scoring_Rules!$C$9+IFERROR(INDEX(Scoring_Rules!$C$47:$C$50,MATCH(X478,Scoring_Rules!$B$47:$B$50,0)),0)*Scoring_Rules!$C$10+IFERROR(INDEX(Scoring_Rules!$C$28:$C$31,MATCH(R478,Scoring_Rules!$B$28:$B$31,0)),0)*Scoring_Rules!$C$11,1),"")</x:f>
        <x:v>89</x:v>
      </x:c>
      <x:c r="AF478" s="35">
        <x:v>1</x:v>
      </x:c>
      <x:c r="AG478" s="33" t="s">
        <x:v>2209</x:v>
      </x:c>
      <x:c r="AH478" s="36">
        <x:v>46313</x:v>
      </x:c>
      <x:c r="AI478" s="33" t="s">
        <x:v>126</x:v>
      </x:c>
      <x:c r="AJ478" s="34" t="s">
        <x:v>395</x:v>
      </x:c>
    </x:row>
    <x:row r="479" ht="15" customHeight="1">
      <x:c r="A479" s="31" t="s">
        <x:v>2241</x:v>
      </x:c>
      <x:c r="B479" s="31" t="s">
        <x:v>2242</x:v>
      </x:c>
      <x:c r="C479" s="31" t="s">
        <x:v>2197</x:v>
      </x:c>
      <x:c r="D479" s="32" t="s">
        <x:v>493</x:v>
      </x:c>
      <x:c r="E479" s="32" t="str">
        <x:v>Data Migration Only</x:v>
      </x:c>
      <x:c r="F479" s="33" t="s">
        <x:v>120</x:v>
      </x:c>
      <x:c r="G479" s="34" t="s">
        <x:v>2206</x:v>
      </x:c>
      <x:c r="H479" s="33" t="s">
        <x:v>87</x:v>
      </x:c>
      <x:c r="I479" s="33" t="s">
        <x:v>2200</x:v>
      </x:c>
      <x:c r="J479" s="33" t="s">
        <x:v>80</x:v>
      </x:c>
      <x:c r="K479" s="33" t="s">
        <x:v>60</x:v>
      </x:c>
      <x:c r="L479" s="33" t="s">
        <x:v>73</x:v>
      </x:c>
      <x:c r="M479" s="35">
        <x:v>43</x:v>
      </x:c>
      <x:c r="N479" s="35">
        <x:v>4271133</x:v>
      </x:c>
      <x:c r="O479" s="33" t="s">
        <x:v>103</x:v>
      </x:c>
      <x:c r="P479" s="33" t="s">
        <x:v>73</x:v>
      </x:c>
      <x:c r="Q479" s="33" t="s">
        <x:v>118</x:v>
      </x:c>
      <x:c r="R479" s="33" t="s">
        <x:v>101</x:v>
      </x:c>
      <x:c r="S479" s="31" t="s">
        <x:v>604</x:v>
      </x:c>
      <x:c r="T479" s="31" t="s">
        <x:v>2238</x:v>
      </x:c>
      <x:c r="U479" s="31" t="s">
        <x:v>276</x:v>
      </x:c>
      <x:c r="V479" s="33" t="s">
        <x:v>277</x:v>
      </x:c>
      <x:c r="W479" s="33" t="s">
        <x:v>2227</x:v>
      </x:c>
      <x:c r="X479" s="33" t="s">
        <x:v>239</x:v>
      </x:c>
      <x:c r="Y479" s="36">
        <x:v>46697</x:v>
      </x:c>
      <x:c r="Z479" s="36"/>
      <x:c r="AA479" s="33" t="s">
        <x:v>118</x:v>
      </x:c>
      <x:c r="AB479" s="37" t="n">
        <x:f>IFERROR(INDEX(Effort_Model!$J$6:$J$33,MATCH(K479&amp;"|"&amp;L479,Effort_Model!$B$6:$B$33,0)),"")</x:f>
        <x:v>42.4</x:v>
      </x:c>
      <x:c r="AC479" s="38">
        <x:v>286.5</x:v>
      </x:c>
      <x:c r="AD479" s="37">
        <x:f t="shared" si="7"/>
        <x:v>363.5</x:v>
      </x:c>
      <x:c r="AE479" s="37" t="n">
        <x:f>IFERROR(ROUND(IFERROR(INDEX(Scoring_Rules!$C$43:$C$44,MATCH(Q479,Scoring_Rules!$B$43:$B$44,0)),0)*Scoring_Rules!$C$6+IFERROR(INDEX(Scoring_Rules!$C$34:$C$40,MATCH(K479,Scoring_Rules!$B$34:$B$40,0)),0)*Scoring_Rules!$C$7+IFERROR(INDEX(Scoring_Rules!$C$16:$C$19,MATCH(P479,Scoring_Rules!$B$16:$B$19,0)),0)*Scoring_Rules!$C$8+IFERROR(INDEX(Scoring_Rules!$C$22:$C$25,MATCH(O479,Scoring_Rules!$B$22:$B$25,0)),0)*Scoring_Rules!$C$9+IFERROR(INDEX(Scoring_Rules!$C$47:$C$50,MATCH(X479,Scoring_Rules!$B$47:$B$50,0)),0)*Scoring_Rules!$C$10+IFERROR(INDEX(Scoring_Rules!$C$28:$C$31,MATCH(R479,Scoring_Rules!$B$28:$B$31,0)),0)*Scoring_Rules!$C$11,1),"")</x:f>
        <x:v>66.3</x:v>
      </x:c>
      <x:c r="AF479" s="35"/>
      <x:c r="AG479" s="33" t="s">
        <x:v>2215</x:v>
      </x:c>
      <x:c r="AH479" s="36">
        <x:v>46336</x:v>
      </x:c>
      <x:c r="AI479" s="33" t="s">
        <x:v>127</x:v>
      </x:c>
      <x:c r="AJ479" s="34" t="s">
        <x:v>383</x:v>
      </x:c>
    </x:row>
    <x:row r="480" ht="15" customHeight="1">
      <x:c r="A480" s="31" t="s">
        <x:v>2243</x:v>
      </x:c>
      <x:c r="B480" s="31" t="s">
        <x:v>2244</x:v>
      </x:c>
      <x:c r="C480" s="31" t="s">
        <x:v>2197</x:v>
      </x:c>
      <x:c r="D480" s="32" t="s">
        <x:v>485</x:v>
      </x:c>
      <x:c r="E480" s="32" t="str">
        <x:v>Data Migration Only</x:v>
      </x:c>
      <x:c r="F480" s="33" t="s">
        <x:v>118</x:v>
      </x:c>
      <x:c r="G480" s="34" t="s">
        <x:v>2206</x:v>
      </x:c>
      <x:c r="H480" s="33" t="s">
        <x:v>87</x:v>
      </x:c>
      <x:c r="I480" s="33" t="s">
        <x:v>2200</x:v>
      </x:c>
      <x:c r="J480" s="33" t="s">
        <x:v>80</x:v>
      </x:c>
      <x:c r="K480" s="33" t="s">
        <x:v>56</x:v>
      </x:c>
      <x:c r="L480" s="33" t="s">
        <x:v>73</x:v>
      </x:c>
      <x:c r="M480" s="35">
        <x:v>9</x:v>
      </x:c>
      <x:c r="N480" s="35">
        <x:v>53912</x:v>
      </x:c>
      <x:c r="O480" s="33" t="s">
        <x:v>73</x:v>
      </x:c>
      <x:c r="P480" s="33" t="s">
        <x:v>101</x:v>
      </x:c>
      <x:c r="Q480" s="33" t="s">
        <x:v>120</x:v>
      </x:c>
      <x:c r="R480" s="33" t="s">
        <x:v>98</x:v>
      </x:c>
      <x:c r="S480" s="31" t="s">
        <x:v>1969</x:v>
      </x:c>
      <x:c r="T480" s="31" t="s">
        <x:v>2245</x:v>
      </x:c>
      <x:c r="U480" s="31" t="s">
        <x:v>522</x:v>
      </x:c>
      <x:c r="V480" s="33" t="s">
        <x:v>303</x:v>
      </x:c>
      <x:c r="W480" s="33"/>
      <x:c r="X480" s="33" t="s">
        <x:v>238</x:v>
      </x:c>
      <x:c r="Y480" s="36"/>
      <x:c r="Z480" s="36"/>
      <x:c r="AA480" s="33" t="s">
        <x:v>120</x:v>
      </x:c>
      <x:c r="AB480" s="37" t="n">
        <x:f>IFERROR(INDEX(Effort_Model!$J$6:$J$33,MATCH(K480&amp;"|"&amp;L480,Effort_Model!$B$6:$B$33,0)),"")</x:f>
        <x:v>18.4</x:v>
      </x:c>
      <x:c r="AC480" s="38">
        <x:v>83.2</x:v>
      </x:c>
      <x:c r="AD480" s="37">
        <x:f t="shared" si="7"/>
        <x:v>112.2</x:v>
      </x:c>
      <x:c r="AE480" s="37" t="n">
        <x:f>IFERROR(ROUND(IFERROR(INDEX(Scoring_Rules!$C$43:$C$44,MATCH(Q480,Scoring_Rules!$B$43:$B$44,0)),0)*Scoring_Rules!$C$6+IFERROR(INDEX(Scoring_Rules!$C$34:$C$40,MATCH(K480,Scoring_Rules!$B$34:$B$40,0)),0)*Scoring_Rules!$C$7+IFERROR(INDEX(Scoring_Rules!$C$16:$C$19,MATCH(P480,Scoring_Rules!$B$16:$B$19,0)),0)*Scoring_Rules!$C$8+IFERROR(INDEX(Scoring_Rules!$C$22:$C$25,MATCH(O480,Scoring_Rules!$B$22:$B$25,0)),0)*Scoring_Rules!$C$9+IFERROR(INDEX(Scoring_Rules!$C$47:$C$50,MATCH(X480,Scoring_Rules!$B$47:$B$50,0)),0)*Scoring_Rules!$C$10+IFERROR(INDEX(Scoring_Rules!$C$28:$C$31,MATCH(R480,Scoring_Rules!$B$28:$B$31,0)),0)*Scoring_Rules!$C$11,1),"")</x:f>
        <x:v>57.5</x:v>
      </x:c>
      <x:c r="AF480" s="35">
        <x:v>3</x:v>
      </x:c>
      <x:c r="AG480" s="33" t="s">
        <x:v>2219</x:v>
      </x:c>
      <x:c r="AH480" s="36">
        <x:v>46389</x:v>
      </x:c>
      <x:c r="AI480" s="33" t="s">
        <x:v>128</x:v>
      </x:c>
      <x:c r="AJ480" s="34" t="s">
        <x:v>383</x:v>
      </x:c>
    </x:row>
    <x:row r="481" ht="15" customHeight="1">
      <x:c r="A481" s="31" t="s">
        <x:v>2246</x:v>
      </x:c>
      <x:c r="B481" s="31" t="s">
        <x:v>2247</x:v>
      </x:c>
      <x:c r="C481" s="31" t="s">
        <x:v>2197</x:v>
      </x:c>
      <x:c r="D481" s="32" t="s">
        <x:v>493</x:v>
      </x:c>
      <x:c r="E481" s="32" t="str">
        <x:v>Data Migration Only</x:v>
      </x:c>
      <x:c r="F481" s="33" t="s">
        <x:v>118</x:v>
      </x:c>
      <x:c r="G481" s="34" t="s">
        <x:v>2248</x:v>
      </x:c>
      <x:c r="H481" s="33" t="s">
        <x:v>89</x:v>
      </x:c>
      <x:c r="I481" s="33" t="s">
        <x:v>2200</x:v>
      </x:c>
      <x:c r="J481" s="33" t="s">
        <x:v>80</x:v>
      </x:c>
      <x:c r="K481" s="33" t="s">
        <x:v>62</x:v>
      </x:c>
      <x:c r="L481" s="33" t="s">
        <x:v>77</x:v>
      </x:c>
      <x:c r="M481" s="35">
        <x:v>53</x:v>
      </x:c>
      <x:c r="N481" s="35">
        <x:v>134307564</x:v>
      </x:c>
      <x:c r="O481" s="33" t="s">
        <x:v>101</x:v>
      </x:c>
      <x:c r="P481" s="33" t="s">
        <x:v>73</x:v>
      </x:c>
      <x:c r="Q481" s="33" t="s">
        <x:v>120</x:v>
      </x:c>
      <x:c r="R481" s="33" t="s">
        <x:v>98</x:v>
      </x:c>
      <x:c r="S481" s="31" t="s">
        <x:v>2249</x:v>
      </x:c>
      <x:c r="T481" s="31" t="s">
        <x:v>2250</x:v>
      </x:c>
      <x:c r="U481" s="31" t="s">
        <x:v>276</x:v>
      </x:c>
      <x:c r="V481" s="33" t="s">
        <x:v>277</x:v>
      </x:c>
      <x:c r="W481" s="33"/>
      <x:c r="X481" s="33" t="s">
        <x:v>238</x:v>
      </x:c>
      <x:c r="Y481" s="36"/>
      <x:c r="Z481" s="36"/>
      <x:c r="AA481" s="33" t="s">
        <x:v>120</x:v>
      </x:c>
      <x:c r="AB481" s="37" t="n">
        <x:f>IFERROR(INDEX(Effort_Model!$J$6:$J$33,MATCH(K481&amp;"|"&amp;L481,Effort_Model!$B$6:$B$33,0)),"")</x:f>
        <x:v>74.4</x:v>
      </x:c>
      <x:c r="AC481" s="38">
        <x:v>704.7</x:v>
      </x:c>
      <x:c r="AD481" s="37">
        <x:f t="shared" si="7"/>
        <x:v>978.03330000000005</x:v>
      </x:c>
      <x:c r="AE481" s="37" t="n">
        <x:f>IFERROR(ROUND(IFERROR(INDEX(Scoring_Rules!$C$43:$C$44,MATCH(Q481,Scoring_Rules!$B$43:$B$44,0)),0)*Scoring_Rules!$C$6+IFERROR(INDEX(Scoring_Rules!$C$34:$C$40,MATCH(K481,Scoring_Rules!$B$34:$B$40,0)),0)*Scoring_Rules!$C$7+IFERROR(INDEX(Scoring_Rules!$C$16:$C$19,MATCH(P481,Scoring_Rules!$B$16:$B$19,0)),0)*Scoring_Rules!$C$8+IFERROR(INDEX(Scoring_Rules!$C$22:$C$25,MATCH(O481,Scoring_Rules!$B$22:$B$25,0)),0)*Scoring_Rules!$C$9+IFERROR(INDEX(Scoring_Rules!$C$47:$C$50,MATCH(X481,Scoring_Rules!$B$47:$B$50,0)),0)*Scoring_Rules!$C$10+IFERROR(INDEX(Scoring_Rules!$C$28:$C$31,MATCH(R481,Scoring_Rules!$B$28:$B$31,0)),0)*Scoring_Rules!$C$11,1),"")</x:f>
        <x:v>50.3</x:v>
      </x:c>
      <x:c r="AF481" s="35"/>
      <x:c r="AG481" s="33" t="s">
        <x:v>2202</x:v>
      </x:c>
      <x:c r="AH481" s="36">
        <x:v>46403</x:v>
      </x:c>
      <x:c r="AI481" s="33" t="s">
        <x:v>127</x:v>
      </x:c>
      <x:c r="AJ481" s="34"/>
    </x:row>
    <x:row r="482" ht="15" customHeight="1">
      <x:c r="A482" s="31" t="s">
        <x:v>2251</x:v>
      </x:c>
      <x:c r="B482" s="31" t="s">
        <x:v>2252</x:v>
      </x:c>
      <x:c r="C482" s="31" t="s">
        <x:v>2197</x:v>
      </x:c>
      <x:c r="D482" s="32" t="s">
        <x:v>493</x:v>
      </x:c>
      <x:c r="E482" s="32" t="str">
        <x:v>Data Migration Only</x:v>
      </x:c>
      <x:c r="F482" s="33" t="s">
        <x:v>118</x:v>
      </x:c>
      <x:c r="G482" s="34" t="s">
        <x:v>2206</x:v>
      </x:c>
      <x:c r="H482" s="33" t="s">
        <x:v>87</x:v>
      </x:c>
      <x:c r="I482" s="33" t="s">
        <x:v>2200</x:v>
      </x:c>
      <x:c r="J482" s="33" t="s">
        <x:v>80</x:v>
      </x:c>
      <x:c r="K482" s="33" t="s">
        <x:v>64</x:v>
      </x:c>
      <x:c r="L482" s="33" t="s">
        <x:v>75</x:v>
      </x:c>
      <x:c r="M482" s="35">
        <x:v>108</x:v>
      </x:c>
      <x:c r="N482" s="35">
        <x:v>1383319346</x:v>
      </x:c>
      <x:c r="O482" s="33" t="s">
        <x:v>101</x:v>
      </x:c>
      <x:c r="P482" s="33" t="s">
        <x:v>73</x:v>
      </x:c>
      <x:c r="Q482" s="33" t="s">
        <x:v>120</x:v>
      </x:c>
      <x:c r="R482" s="33" t="s">
        <x:v>98</x:v>
      </x:c>
      <x:c r="S482" s="31" t="s">
        <x:v>2249</x:v>
      </x:c>
      <x:c r="T482" s="31" t="s">
        <x:v>2253</x:v>
      </x:c>
      <x:c r="U482" s="31" t="s">
        <x:v>276</x:v>
      </x:c>
      <x:c r="V482" s="33" t="s">
        <x:v>451</x:v>
      </x:c>
      <x:c r="W482" s="33"/>
      <x:c r="X482" s="33" t="s">
        <x:v>238</x:v>
      </x:c>
      <x:c r="Y482" s="36"/>
      <x:c r="Z482" s="36"/>
      <x:c r="AA482" s="33" t="s">
        <x:v>120</x:v>
      </x:c>
      <x:c r="AB482" s="37" t="n">
        <x:f>IFERROR(INDEX(Effort_Model!$J$6:$J$33,MATCH(K482&amp;"|"&amp;L482,Effort_Model!$B$6:$B$33,0)),"")</x:f>
        <x:v>106.4</x:v>
      </x:c>
      <x:c r="AC482" s="38">
        <x:v>916</x:v>
      </x:c>
      <x:c r="AD482" s="37">
        <x:f t="shared" si="7"/>
        <x:v>1221.3333</x:v>
      </x:c>
      <x:c r="AE482" s="37" t="n">
        <x:f>IFERROR(ROUND(IFERROR(INDEX(Scoring_Rules!$C$43:$C$44,MATCH(Q482,Scoring_Rules!$B$43:$B$44,0)),0)*Scoring_Rules!$C$6+IFERROR(INDEX(Scoring_Rules!$C$34:$C$40,MATCH(K482,Scoring_Rules!$B$34:$B$40,0)),0)*Scoring_Rules!$C$7+IFERROR(INDEX(Scoring_Rules!$C$16:$C$19,MATCH(P482,Scoring_Rules!$B$16:$B$19,0)),0)*Scoring_Rules!$C$8+IFERROR(INDEX(Scoring_Rules!$C$22:$C$25,MATCH(O482,Scoring_Rules!$B$22:$B$25,0)),0)*Scoring_Rules!$C$9+IFERROR(INDEX(Scoring_Rules!$C$47:$C$50,MATCH(X482,Scoring_Rules!$B$47:$B$50,0)),0)*Scoring_Rules!$C$10+IFERROR(INDEX(Scoring_Rules!$C$28:$C$31,MATCH(R482,Scoring_Rules!$B$28:$B$31,0)),0)*Scoring_Rules!$C$11,1),"")</x:f>
        <x:v>46.3</x:v>
      </x:c>
      <x:c r="AF482" s="35">
        <x:v>6</x:v>
      </x:c>
      <x:c r="AG482" s="33" t="s">
        <x:v>2209</x:v>
      </x:c>
      <x:c r="AH482" s="36">
        <x:v>46318</x:v>
      </x:c>
      <x:c r="AI482" s="33" t="s">
        <x:v>125</x:v>
      </x:c>
      <x:c r="AJ482" s="34" t="s">
        <x:v>342</x:v>
      </x:c>
    </x:row>
    <x:row r="483" ht="15" customHeight="1">
      <x:c r="A483" s="31" t="s">
        <x:v>2254</x:v>
      </x:c>
      <x:c r="B483" s="31" t="s">
        <x:v>2255</x:v>
      </x:c>
      <x:c r="C483" s="31" t="s">
        <x:v>2197</x:v>
      </x:c>
      <x:c r="D483" s="32" t="s">
        <x:v>485</x:v>
      </x:c>
      <x:c r="E483" s="32" t="str">
        <x:v>Functional Migration Only</x:v>
      </x:c>
      <x:c r="F483" s="33" t="s">
        <x:v>118</x:v>
      </x:c>
      <x:c r="G483" s="34" t="s">
        <x:v>2199</x:v>
      </x:c>
      <x:c r="H483" s="33" t="s">
        <x:v>87</x:v>
      </x:c>
      <x:c r="I483" s="33" t="s">
        <x:v>2200</x:v>
      </x:c>
      <x:c r="J483" s="33" t="s">
        <x:v>82</x:v>
      </x:c>
      <x:c r="K483" s="33" t="s">
        <x:v>60</x:v>
      </x:c>
      <x:c r="L483" s="33" t="s">
        <x:v>73</x:v>
      </x:c>
      <x:c r="M483" s="35">
        <x:v>46</x:v>
      </x:c>
      <x:c r="N483" s="35">
        <x:v>5110355</x:v>
      </x:c>
      <x:c r="O483" s="33" t="s">
        <x:v>101</x:v>
      </x:c>
      <x:c r="P483" s="33" t="s">
        <x:v>73</x:v>
      </x:c>
      <x:c r="Q483" s="33" t="s">
        <x:v>118</x:v>
      </x:c>
      <x:c r="R483" s="33" t="s">
        <x:v>115</x:v>
      </x:c>
      <x:c r="S483" s="31" t="s">
        <x:v>2256</x:v>
      </x:c>
      <x:c r="T483" s="31" t="s">
        <x:v>2257</x:v>
      </x:c>
      <x:c r="U483" s="31" t="s">
        <x:v>276</x:v>
      </x:c>
      <x:c r="V483" s="33" t="s">
        <x:v>303</x:v>
      </x:c>
      <x:c r="W483" s="33" t="s">
        <x:v>2235</x:v>
      </x:c>
      <x:c r="X483" s="33" t="s">
        <x:v>240</x:v>
      </x:c>
      <x:c r="Y483" s="36"/>
      <x:c r="Z483" s="36"/>
      <x:c r="AA483" s="33" t="s">
        <x:v>120</x:v>
      </x:c>
      <x:c r="AB483" s="37" t="n">
        <x:f>IFERROR(INDEX(Effort_Model!$J$6:$J$33,MATCH(K483&amp;"|"&amp;L483,Effort_Model!$B$6:$B$33,0)),"")</x:f>
        <x:v>42.4</x:v>
      </x:c>
      <x:c r="AC483" s="38">
        <x:v>429.6</x:v>
      </x:c>
      <x:c r="AD483" s="37">
        <x:f t="shared" si="7"/>
        <x:v>506.6</x:v>
      </x:c>
      <x:c r="AE483" s="37" t="n">
        <x:f>IFERROR(ROUND(IFERROR(INDEX(Scoring_Rules!$C$43:$C$44,MATCH(Q483,Scoring_Rules!$B$43:$B$44,0)),0)*Scoring_Rules!$C$6+IFERROR(INDEX(Scoring_Rules!$C$34:$C$40,MATCH(K483,Scoring_Rules!$B$34:$B$40,0)),0)*Scoring_Rules!$C$7+IFERROR(INDEX(Scoring_Rules!$C$16:$C$19,MATCH(P483,Scoring_Rules!$B$16:$B$19,0)),0)*Scoring_Rules!$C$8+IFERROR(INDEX(Scoring_Rules!$C$22:$C$25,MATCH(O483,Scoring_Rules!$B$22:$B$25,0)),0)*Scoring_Rules!$C$9+IFERROR(INDEX(Scoring_Rules!$C$47:$C$50,MATCH(X483,Scoring_Rules!$B$47:$B$50,0)),0)*Scoring_Rules!$C$10+IFERROR(INDEX(Scoring_Rules!$C$28:$C$31,MATCH(R483,Scoring_Rules!$B$28:$B$31,0)),0)*Scoring_Rules!$C$11,1),"")</x:f>
        <x:v>63.8</x:v>
      </x:c>
      <x:c r="AF483" s="35">
        <x:v>2</x:v>
      </x:c>
      <x:c r="AG483" s="33" t="s">
        <x:v>2215</x:v>
      </x:c>
      <x:c r="AH483" s="36">
        <x:v>46363</x:v>
      </x:c>
      <x:c r="AI483" s="33" t="s">
        <x:v>127</x:v>
      </x:c>
      <x:c r="AJ483" s="34" t="s">
        <x:v>336</x:v>
      </x:c>
    </x:row>
    <x:row r="484" ht="45.75" customHeight="1">
      <x:c r="A484" s="31" t="s">
        <x:v>2258</x:v>
      </x:c>
      <x:c r="B484" s="31" t="s">
        <x:v>2259</x:v>
      </x:c>
      <x:c r="C484" s="31" t="s">
        <x:v>2197</x:v>
      </x:c>
      <x:c r="D484" s="32" t="s">
        <x:v>2260</x:v>
      </x:c>
      <x:c r="E484" s="32" t="str">
        <x:v>Data Migration Only</x:v>
      </x:c>
      <x:c r="F484" s="33" t="s">
        <x:v>118</x:v>
      </x:c>
      <x:c r="G484" s="34" t="s">
        <x:v>2218</x:v>
      </x:c>
      <x:c r="H484" s="33" t="s">
        <x:v>87</x:v>
      </x:c>
      <x:c r="I484" s="33" t="s">
        <x:v>2200</x:v>
      </x:c>
      <x:c r="J484" s="33" t="s">
        <x:v>80</x:v>
      </x:c>
      <x:c r="K484" s="33" t="s">
        <x:v>60</x:v>
      </x:c>
      <x:c r="L484" s="33" t="s">
        <x:v>73</x:v>
      </x:c>
      <x:c r="M484" s="35">
        <x:v>42</x:v>
      </x:c>
      <x:c r="N484" s="35">
        <x:v>3751669</x:v>
      </x:c>
      <x:c r="O484" s="33" t="s">
        <x:v>101</x:v>
      </x:c>
      <x:c r="P484" s="33" t="s">
        <x:v>73</x:v>
      </x:c>
      <x:c r="Q484" s="33" t="s">
        <x:v>120</x:v>
      </x:c>
      <x:c r="R484" s="33" t="s">
        <x:v>73</x:v>
      </x:c>
      <x:c r="S484" s="31" t="s">
        <x:v>2249</x:v>
      </x:c>
      <x:c r="T484" s="31" t="s">
        <x:v>2261</x:v>
      </x:c>
      <x:c r="U484" s="31" t="s">
        <x:v>522</x:v>
      </x:c>
      <x:c r="V484" s="33" t="s">
        <x:v>303</x:v>
      </x:c>
      <x:c r="W484" s="33"/>
      <x:c r="X484" s="33" t="s">
        <x:v>238</x:v>
      </x:c>
      <x:c r="Y484" s="36"/>
      <x:c r="Z484" s="36"/>
      <x:c r="AA484" s="33" t="s">
        <x:v>120</x:v>
      </x:c>
      <x:c r="AB484" s="37" t="n">
        <x:f>IFERROR(INDEX(Effort_Model!$J$6:$J$33,MATCH(K484&amp;"|"&amp;L484,Effort_Model!$B$6:$B$33,0)),"")</x:f>
        <x:v>42.4</x:v>
      </x:c>
      <x:c r="AC484" s="38">
        <x:v>239.2</x:v>
      </x:c>
      <x:c r="AD484" s="37">
        <x:f t="shared" si="7"/>
        <x:v>316.2</x:v>
      </x:c>
      <x:c r="AE484" s="37" t="n">
        <x:f>IFERROR(ROUND(IFERROR(INDEX(Scoring_Rules!$C$43:$C$44,MATCH(Q484,Scoring_Rules!$B$43:$B$44,0)),0)*Scoring_Rules!$C$6+IFERROR(INDEX(Scoring_Rules!$C$34:$C$40,MATCH(K484,Scoring_Rules!$B$34:$B$40,0)),0)*Scoring_Rules!$C$7+IFERROR(INDEX(Scoring_Rules!$C$16:$C$19,MATCH(P484,Scoring_Rules!$B$16:$B$19,0)),0)*Scoring_Rules!$C$8+IFERROR(INDEX(Scoring_Rules!$C$22:$C$25,MATCH(O484,Scoring_Rules!$B$22:$B$25,0)),0)*Scoring_Rules!$C$9+IFERROR(INDEX(Scoring_Rules!$C$47:$C$50,MATCH(X484,Scoring_Rules!$B$47:$B$50,0)),0)*Scoring_Rules!$C$10+IFERROR(INDEX(Scoring_Rules!$C$28:$C$31,MATCH(R484,Scoring_Rules!$B$28:$B$31,0)),0)*Scoring_Rules!$C$11,1),"")</x:f>
        <x:v>52.8</x:v>
      </x:c>
      <x:c r="AF484" s="35">
        <x:v>3</x:v>
      </x:c>
      <x:c r="AG484" s="33" t="s">
        <x:v>2219</x:v>
      </x:c>
      <x:c r="AH484" s="36">
        <x:v>46357</x:v>
      </x:c>
      <x:c r="AI484" s="33" t="s">
        <x:v>124</x:v>
      </x:c>
      <x:c r="AJ484" s="34" t="s">
        <x:v>354</x:v>
      </x:c>
    </x:row>
    <x:row r="485" ht="15" customHeight="1">
      <x:c r="A485" s="31" t="s">
        <x:v>2262</x:v>
      </x:c>
      <x:c r="B485" s="31" t="s">
        <x:v>2263</x:v>
      </x:c>
      <x:c r="C485" s="31" t="s">
        <x:v>2197</x:v>
      </x:c>
      <x:c r="D485" s="32" t="s">
        <x:v>493</x:v>
      </x:c>
      <x:c r="E485" s="32" t="str">
        <x:v>Functional Migration Only</x:v>
      </x:c>
      <x:c r="F485" s="33" t="s">
        <x:v>120</x:v>
      </x:c>
      <x:c r="G485" s="34" t="s">
        <x:v>2218</x:v>
      </x:c>
      <x:c r="H485" s="33" t="s">
        <x:v>87</x:v>
      </x:c>
      <x:c r="I485" s="33" t="s">
        <x:v>2200</x:v>
      </x:c>
      <x:c r="J485" s="33" t="s">
        <x:v>82</x:v>
      </x:c>
      <x:c r="K485" s="33" t="s">
        <x:v>62</x:v>
      </x:c>
      <x:c r="L485" s="33" t="s">
        <x:v>71</x:v>
      </x:c>
      <x:c r="M485" s="35">
        <x:v>58</x:v>
      </x:c>
      <x:c r="N485" s="35">
        <x:v>92309398</x:v>
      </x:c>
      <x:c r="O485" s="33" t="s">
        <x:v>73</x:v>
      </x:c>
      <x:c r="P485" s="33" t="s">
        <x:v>98</x:v>
      </x:c>
      <x:c r="Q485" s="33" t="s">
        <x:v>120</x:v>
      </x:c>
      <x:c r="R485" s="33" t="s">
        <x:v>73</x:v>
      </x:c>
      <x:c r="S485" s="31" t="s">
        <x:v>2264</x:v>
      </x:c>
      <x:c r="T485" s="31" t="s">
        <x:v>2265</x:v>
      </x:c>
      <x:c r="U485" s="31" t="s">
        <x:v>522</x:v>
      </x:c>
      <x:c r="V485" s="33" t="s">
        <x:v>277</x:v>
      </x:c>
      <x:c r="W485" s="33" t="s">
        <x:v>2254</x:v>
      </x:c>
      <x:c r="X485" s="33" t="s">
        <x:v>239</x:v>
      </x:c>
      <x:c r="Y485" s="36"/>
      <x:c r="Z485" s="36"/>
      <x:c r="AA485" s="33" t="s">
        <x:v>118</x:v>
      </x:c>
      <x:c r="AB485" s="37" t="n">
        <x:f>IFERROR(INDEX(Effort_Model!$J$6:$J$33,MATCH(K485&amp;"|"&amp;L485,Effort_Model!$B$6:$B$33,0)),"")</x:f>
        <x:v>18.4</x:v>
      </x:c>
      <x:c r="AC485" s="38">
        <x:v>513.4</x:v>
      </x:c>
      <x:c r="AD485" s="37">
        <x:f t="shared" si="7"/>
        <x:v>587.79999999999995</x:v>
      </x:c>
      <x:c r="AE485" s="37" t="n">
        <x:f>IFERROR(ROUND(IFERROR(INDEX(Scoring_Rules!$C$43:$C$44,MATCH(Q485,Scoring_Rules!$B$43:$B$44,0)),0)*Scoring_Rules!$C$6+IFERROR(INDEX(Scoring_Rules!$C$34:$C$40,MATCH(K485,Scoring_Rules!$B$34:$B$40,0)),0)*Scoring_Rules!$C$7+IFERROR(INDEX(Scoring_Rules!$C$16:$C$19,MATCH(P485,Scoring_Rules!$B$16:$B$19,0)),0)*Scoring_Rules!$C$8+IFERROR(INDEX(Scoring_Rules!$C$22:$C$25,MATCH(O485,Scoring_Rules!$B$22:$B$25,0)),0)*Scoring_Rules!$C$9+IFERROR(INDEX(Scoring_Rules!$C$47:$C$50,MATCH(X485,Scoring_Rules!$B$47:$B$50,0)),0)*Scoring_Rules!$C$10+IFERROR(INDEX(Scoring_Rules!$C$28:$C$31,MATCH(R485,Scoring_Rules!$B$28:$B$31,0)),0)*Scoring_Rules!$C$11,1),"")</x:f>
        <x:v>55.5</x:v>
      </x:c>
      <x:c r="AF485" s="35"/>
      <x:c r="AG485" s="33" t="s">
        <x:v>2202</x:v>
      </x:c>
      <x:c r="AH485" s="36">
        <x:v>46310</x:v>
      </x:c>
      <x:c r="AI485" s="33" t="s">
        <x:v>127</x:v>
      </x:c>
      <x:c r="AJ485" s="34" t="s">
        <x:v>342</x:v>
      </x:c>
    </x:row>
    <x:row r="486" ht="15" customHeight="1">
      <x:c r="A486" s="31" t="s">
        <x:v>2266</x:v>
      </x:c>
      <x:c r="B486" s="31" t="s">
        <x:v>2267</x:v>
      </x:c>
      <x:c r="C486" s="31" t="s">
        <x:v>2197</x:v>
      </x:c>
      <x:c r="D486" s="32" t="s">
        <x:v>493</x:v>
      </x:c>
      <x:c r="E486" s="32" t="str">
        <x:v>Data Migration Only</x:v>
      </x:c>
      <x:c r="F486" s="33" t="s">
        <x:v>118</x:v>
      </x:c>
      <x:c r="G486" s="34" t="s">
        <x:v>2218</x:v>
      </x:c>
      <x:c r="H486" s="33" t="s">
        <x:v>87</x:v>
      </x:c>
      <x:c r="I486" s="33" t="s">
        <x:v>2200</x:v>
      </x:c>
      <x:c r="J486" s="33" t="s">
        <x:v>80</x:v>
      </x:c>
      <x:c r="K486" s="33" t="s">
        <x:v>58</x:v>
      </x:c>
      <x:c r="L486" s="33" t="s">
        <x:v>73</x:v>
      </x:c>
      <x:c r="M486" s="35">
        <x:v>26</x:v>
      </x:c>
      <x:c r="N486" s="35">
        <x:v>833739</x:v>
      </x:c>
      <x:c r="O486" s="33" t="s">
        <x:v>101</x:v>
      </x:c>
      <x:c r="P486" s="33" t="s">
        <x:v>73</x:v>
      </x:c>
      <x:c r="Q486" s="33" t="s">
        <x:v>118</x:v>
      </x:c>
      <x:c r="R486" s="33" t="s">
        <x:v>98</x:v>
      </x:c>
      <x:c r="S486" s="31" t="s">
        <x:v>2264</x:v>
      </x:c>
      <x:c r="T486" s="31" t="s">
        <x:v>2265</x:v>
      </x:c>
      <x:c r="U486" s="31" t="s">
        <x:v>522</x:v>
      </x:c>
      <x:c r="V486" s="33" t="s">
        <x:v>277</x:v>
      </x:c>
      <x:c r="W486" s="33" t="s">
        <x:v>2258</x:v>
      </x:c>
      <x:c r="X486" s="33" t="s">
        <x:v>240</x:v>
      </x:c>
      <x:c r="Y486" s="36">
        <x:v>46423</x:v>
      </x:c>
      <x:c r="Z486" s="36"/>
      <x:c r="AA486" s="33" t="s">
        <x:v>120</x:v>
      </x:c>
      <x:c r="AB486" s="37" t="n">
        <x:f>IFERROR(INDEX(Effort_Model!$J$6:$J$33,MATCH(K486&amp;"|"&amp;L486,Effort_Model!$B$6:$B$33,0)),"")</x:f>
        <x:v>26.4</x:v>
      </x:c>
      <x:c r="AC486" s="38">
        <x:v>138.5</x:v>
      </x:c>
      <x:c r="AD486" s="37">
        <x:f t="shared" si="7"/>
        <x:v>183.5</x:v>
      </x:c>
      <x:c r="AE486" s="37" t="n">
        <x:f>IFERROR(ROUND(IFERROR(INDEX(Scoring_Rules!$C$43:$C$44,MATCH(Q486,Scoring_Rules!$B$43:$B$44,0)),0)*Scoring_Rules!$C$6+IFERROR(INDEX(Scoring_Rules!$C$34:$C$40,MATCH(K486,Scoring_Rules!$B$34:$B$40,0)),0)*Scoring_Rules!$C$7+IFERROR(INDEX(Scoring_Rules!$C$16:$C$19,MATCH(P486,Scoring_Rules!$B$16:$B$19,0)),0)*Scoring_Rules!$C$8+IFERROR(INDEX(Scoring_Rules!$C$22:$C$25,MATCH(O486,Scoring_Rules!$B$22:$B$25,0)),0)*Scoring_Rules!$C$9+IFERROR(INDEX(Scoring_Rules!$C$47:$C$50,MATCH(X486,Scoring_Rules!$B$47:$B$50,0)),0)*Scoring_Rules!$C$10+IFERROR(INDEX(Scoring_Rules!$C$28:$C$31,MATCH(R486,Scoring_Rules!$B$28:$B$31,0)),0)*Scoring_Rules!$C$11,1),"")</x:f>
        <x:v>71.8</x:v>
      </x:c>
      <x:c r="AF486" s="35">
        <x:v>1</x:v>
      </x:c>
      <x:c r="AG486" s="33" t="s">
        <x:v>2209</x:v>
      </x:c>
      <x:c r="AH486" s="36">
        <x:v>46304</x:v>
      </x:c>
      <x:c r="AI486" s="33" t="s">
        <x:v>126</x:v>
      </x:c>
      <x:c r="AJ486" s="34"/>
    </x:row>
    <x:row r="487" ht="15" customHeight="1">
      <x:c r="A487" s="31" t="s">
        <x:v>2268</x:v>
      </x:c>
      <x:c r="B487" s="31" t="s">
        <x:v>2269</x:v>
      </x:c>
      <x:c r="C487" s="31" t="s">
        <x:v>2197</x:v>
      </x:c>
      <x:c r="D487" s="32" t="s">
        <x:v>493</x:v>
      </x:c>
      <x:c r="E487" s="32" t="str">
        <x:v>Data Migration Only</x:v>
      </x:c>
      <x:c r="F487" s="33" t="s">
        <x:v>118</x:v>
      </x:c>
      <x:c r="G487" s="34" t="s">
        <x:v>2218</x:v>
      </x:c>
      <x:c r="H487" s="33" t="s">
        <x:v>87</x:v>
      </x:c>
      <x:c r="I487" s="33" t="s">
        <x:v>2200</x:v>
      </x:c>
      <x:c r="J487" s="33" t="s">
        <x:v>80</x:v>
      </x:c>
      <x:c r="K487" s="33" t="s">
        <x:v>56</x:v>
      </x:c>
      <x:c r="L487" s="33" t="s">
        <x:v>71</x:v>
      </x:c>
      <x:c r="M487" s="35">
        <x:v>6</x:v>
      </x:c>
      <x:c r="N487" s="35">
        <x:v>138260</x:v>
      </x:c>
      <x:c r="O487" s="33" t="s">
        <x:v>73</x:v>
      </x:c>
      <x:c r="P487" s="33" t="s">
        <x:v>98</x:v>
      </x:c>
      <x:c r="Q487" s="33" t="s">
        <x:v>120</x:v>
      </x:c>
      <x:c r="R487" s="33" t="s">
        <x:v>98</x:v>
      </x:c>
      <x:c r="S487" s="31" t="s">
        <x:v>2264</x:v>
      </x:c>
      <x:c r="T487" s="31" t="s">
        <x:v>2265</x:v>
      </x:c>
      <x:c r="U487" s="31" t="s">
        <x:v>522</x:v>
      </x:c>
      <x:c r="V487" s="33" t="s">
        <x:v>379</x:v>
      </x:c>
      <x:c r="W487" s="33" t="s">
        <x:v>2239</x:v>
      </x:c>
      <x:c r="X487" s="33" t="s">
        <x:v>239</x:v>
      </x:c>
      <x:c r="Y487" s="36">
        <x:v>46390</x:v>
      </x:c>
      <x:c r="Z487" s="36"/>
      <x:c r="AA487" s="33" t="s">
        <x:v>120</x:v>
      </x:c>
      <x:c r="AB487" s="37" t="n">
        <x:f>IFERROR(INDEX(Effort_Model!$J$6:$J$33,MATCH(K487&amp;"|"&amp;L487,Effort_Model!$B$6:$B$33,0)),"")</x:f>
        <x:v>18.4</x:v>
      </x:c>
      <x:c r="AC487" s="38">
        <x:v>62.9</x:v>
      </x:c>
      <x:c r="AD487" s="37">
        <x:f t="shared" si="7"/>
        <x:v>81.3</x:v>
      </x:c>
      <x:c r="AE487" s="37" t="n">
        <x:f>IFERROR(ROUND(IFERROR(INDEX(Scoring_Rules!$C$43:$C$44,MATCH(Q487,Scoring_Rules!$B$43:$B$44,0)),0)*Scoring_Rules!$C$6+IFERROR(INDEX(Scoring_Rules!$C$34:$C$40,MATCH(K487,Scoring_Rules!$B$34:$B$40,0)),0)*Scoring_Rules!$C$7+IFERROR(INDEX(Scoring_Rules!$C$16:$C$19,MATCH(P487,Scoring_Rules!$B$16:$B$19,0)),0)*Scoring_Rules!$C$8+IFERROR(INDEX(Scoring_Rules!$C$22:$C$25,MATCH(O487,Scoring_Rules!$B$22:$B$25,0)),0)*Scoring_Rules!$C$9+IFERROR(INDEX(Scoring_Rules!$C$47:$C$50,MATCH(X487,Scoring_Rules!$B$47:$B$50,0)),0)*Scoring_Rules!$C$10+IFERROR(INDEX(Scoring_Rules!$C$28:$C$31,MATCH(R487,Scoring_Rules!$B$28:$B$31,0)),0)*Scoring_Rules!$C$11,1),"")</x:f>
        <x:v>66</x:v>
      </x:c>
      <x:c r="AF487" s="35">
        <x:v>2</x:v>
      </x:c>
      <x:c r="AG487" s="33" t="s">
        <x:v>2215</x:v>
      </x:c>
      <x:c r="AH487" s="36">
        <x:v>46339</x:v>
      </x:c>
      <x:c r="AI487" s="33" t="s">
        <x:v>125</x:v>
      </x:c>
      <x:c r="AJ487" s="34"/>
    </x:row>
    <x:row r="488" ht="45.75" customHeight="1">
      <x:c r="A488" s="31" t="s">
        <x:v>2270</x:v>
      </x:c>
      <x:c r="B488" s="31" t="s">
        <x:v>2271</x:v>
      </x:c>
      <x:c r="C488" s="31" t="s">
        <x:v>2197</x:v>
      </x:c>
      <x:c r="D488" s="32" t="s">
        <x:v>2260</x:v>
      </x:c>
      <x:c r="E488" s="32" t="str">
        <x:v>Data Migration Only</x:v>
      </x:c>
      <x:c r="F488" s="33" t="s">
        <x:v>118</x:v>
      </x:c>
      <x:c r="G488" s="34" t="s">
        <x:v>2237</x:v>
      </x:c>
      <x:c r="H488" s="33" t="s">
        <x:v>87</x:v>
      </x:c>
      <x:c r="I488" s="33" t="s">
        <x:v>2200</x:v>
      </x:c>
      <x:c r="J488" s="33" t="s">
        <x:v>80</x:v>
      </x:c>
      <x:c r="K488" s="33" t="s">
        <x:v>58</x:v>
      </x:c>
      <x:c r="L488" s="33" t="s">
        <x:v>75</x:v>
      </x:c>
      <x:c r="M488" s="35">
        <x:v>15</x:v>
      </x:c>
      <x:c r="N488" s="35">
        <x:v>687344</x:v>
      </x:c>
      <x:c r="O488" s="33" t="s">
        <x:v>98</x:v>
      </x:c>
      <x:c r="P488" s="33" t="s">
        <x:v>101</x:v>
      </x:c>
      <x:c r="Q488" s="33" t="s">
        <x:v>120</x:v>
      </x:c>
      <x:c r="R488" s="33" t="s">
        <x:v>98</x:v>
      </x:c>
      <x:c r="S488" s="31" t="s">
        <x:v>2249</x:v>
      </x:c>
      <x:c r="T488" s="31" t="s">
        <x:v>2272</x:v>
      </x:c>
      <x:c r="U488" s="31" t="s">
        <x:v>522</x:v>
      </x:c>
      <x:c r="V488" s="33" t="s">
        <x:v>277</x:v>
      </x:c>
      <x:c r="W488" s="33" t="s">
        <x:v>2195</x:v>
      </x:c>
      <x:c r="X488" s="33" t="s">
        <x:v>239</x:v>
      </x:c>
      <x:c r="Y488" s="36"/>
      <x:c r="Z488" s="36"/>
      <x:c r="AA488" s="33" t="s">
        <x:v>120</x:v>
      </x:c>
      <x:c r="AB488" s="37" t="n">
        <x:f>IFERROR(INDEX(Effort_Model!$J$6:$J$33,MATCH(K488&amp;"|"&amp;L488,Effort_Model!$B$6:$B$33,0)),"")</x:f>
        <x:v>26.4</x:v>
      </x:c>
      <x:c r="AC488" s="38">
        <x:v>186</x:v>
      </x:c>
      <x:c r="AD488" s="37">
        <x:f t="shared" si="7"/>
        <x:v>251.33330000000001</x:v>
      </x:c>
      <x:c r="AE488" s="37" t="n">
        <x:f>IFERROR(ROUND(IFERROR(INDEX(Scoring_Rules!$C$43:$C$44,MATCH(Q488,Scoring_Rules!$B$43:$B$44,0)),0)*Scoring_Rules!$C$6+IFERROR(INDEX(Scoring_Rules!$C$34:$C$40,MATCH(K488,Scoring_Rules!$B$34:$B$40,0)),0)*Scoring_Rules!$C$7+IFERROR(INDEX(Scoring_Rules!$C$16:$C$19,MATCH(P488,Scoring_Rules!$B$16:$B$19,0)),0)*Scoring_Rules!$C$8+IFERROR(INDEX(Scoring_Rules!$C$22:$C$25,MATCH(O488,Scoring_Rules!$B$22:$B$25,0)),0)*Scoring_Rules!$C$9+IFERROR(INDEX(Scoring_Rules!$C$47:$C$50,MATCH(X488,Scoring_Rules!$B$47:$B$50,0)),0)*Scoring_Rules!$C$10+IFERROR(INDEX(Scoring_Rules!$C$28:$C$31,MATCH(R488,Scoring_Rules!$B$28:$B$31,0)),0)*Scoring_Rules!$C$11,1),"")</x:f>
        <x:v>55.5</x:v>
      </x:c>
      <x:c r="AF488" s="35">
        <x:v>5</x:v>
      </x:c>
      <x:c r="AG488" s="33" t="s">
        <x:v>2219</x:v>
      </x:c>
      <x:c r="AH488" s="36">
        <x:v>46404</x:v>
      </x:c>
      <x:c r="AI488" s="33" t="s">
        <x:v>127</x:v>
      </x:c>
      <x:c r="AJ488" s="34"/>
    </x:row>
    <x:row r="489" ht="23.25" customHeight="1">
      <x:c r="A489" s="31" t="s">
        <x:v>2273</x:v>
      </x:c>
      <x:c r="B489" s="31" t="s">
        <x:v>2274</x:v>
      </x:c>
      <x:c r="C489" s="31" t="s">
        <x:v>2197</x:v>
      </x:c>
      <x:c r="D489" s="32" t="s">
        <x:v>585</x:v>
      </x:c>
      <x:c r="E489" s="32" t="str">
        <x:v>Data Migration Only</x:v>
      </x:c>
      <x:c r="F489" s="33" t="s">
        <x:v>118</x:v>
      </x:c>
      <x:c r="G489" s="34" t="s">
        <x:v>2206</x:v>
      </x:c>
      <x:c r="H489" s="33" t="s">
        <x:v>87</x:v>
      </x:c>
      <x:c r="I489" s="33" t="s">
        <x:v>2200</x:v>
      </x:c>
      <x:c r="J489" s="33" t="s">
        <x:v>80</x:v>
      </x:c>
      <x:c r="K489" s="33" t="s">
        <x:v>62</x:v>
      </x:c>
      <x:c r="L489" s="33" t="s">
        <x:v>73</x:v>
      </x:c>
      <x:c r="M489" s="35">
        <x:v>55</x:v>
      </x:c>
      <x:c r="N489" s="35">
        <x:v>125499247</x:v>
      </x:c>
      <x:c r="O489" s="33" t="s">
        <x:v>101</x:v>
      </x:c>
      <x:c r="P489" s="33" t="s">
        <x:v>73</x:v>
      </x:c>
      <x:c r="Q489" s="33" t="s">
        <x:v>120</x:v>
      </x:c>
      <x:c r="R489" s="33" t="s">
        <x:v>101</x:v>
      </x:c>
      <x:c r="S489" s="31" t="s">
        <x:v>2275</x:v>
      </x:c>
      <x:c r="T489" s="31" t="s">
        <x:v>2276</x:v>
      </x:c>
      <x:c r="U489" s="31" t="s">
        <x:v>276</x:v>
      </x:c>
      <x:c r="V489" s="33" t="s">
        <x:v>444</x:v>
      </x:c>
      <x:c r="W489" s="33"/>
      <x:c r="X489" s="33" t="s">
        <x:v>238</x:v>
      </x:c>
      <x:c r="Y489" s="36"/>
      <x:c r="Z489" s="36"/>
      <x:c r="AA489" s="33" t="s">
        <x:v>120</x:v>
      </x:c>
      <x:c r="AB489" s="37" t="n">
        <x:f>IFERROR(INDEX(Effort_Model!$J$6:$J$33,MATCH(K489&amp;"|"&amp;L489,Effort_Model!$B$6:$B$33,0)),"")</x:f>
        <x:v>74.4</x:v>
      </x:c>
      <x:c r="AC489" s="38">
        <x:v>495.1</x:v>
      </x:c>
      <x:c r="AD489" s="37">
        <x:f t="shared" si="7"/>
        <x:v>636.1</x:v>
      </x:c>
      <x:c r="AE489" s="37" t="n">
        <x:f>IFERROR(ROUND(IFERROR(INDEX(Scoring_Rules!$C$43:$C$44,MATCH(Q489,Scoring_Rules!$B$43:$B$44,0)),0)*Scoring_Rules!$C$6+IFERROR(INDEX(Scoring_Rules!$C$34:$C$40,MATCH(K489,Scoring_Rules!$B$34:$B$40,0)),0)*Scoring_Rules!$C$7+IFERROR(INDEX(Scoring_Rules!$C$16:$C$19,MATCH(P489,Scoring_Rules!$B$16:$B$19,0)),0)*Scoring_Rules!$C$8+IFERROR(INDEX(Scoring_Rules!$C$22:$C$25,MATCH(O489,Scoring_Rules!$B$22:$B$25,0)),0)*Scoring_Rules!$C$9+IFERROR(INDEX(Scoring_Rules!$C$47:$C$50,MATCH(X489,Scoring_Rules!$B$47:$B$50,0)),0)*Scoring_Rules!$C$10+IFERROR(INDEX(Scoring_Rules!$C$28:$C$31,MATCH(R489,Scoring_Rules!$B$28:$B$31,0)),0)*Scoring_Rules!$C$11,1),"")</x:f>
        <x:v>47</x:v>
      </x:c>
      <x:c r="AF489" s="35">
        <x:v>4</x:v>
      </x:c>
      <x:c r="AG489" s="33" t="s">
        <x:v>2202</x:v>
      </x:c>
      <x:c r="AH489" s="36">
        <x:v>46342</x:v>
      </x:c>
      <x:c r="AI489" s="33" t="s">
        <x:v>124</x:v>
      </x:c>
      <x:c r="AJ489" s="34"/>
    </x:row>
    <x:row r="490" ht="15" customHeight="1">
      <x:c r="A490" s="31" t="s">
        <x:v>2277</x:v>
      </x:c>
      <x:c r="B490" s="31" t="s">
        <x:v>2278</x:v>
      </x:c>
      <x:c r="C490" s="31" t="s">
        <x:v>2197</x:v>
      </x:c>
      <x:c r="D490" s="32" t="s">
        <x:v>493</x:v>
      </x:c>
      <x:c r="E490" s="32" t="str">
        <x:v>Functional Migration Only</x:v>
      </x:c>
      <x:c r="F490" s="33" t="s">
        <x:v>120</x:v>
      </x:c>
      <x:c r="G490" s="34" t="s">
        <x:v>2237</x:v>
      </x:c>
      <x:c r="H490" s="33" t="s">
        <x:v>87</x:v>
      </x:c>
      <x:c r="I490" s="33" t="s">
        <x:v>2200</x:v>
      </x:c>
      <x:c r="J490" s="33" t="s">
        <x:v>82</x:v>
      </x:c>
      <x:c r="K490" s="33" t="s">
        <x:v>56</x:v>
      </x:c>
      <x:c r="L490" s="33" t="s">
        <x:v>75</x:v>
      </x:c>
      <x:c r="M490" s="35">
        <x:v>10</x:v>
      </x:c>
      <x:c r="N490" s="35">
        <x:v>113980</x:v>
      </x:c>
      <x:c r="O490" s="33" t="s">
        <x:v>98</x:v>
      </x:c>
      <x:c r="P490" s="33" t="s">
        <x:v>109</x:v>
      </x:c>
      <x:c r="Q490" s="33" t="s">
        <x:v>120</x:v>
      </x:c>
      <x:c r="R490" s="33" t="s">
        <x:v>98</x:v>
      </x:c>
      <x:c r="S490" s="31" t="s">
        <x:v>604</x:v>
      </x:c>
      <x:c r="T490" s="31" t="s">
        <x:v>2238</x:v>
      </x:c>
      <x:c r="U490" s="31" t="s">
        <x:v>276</x:v>
      </x:c>
      <x:c r="V490" s="33" t="s">
        <x:v>277</x:v>
      </x:c>
      <x:c r="W490" s="33"/>
      <x:c r="X490" s="33" t="s">
        <x:v>238</x:v>
      </x:c>
      <x:c r="Y490" s="36"/>
      <x:c r="Z490" s="36"/>
      <x:c r="AA490" s="33" t="s">
        <x:v>120</x:v>
      </x:c>
      <x:c r="AB490" s="37" t="n">
        <x:f>IFERROR(INDEX(Effort_Model!$J$6:$J$33,MATCH(K490&amp;"|"&amp;L490,Effort_Model!$B$6:$B$33,0)),"")</x:f>
        <x:v>18.4</x:v>
      </x:c>
      <x:c r="AC490" s="38">
        <x:v>155.80000000000001</x:v>
      </x:c>
      <x:c r="AD490" s="37">
        <x:f t="shared" si="7"/>
        <x:v>197.13330000000002</x:v>
      </x:c>
      <x:c r="AE490" s="37" t="n">
        <x:f>IFERROR(ROUND(IFERROR(INDEX(Scoring_Rules!$C$43:$C$44,MATCH(Q490,Scoring_Rules!$B$43:$B$44,0)),0)*Scoring_Rules!$C$6+IFERROR(INDEX(Scoring_Rules!$C$34:$C$40,MATCH(K490,Scoring_Rules!$B$34:$B$40,0)),0)*Scoring_Rules!$C$7+IFERROR(INDEX(Scoring_Rules!$C$16:$C$19,MATCH(P490,Scoring_Rules!$B$16:$B$19,0)),0)*Scoring_Rules!$C$8+IFERROR(INDEX(Scoring_Rules!$C$22:$C$25,MATCH(O490,Scoring_Rules!$B$22:$B$25,0)),0)*Scoring_Rules!$C$9+IFERROR(INDEX(Scoring_Rules!$C$47:$C$50,MATCH(X490,Scoring_Rules!$B$47:$B$50,0)),0)*Scoring_Rules!$C$10+IFERROR(INDEX(Scoring_Rules!$C$28:$C$31,MATCH(R490,Scoring_Rules!$B$28:$B$31,0)),0)*Scoring_Rules!$C$11,1),"")</x:f>
        <x:v>55</x:v>
      </x:c>
      <x:c r="AF490" s="35">
        <x:v>5</x:v>
      </x:c>
      <x:c r="AG490" s="33" t="s">
        <x:v>2209</x:v>
      </x:c>
      <x:c r="AH490" s="36">
        <x:v>46348</x:v>
      </x:c>
      <x:c r="AI490" s="33" t="s">
        <x:v>126</x:v>
      </x:c>
      <x:c r="AJ490" s="34"/>
    </x:row>
    <x:row r="491" ht="23.25" customHeight="1">
      <x:c r="A491" s="31" t="s">
        <x:v>2279</x:v>
      </x:c>
      <x:c r="B491" s="31" t="s">
        <x:v>2280</x:v>
      </x:c>
      <x:c r="C491" s="31" t="s">
        <x:v>2197</x:v>
      </x:c>
      <x:c r="D491" s="32" t="s">
        <x:v>575</x:v>
      </x:c>
      <x:c r="E491" s="32" t="str">
        <x:v>Data Migration Only</x:v>
      </x:c>
      <x:c r="F491" s="33" t="s">
        <x:v>118</x:v>
      </x:c>
      <x:c r="G491" s="34" t="s">
        <x:v>2206</x:v>
      </x:c>
      <x:c r="H491" s="33" t="s">
        <x:v>87</x:v>
      </x:c>
      <x:c r="I491" s="33" t="s">
        <x:v>2200</x:v>
      </x:c>
      <x:c r="J491" s="33" t="s">
        <x:v>80</x:v>
      </x:c>
      <x:c r="K491" s="33" t="s">
        <x:v>62</x:v>
      </x:c>
      <x:c r="L491" s="33" t="s">
        <x:v>73</x:v>
      </x:c>
      <x:c r="M491" s="35">
        <x:v>64</x:v>
      </x:c>
      <x:c r="N491" s="35">
        <x:v>148733166</x:v>
      </x:c>
      <x:c r="O491" s="33" t="s">
        <x:v>73</x:v>
      </x:c>
      <x:c r="P491" s="33" t="s">
        <x:v>73</x:v>
      </x:c>
      <x:c r="Q491" s="33" t="s">
        <x:v>120</x:v>
      </x:c>
      <x:c r="R491" s="33" t="s">
        <x:v>101</x:v>
      </x:c>
      <x:c r="S491" s="31" t="s">
        <x:v>2249</x:v>
      </x:c>
      <x:c r="T491" s="31" t="s">
        <x:v>2281</x:v>
      </x:c>
      <x:c r="U491" s="31" t="s">
        <x:v>276</x:v>
      </x:c>
      <x:c r="V491" s="33" t="s">
        <x:v>289</x:v>
      </x:c>
      <x:c r="W491" s="33"/>
      <x:c r="X491" s="33" t="s">
        <x:v>238</x:v>
      </x:c>
      <x:c r="Y491" s="36"/>
      <x:c r="Z491" s="36"/>
      <x:c r="AA491" s="33" t="s">
        <x:v>120</x:v>
      </x:c>
      <x:c r="AB491" s="37" t="n">
        <x:f>IFERROR(INDEX(Effort_Model!$J$6:$J$33,MATCH(K491&amp;"|"&amp;L491,Effort_Model!$B$6:$B$33,0)),"")</x:f>
        <x:v>74.4</x:v>
      </x:c>
      <x:c r="AC491" s="38">
        <x:v>481.2</x:v>
      </x:c>
      <x:c r="AD491" s="37">
        <x:f t="shared" si="7"/>
        <x:v>622.20000000000005</x:v>
      </x:c>
      <x:c r="AE491" s="37" t="n">
        <x:f>IFERROR(ROUND(IFERROR(INDEX(Scoring_Rules!$C$43:$C$44,MATCH(Q491,Scoring_Rules!$B$43:$B$44,0)),0)*Scoring_Rules!$C$6+IFERROR(INDEX(Scoring_Rules!$C$34:$C$40,MATCH(K491,Scoring_Rules!$B$34:$B$40,0)),0)*Scoring_Rules!$C$7+IFERROR(INDEX(Scoring_Rules!$C$16:$C$19,MATCH(P491,Scoring_Rules!$B$16:$B$19,0)),0)*Scoring_Rules!$C$8+IFERROR(INDEX(Scoring_Rules!$C$22:$C$25,MATCH(O491,Scoring_Rules!$B$22:$B$25,0)),0)*Scoring_Rules!$C$9+IFERROR(INDEX(Scoring_Rules!$C$47:$C$50,MATCH(X491,Scoring_Rules!$B$47:$B$50,0)),0)*Scoring_Rules!$C$10+IFERROR(INDEX(Scoring_Rules!$C$28:$C$31,MATCH(R491,Scoring_Rules!$B$28:$B$31,0)),0)*Scoring_Rules!$C$11,1),"")</x:f>
        <x:v>52.3</x:v>
      </x:c>
      <x:c r="AF491" s="35">
        <x:v>3</x:v>
      </x:c>
      <x:c r="AG491" s="33" t="s">
        <x:v>2215</x:v>
      </x:c>
      <x:c r="AH491" s="36">
        <x:v>46315</x:v>
      </x:c>
      <x:c r="AI491" s="33" t="s">
        <x:v>127</x:v>
      </x:c>
      <x:c r="AJ491" s="34"/>
    </x:row>
    <x:row r="492" ht="15" customHeight="1">
      <x:c r="A492" s="31" t="s">
        <x:v>2282</x:v>
      </x:c>
      <x:c r="B492" s="31" t="s">
        <x:v>2283</x:v>
      </x:c>
      <x:c r="C492" s="31" t="s">
        <x:v>2197</x:v>
      </x:c>
      <x:c r="D492" s="32" t="s">
        <x:v>493</x:v>
      </x:c>
      <x:c r="E492" s="32" t="str">
        <x:v>Data Migration Only</x:v>
      </x:c>
      <x:c r="F492" s="33" t="s">
        <x:v>118</x:v>
      </x:c>
      <x:c r="G492" s="34" t="s">
        <x:v>2248</x:v>
      </x:c>
      <x:c r="H492" s="33" t="s">
        <x:v>89</x:v>
      </x:c>
      <x:c r="I492" s="33" t="s">
        <x:v>2200</x:v>
      </x:c>
      <x:c r="J492" s="33" t="s">
        <x:v>80</x:v>
      </x:c>
      <x:c r="K492" s="33" t="s">
        <x:v>60</x:v>
      </x:c>
      <x:c r="L492" s="33" t="s">
        <x:v>75</x:v>
      </x:c>
      <x:c r="M492" s="35">
        <x:v>41</x:v>
      </x:c>
      <x:c r="N492" s="35">
        <x:v>4153634</x:v>
      </x:c>
      <x:c r="O492" s="33" t="s">
        <x:v>73</x:v>
      </x:c>
      <x:c r="P492" s="33" t="s">
        <x:v>101</x:v>
      </x:c>
      <x:c r="Q492" s="33" t="s">
        <x:v>120</x:v>
      </x:c>
      <x:c r="R492" s="33" t="s">
        <x:v>73</x:v>
      </x:c>
      <x:c r="S492" s="31" t="s">
        <x:v>2264</x:v>
      </x:c>
      <x:c r="T492" s="31" t="s">
        <x:v>2284</x:v>
      </x:c>
      <x:c r="U492" s="31" t="s">
        <x:v>522</x:v>
      </x:c>
      <x:c r="V492" s="33" t="s">
        <x:v>277</x:v>
      </x:c>
      <x:c r="W492" s="33"/>
      <x:c r="X492" s="33" t="s">
        <x:v>238</x:v>
      </x:c>
      <x:c r="Y492" s="36"/>
      <x:c r="Z492" s="36"/>
      <x:c r="AA492" s="33" t="s">
        <x:v>120</x:v>
      </x:c>
      <x:c r="AB492" s="37" t="n">
        <x:f>IFERROR(INDEX(Effort_Model!$J$6:$J$33,MATCH(K492&amp;"|"&amp;L492,Effort_Model!$B$6:$B$33,0)),"")</x:f>
        <x:v>42.4</x:v>
      </x:c>
      <x:c r="AC492" s="38">
        <x:v>324.60000000000002</x:v>
      </x:c>
      <x:c r="AD492" s="37">
        <x:f t="shared" si="7"/>
        <x:v>437.93330000000003</x:v>
      </x:c>
      <x:c r="AE492" s="37" t="n">
        <x:f>IFERROR(ROUND(IFERROR(INDEX(Scoring_Rules!$C$43:$C$44,MATCH(Q492,Scoring_Rules!$B$43:$B$44,0)),0)*Scoring_Rules!$C$6+IFERROR(INDEX(Scoring_Rules!$C$34:$C$40,MATCH(K492,Scoring_Rules!$B$34:$B$40,0)),0)*Scoring_Rules!$C$7+IFERROR(INDEX(Scoring_Rules!$C$16:$C$19,MATCH(P492,Scoring_Rules!$B$16:$B$19,0)),0)*Scoring_Rules!$C$8+IFERROR(INDEX(Scoring_Rules!$C$22:$C$25,MATCH(O492,Scoring_Rules!$B$22:$B$25,0)),0)*Scoring_Rules!$C$9+IFERROR(INDEX(Scoring_Rules!$C$47:$C$50,MATCH(X492,Scoring_Rules!$B$47:$B$50,0)),0)*Scoring_Rules!$C$10+IFERROR(INDEX(Scoring_Rules!$C$28:$C$31,MATCH(R492,Scoring_Rules!$B$28:$B$31,0)),0)*Scoring_Rules!$C$11,1),"")</x:f>
        <x:v>51</x:v>
      </x:c>
      <x:c r="AF492" s="35"/>
      <x:c r="AG492" s="33" t="s">
        <x:v>2219</x:v>
      </x:c>
      <x:c r="AH492" s="36">
        <x:v>46301</x:v>
      </x:c>
      <x:c r="AI492" s="33" t="s">
        <x:v>127</x:v>
      </x:c>
      <x:c r="AJ492" s="34"/>
    </x:row>
    <x:row r="493" ht="15" customHeight="1">
      <x:c r="A493" s="31" t="s">
        <x:v>2285</x:v>
      </x:c>
      <x:c r="B493" s="31" t="s">
        <x:v>2286</x:v>
      </x:c>
      <x:c r="C493" s="31" t="s">
        <x:v>2197</x:v>
      </x:c>
      <x:c r="D493" s="32" t="s">
        <x:v>2287</x:v>
      </x:c>
      <x:c r="E493" s="32" t="str">
        <x:v>Data Migration Only</x:v>
      </x:c>
      <x:c r="F493" s="33" t="s">
        <x:v>118</x:v>
      </x:c>
      <x:c r="G493" s="34" t="s">
        <x:v>2199</x:v>
      </x:c>
      <x:c r="H493" s="33" t="s">
        <x:v>87</x:v>
      </x:c>
      <x:c r="I493" s="33" t="s">
        <x:v>2200</x:v>
      </x:c>
      <x:c r="J493" s="33" t="s">
        <x:v>80</x:v>
      </x:c>
      <x:c r="K493" s="33" t="s">
        <x:v>58</x:v>
      </x:c>
      <x:c r="L493" s="33" t="s">
        <x:v>73</x:v>
      </x:c>
      <x:c r="M493" s="35">
        <x:v>11</x:v>
      </x:c>
      <x:c r="N493" s="35">
        <x:v>988366</x:v>
      </x:c>
      <x:c r="O493" s="33" t="s">
        <x:v>98</x:v>
      </x:c>
      <x:c r="P493" s="33" t="s">
        <x:v>98</x:v>
      </x:c>
      <x:c r="Q493" s="33" t="s">
        <x:v>120</x:v>
      </x:c>
      <x:c r="R493" s="33" t="s">
        <x:v>101</x:v>
      </x:c>
      <x:c r="S493" s="31" t="s">
        <x:v>807</x:v>
      </x:c>
      <x:c r="T493" s="31" t="s">
        <x:v>2233</x:v>
      </x:c>
      <x:c r="U493" s="31" t="s">
        <x:v>522</x:v>
      </x:c>
      <x:c r="V493" s="33" t="s">
        <x:v>347</x:v>
      </x:c>
      <x:c r="W493" s="33"/>
      <x:c r="X493" s="33" t="s">
        <x:v>238</x:v>
      </x:c>
      <x:c r="Y493" s="36"/>
      <x:c r="Z493" s="36"/>
      <x:c r="AA493" s="33" t="s">
        <x:v>120</x:v>
      </x:c>
      <x:c r="AB493" s="37" t="n">
        <x:f>IFERROR(INDEX(Effort_Model!$J$6:$J$33,MATCH(K493&amp;"|"&amp;L493,Effort_Model!$B$6:$B$33,0)),"")</x:f>
        <x:v>26.4</x:v>
      </x:c>
      <x:c r="AC493" s="38">
        <x:v>156.1</x:v>
      </x:c>
      <x:c r="AD493" s="37">
        <x:f t="shared" si="7"/>
        <x:v>201.1</x:v>
      </x:c>
      <x:c r="AE493" s="37" t="n">
        <x:f>IFERROR(ROUND(IFERROR(INDEX(Scoring_Rules!$C$43:$C$44,MATCH(Q493,Scoring_Rules!$B$43:$B$44,0)),0)*Scoring_Rules!$C$6+IFERROR(INDEX(Scoring_Rules!$C$34:$C$40,MATCH(K493,Scoring_Rules!$B$34:$B$40,0)),0)*Scoring_Rules!$C$7+IFERROR(INDEX(Scoring_Rules!$C$16:$C$19,MATCH(P493,Scoring_Rules!$B$16:$B$19,0)),0)*Scoring_Rules!$C$8+IFERROR(INDEX(Scoring_Rules!$C$22:$C$25,MATCH(O493,Scoring_Rules!$B$22:$B$25,0)),0)*Scoring_Rules!$C$9+IFERROR(INDEX(Scoring_Rules!$C$47:$C$50,MATCH(X493,Scoring_Rules!$B$47:$B$50,0)),0)*Scoring_Rules!$C$10+IFERROR(INDEX(Scoring_Rules!$C$28:$C$31,MATCH(R493,Scoring_Rules!$B$28:$B$31,0)),0)*Scoring_Rules!$C$11,1),"")</x:f>
        <x:v>69.8</x:v>
      </x:c>
      <x:c r="AF493" s="35">
        <x:v>2</x:v>
      </x:c>
      <x:c r="AG493" s="33" t="s">
        <x:v>2202</x:v>
      </x:c>
      <x:c r="AH493" s="36">
        <x:v>46393</x:v>
      </x:c>
      <x:c r="AI493" s="33" t="s">
        <x:v>127</x:v>
      </x:c>
      <x:c r="AJ493" s="34"/>
    </x:row>
    <x:row r="494" ht="15" customHeight="1">
      <x:c r="A494" s="31" t="s">
        <x:v>2288</x:v>
      </x:c>
      <x:c r="B494" s="31" t="s">
        <x:v>2289</x:v>
      </x:c>
      <x:c r="C494" s="31" t="s">
        <x:v>2290</x:v>
      </x:c>
      <x:c r="D494" s="32" t="s">
        <x:v>760</x:v>
      </x:c>
      <x:c r="E494" s="32" t="str">
        <x:v>Data Migration Only</x:v>
      </x:c>
      <x:c r="F494" s="33" t="s">
        <x:v>118</x:v>
      </x:c>
      <x:c r="G494" s="34" t="s">
        <x:v>2291</x:v>
      </x:c>
      <x:c r="H494" s="33" t="s">
        <x:v>87</x:v>
      </x:c>
      <x:c r="I494" s="33" t="s">
        <x:v>2292</x:v>
      </x:c>
      <x:c r="J494" s="33" t="s">
        <x:v>80</x:v>
      </x:c>
      <x:c r="K494" s="33" t="s">
        <x:v>58</x:v>
      </x:c>
      <x:c r="L494" s="33" t="s">
        <x:v>71</x:v>
      </x:c>
      <x:c r="M494" s="35">
        <x:v>17</x:v>
      </x:c>
      <x:c r="N494" s="35">
        <x:v>1311709</x:v>
      </x:c>
      <x:c r="O494" s="33" t="s">
        <x:v>98</x:v>
      </x:c>
      <x:c r="P494" s="33" t="s">
        <x:v>98</x:v>
      </x:c>
      <x:c r="Q494" s="33" t="s">
        <x:v>118</x:v>
      </x:c>
      <x:c r="R494" s="33" t="s">
        <x:v>115</x:v>
      </x:c>
      <x:c r="S494" s="31" t="s">
        <x:v>1281</x:v>
      </x:c>
      <x:c r="T494" s="31" t="s">
        <x:v>1282</x:v>
      </x:c>
      <x:c r="U494" s="31" t="s">
        <x:v>276</x:v>
      </x:c>
      <x:c r="V494" s="33" t="s">
        <x:v>303</x:v>
      </x:c>
      <x:c r="W494" s="33"/>
      <x:c r="X494" s="33" t="s">
        <x:v>238</x:v>
      </x:c>
      <x:c r="Y494" s="36"/>
      <x:c r="Z494" s="36"/>
      <x:c r="AA494" s="33" t="s">
        <x:v>120</x:v>
      </x:c>
      <x:c r="AB494" s="37" t="n">
        <x:f>IFERROR(INDEX(Effort_Model!$J$6:$J$33,MATCH(K494&amp;"|"&amp;L494,Effort_Model!$B$6:$B$33,0)),"")</x:f>
        <x:v>18.4</x:v>
      </x:c>
      <x:c r="AC494" s="38">
        <x:v>112.1</x:v>
      </x:c>
      <x:c r="AD494" s="37">
        <x:f t="shared" si="7"/>
        <x:v>138.5</x:v>
      </x:c>
      <x:c r="AE494" s="37" t="n">
        <x:f>IFERROR(ROUND(IFERROR(INDEX(Scoring_Rules!$C$43:$C$44,MATCH(Q494,Scoring_Rules!$B$43:$B$44,0)),0)*Scoring_Rules!$C$6+IFERROR(INDEX(Scoring_Rules!$C$34:$C$40,MATCH(K494,Scoring_Rules!$B$34:$B$40,0)),0)*Scoring_Rules!$C$7+IFERROR(INDEX(Scoring_Rules!$C$16:$C$19,MATCH(P494,Scoring_Rules!$B$16:$B$19,0)),0)*Scoring_Rules!$C$8+IFERROR(INDEX(Scoring_Rules!$C$22:$C$25,MATCH(O494,Scoring_Rules!$B$22:$B$25,0)),0)*Scoring_Rules!$C$9+IFERROR(INDEX(Scoring_Rules!$C$47:$C$50,MATCH(X494,Scoring_Rules!$B$47:$B$50,0)),0)*Scoring_Rules!$C$10+IFERROR(INDEX(Scoring_Rules!$C$28:$C$31,MATCH(R494,Scoring_Rules!$B$28:$B$31,0)),0)*Scoring_Rules!$C$11,1),"")</x:f>
        <x:v>93</x:v>
      </x:c>
      <x:c r="AF494" s="35">
        <x:v>1</x:v>
      </x:c>
      <x:c r="AG494" s="33" t="s">
        <x:v>2293</x:v>
      </x:c>
      <x:c r="AH494" s="36">
        <x:v>46325</x:v>
      </x:c>
      <x:c r="AI494" s="33" t="s">
        <x:v>127</x:v>
      </x:c>
      <x:c r="AJ494" s="34" t="s">
        <x:v>312</x:v>
      </x:c>
    </x:row>
    <x:row r="495" ht="15" customHeight="1">
      <x:c r="A495" s="31" t="s">
        <x:v>2294</x:v>
      </x:c>
      <x:c r="B495" s="31" t="s">
        <x:v>2295</x:v>
      </x:c>
      <x:c r="C495" s="31" t="s">
        <x:v>2290</x:v>
      </x:c>
      <x:c r="D495" s="32" t="s">
        <x:v>2296</x:v>
      </x:c>
      <x:c r="E495" s="32" t="str">
        <x:v>Data Migration Only</x:v>
      </x:c>
      <x:c r="F495" s="33" t="s">
        <x:v>118</x:v>
      </x:c>
      <x:c r="G495" s="34" t="s">
        <x:v>2291</x:v>
      </x:c>
      <x:c r="H495" s="33" t="s">
        <x:v>87</x:v>
      </x:c>
      <x:c r="I495" s="33" t="s">
        <x:v>2292</x:v>
      </x:c>
      <x:c r="J495" s="33" t="s">
        <x:v>80</x:v>
      </x:c>
      <x:c r="K495" s="33" t="s">
        <x:v>60</x:v>
      </x:c>
      <x:c r="L495" s="33" t="s">
        <x:v>73</x:v>
      </x:c>
      <x:c r="M495" s="35">
        <x:v>32</x:v>
      </x:c>
      <x:c r="N495" s="35">
        <x:v>4189336</x:v>
      </x:c>
      <x:c r="O495" s="33" t="s">
        <x:v>101</x:v>
      </x:c>
      <x:c r="P495" s="33" t="s">
        <x:v>101</x:v>
      </x:c>
      <x:c r="Q495" s="33" t="s">
        <x:v>120</x:v>
      </x:c>
      <x:c r="R495" s="33" t="s">
        <x:v>73</x:v>
      </x:c>
      <x:c r="S495" s="31" t="s">
        <x:v>1288</x:v>
      </x:c>
      <x:c r="T495" s="31" t="s">
        <x:v>2297</x:v>
      </x:c>
      <x:c r="U495" s="31" t="s">
        <x:v>522</x:v>
      </x:c>
      <x:c r="V495" s="33" t="s">
        <x:v>277</x:v>
      </x:c>
      <x:c r="W495" s="33"/>
      <x:c r="X495" s="33" t="s">
        <x:v>238</x:v>
      </x:c>
      <x:c r="Y495" s="36"/>
      <x:c r="Z495" s="36"/>
      <x:c r="AA495" s="33" t="s">
        <x:v>120</x:v>
      </x:c>
      <x:c r="AB495" s="37" t="n">
        <x:f>IFERROR(INDEX(Effort_Model!$J$6:$J$33,MATCH(K495&amp;"|"&amp;L495,Effort_Model!$B$6:$B$33,0)),"")</x:f>
        <x:v>42.4</x:v>
      </x:c>
      <x:c r="AC495" s="38">
        <x:v>247.7</x:v>
      </x:c>
      <x:c r="AD495" s="37">
        <x:f t="shared" si="7"/>
        <x:v>324.7</x:v>
      </x:c>
      <x:c r="AE495" s="37" t="n">
        <x:f>IFERROR(ROUND(IFERROR(INDEX(Scoring_Rules!$C$43:$C$44,MATCH(Q495,Scoring_Rules!$B$43:$B$44,0)),0)*Scoring_Rules!$C$6+IFERROR(INDEX(Scoring_Rules!$C$34:$C$40,MATCH(K495,Scoring_Rules!$B$34:$B$40,0)),0)*Scoring_Rules!$C$7+IFERROR(INDEX(Scoring_Rules!$C$16:$C$19,MATCH(P495,Scoring_Rules!$B$16:$B$19,0)),0)*Scoring_Rules!$C$8+IFERROR(INDEX(Scoring_Rules!$C$22:$C$25,MATCH(O495,Scoring_Rules!$B$22:$B$25,0)),0)*Scoring_Rules!$C$9+IFERROR(INDEX(Scoring_Rules!$C$47:$C$50,MATCH(X495,Scoring_Rules!$B$47:$B$50,0)),0)*Scoring_Rules!$C$10+IFERROR(INDEX(Scoring_Rules!$C$28:$C$31,MATCH(R495,Scoring_Rules!$B$28:$B$31,0)),0)*Scoring_Rules!$C$11,1),"")</x:f>
        <x:v>45.8</x:v>
      </x:c>
      <x:c r="AF495" s="35">
        <x:v>4</x:v>
      </x:c>
      <x:c r="AG495" s="33" t="s">
        <x:v>2298</x:v>
      </x:c>
      <x:c r="AH495" s="36">
        <x:v>46359</x:v>
      </x:c>
      <x:c r="AI495" s="33" t="s">
        <x:v>127</x:v>
      </x:c>
      <x:c r="AJ495" s="34" t="s">
        <x:v>342</x:v>
      </x:c>
    </x:row>
    <x:row r="496" ht="15" customHeight="1">
      <x:c r="A496" s="31" t="s">
        <x:v>2299</x:v>
      </x:c>
      <x:c r="B496" s="31" t="s">
        <x:v>2300</x:v>
      </x:c>
      <x:c r="C496" s="31" t="s">
        <x:v>2290</x:v>
      </x:c>
      <x:c r="D496" s="32" t="s">
        <x:v>824</x:v>
      </x:c>
      <x:c r="E496" s="32" t="str">
        <x:v>Functional Migration Only</x:v>
      </x:c>
      <x:c r="F496" s="33" t="s">
        <x:v>118</x:v>
      </x:c>
      <x:c r="G496" s="34" t="s">
        <x:v>2301</x:v>
      </x:c>
      <x:c r="H496" s="33" t="s">
        <x:v>87</x:v>
      </x:c>
      <x:c r="I496" s="33" t="s">
        <x:v>2292</x:v>
      </x:c>
      <x:c r="J496" s="33" t="s">
        <x:v>82</x:v>
      </x:c>
      <x:c r="K496" s="33" t="s">
        <x:v>60</x:v>
      </x:c>
      <x:c r="L496" s="33" t="s">
        <x:v>77</x:v>
      </x:c>
      <x:c r="M496" s="35">
        <x:v>30</x:v>
      </x:c>
      <x:c r="N496" s="35">
        <x:v>6829967</x:v>
      </x:c>
      <x:c r="O496" s="33" t="s">
        <x:v>73</x:v>
      </x:c>
      <x:c r="P496" s="33" t="s">
        <x:v>101</x:v>
      </x:c>
      <x:c r="Q496" s="33" t="s">
        <x:v>120</x:v>
      </x:c>
      <x:c r="R496" s="33" t="s">
        <x:v>101</x:v>
      </x:c>
      <x:c r="S496" s="31" t="s">
        <x:v>604</x:v>
      </x:c>
      <x:c r="T496" s="31" t="s">
        <x:v>2201</x:v>
      </x:c>
      <x:c r="U496" s="31" t="s">
        <x:v>276</x:v>
      </x:c>
      <x:c r="V496" s="33" t="s">
        <x:v>379</x:v>
      </x:c>
      <x:c r="W496" s="33" t="s">
        <x:v>2294</x:v>
      </x:c>
      <x:c r="X496" s="33" t="s">
        <x:v>239</x:v>
      </x:c>
      <x:c r="Y496" s="36">
        <x:v>46639</x:v>
      </x:c>
      <x:c r="Z496" s="36">
        <x:v>47098</x:v>
      </x:c>
      <x:c r="AA496" s="33" t="s">
        <x:v>120</x:v>
      </x:c>
      <x:c r="AB496" s="37" t="n">
        <x:f>IFERROR(INDEX(Effort_Model!$J$6:$J$33,MATCH(K496&amp;"|"&amp;L496,Effort_Model!$B$6:$B$33,0)),"")</x:f>
        <x:v>42.4</x:v>
      </x:c>
      <x:c r="AC496" s="38">
        <x:v>692.5</x:v>
      </x:c>
      <x:c r="AD496" s="37">
        <x:f t="shared" si="7"/>
        <x:v>837.83330000000001</x:v>
      </x:c>
      <x:c r="AE496" s="37" t="n">
        <x:f>IFERROR(ROUND(IFERROR(INDEX(Scoring_Rules!$C$43:$C$44,MATCH(Q496,Scoring_Rules!$B$43:$B$44,0)),0)*Scoring_Rules!$C$6+IFERROR(INDEX(Scoring_Rules!$C$34:$C$40,MATCH(K496,Scoring_Rules!$B$34:$B$40,0)),0)*Scoring_Rules!$C$7+IFERROR(INDEX(Scoring_Rules!$C$16:$C$19,MATCH(P496,Scoring_Rules!$B$16:$B$19,0)),0)*Scoring_Rules!$C$8+IFERROR(INDEX(Scoring_Rules!$C$22:$C$25,MATCH(O496,Scoring_Rules!$B$22:$B$25,0)),0)*Scoring_Rules!$C$9+IFERROR(INDEX(Scoring_Rules!$C$47:$C$50,MATCH(X496,Scoring_Rules!$B$47:$B$50,0)),0)*Scoring_Rules!$C$10+IFERROR(INDEX(Scoring_Rules!$C$28:$C$31,MATCH(R496,Scoring_Rules!$B$28:$B$31,0)),0)*Scoring_Rules!$C$11,1),"")</x:f>
        <x:v>44.8</x:v>
      </x:c>
      <x:c r="AF496" s="35">
        <x:v>7</x:v>
      </x:c>
      <x:c r="AG496" s="33" t="s">
        <x:v>2302</x:v>
      </x:c>
      <x:c r="AH496" s="36">
        <x:v>46307</x:v>
      </x:c>
      <x:c r="AI496" s="33" t="s">
        <x:v>127</x:v>
      </x:c>
      <x:c r="AJ496" s="34"/>
    </x:row>
    <x:row r="497" ht="15" customHeight="1">
      <x:c r="A497" s="31" t="s">
        <x:v>2303</x:v>
      </x:c>
      <x:c r="B497" s="31" t="s">
        <x:v>2304</x:v>
      </x:c>
      <x:c r="C497" s="31" t="s">
        <x:v>2290</x:v>
      </x:c>
      <x:c r="D497" s="32" t="s">
        <x:v>824</x:v>
      </x:c>
      <x:c r="E497" s="32" t="str">
        <x:v>Data Migration Only</x:v>
      </x:c>
      <x:c r="F497" s="33" t="s">
        <x:v>118</x:v>
      </x:c>
      <x:c r="G497" s="34" t="s">
        <x:v>2301</x:v>
      </x:c>
      <x:c r="H497" s="33" t="s">
        <x:v>87</x:v>
      </x:c>
      <x:c r="I497" s="33" t="s">
        <x:v>2292</x:v>
      </x:c>
      <x:c r="J497" s="33" t="s">
        <x:v>80</x:v>
      </x:c>
      <x:c r="K497" s="33" t="s">
        <x:v>60</x:v>
      </x:c>
      <x:c r="L497" s="33" t="s">
        <x:v>71</x:v>
      </x:c>
      <x:c r="M497" s="35">
        <x:v>45</x:v>
      </x:c>
      <x:c r="N497" s="35">
        <x:v>5762371</x:v>
      </x:c>
      <x:c r="O497" s="33" t="s">
        <x:v>73</x:v>
      </x:c>
      <x:c r="P497" s="33" t="s">
        <x:v>98</x:v>
      </x:c>
      <x:c r="Q497" s="33" t="s">
        <x:v>120</x:v>
      </x:c>
      <x:c r="R497" s="33" t="s">
        <x:v>73</x:v>
      </x:c>
      <x:c r="S497" s="31" t="s">
        <x:v>604</x:v>
      </x:c>
      <x:c r="T497" s="31" t="s">
        <x:v>2201</x:v>
      </x:c>
      <x:c r="U497" s="31" t="s">
        <x:v>276</x:v>
      </x:c>
      <x:c r="V497" s="33" t="s">
        <x:v>379</x:v>
      </x:c>
      <x:c r="W497" s="33"/>
      <x:c r="X497" s="33" t="s">
        <x:v>238</x:v>
      </x:c>
      <x:c r="Y497" s="36">
        <x:v>46641</x:v>
      </x:c>
      <x:c r="Z497" s="36"/>
      <x:c r="AA497" s="33" t="s">
        <x:v>120</x:v>
      </x:c>
      <x:c r="AB497" s="37" t="n">
        <x:f>IFERROR(INDEX(Effort_Model!$J$6:$J$33,MATCH(K497&amp;"|"&amp;L497,Effort_Model!$B$6:$B$33,0)),"")</x:f>
        <x:v>18.4</x:v>
      </x:c>
      <x:c r="AC497" s="38">
        <x:v>174.3</x:v>
      </x:c>
      <x:c r="AD497" s="37">
        <x:f t="shared" si="7"/>
        <x:v>216.70000000000002</x:v>
      </x:c>
      <x:c r="AE497" s="37" t="n">
        <x:f>IFERROR(ROUND(IFERROR(INDEX(Scoring_Rules!$C$43:$C$44,MATCH(Q497,Scoring_Rules!$B$43:$B$44,0)),0)*Scoring_Rules!$C$6+IFERROR(INDEX(Scoring_Rules!$C$34:$C$40,MATCH(K497,Scoring_Rules!$B$34:$B$40,0)),0)*Scoring_Rules!$C$7+IFERROR(INDEX(Scoring_Rules!$C$16:$C$19,MATCH(P497,Scoring_Rules!$B$16:$B$19,0)),0)*Scoring_Rules!$C$8+IFERROR(INDEX(Scoring_Rules!$C$22:$C$25,MATCH(O497,Scoring_Rules!$B$22:$B$25,0)),0)*Scoring_Rules!$C$9+IFERROR(INDEX(Scoring_Rules!$C$47:$C$50,MATCH(X497,Scoring_Rules!$B$47:$B$50,0)),0)*Scoring_Rules!$C$10+IFERROR(INDEX(Scoring_Rules!$C$28:$C$31,MATCH(R497,Scoring_Rules!$B$28:$B$31,0)),0)*Scoring_Rules!$C$11,1),"")</x:f>
        <x:v>64</x:v>
      </x:c>
      <x:c r="AF497" s="35">
        <x:v>2</x:v>
      </x:c>
      <x:c r="AG497" s="33" t="s">
        <x:v>2305</x:v>
      </x:c>
      <x:c r="AH497" s="36">
        <x:v>46392</x:v>
      </x:c>
      <x:c r="AI497" s="33" t="s">
        <x:v>128</x:v>
      </x:c>
      <x:c r="AJ497" s="34"/>
    </x:row>
    <x:row r="498" ht="15" customHeight="1">
      <x:c r="A498" s="31" t="s">
        <x:v>2306</x:v>
      </x:c>
      <x:c r="B498" s="31" t="s">
        <x:v>2307</x:v>
      </x:c>
      <x:c r="C498" s="31" t="s">
        <x:v>2290</x:v>
      </x:c>
      <x:c r="D498" s="32" t="s">
        <x:v>320</x:v>
      </x:c>
      <x:c r="E498" s="32" t="str">
        <x:v>Functional Migration Only</x:v>
      </x:c>
      <x:c r="F498" s="33" t="s">
        <x:v>118</x:v>
      </x:c>
      <x:c r="G498" s="34" t="s">
        <x:v>2308</x:v>
      </x:c>
      <x:c r="H498" s="33" t="s">
        <x:v>87</x:v>
      </x:c>
      <x:c r="I498" s="33" t="s">
        <x:v>2292</x:v>
      </x:c>
      <x:c r="J498" s="33" t="s">
        <x:v>82</x:v>
      </x:c>
      <x:c r="K498" s="33" t="s">
        <x:v>62</x:v>
      </x:c>
      <x:c r="L498" s="33" t="s">
        <x:v>75</x:v>
      </x:c>
      <x:c r="M498" s="35">
        <x:v>56</x:v>
      </x:c>
      <x:c r="N498" s="35">
        <x:v>61470886</x:v>
      </x:c>
      <x:c r="O498" s="33" t="s">
        <x:v>73</x:v>
      </x:c>
      <x:c r="P498" s="33" t="s">
        <x:v>98</x:v>
      </x:c>
      <x:c r="Q498" s="33" t="s">
        <x:v>120</x:v>
      </x:c>
      <x:c r="R498" s="33" t="s">
        <x:v>98</x:v>
      </x:c>
      <x:c r="S498" s="31" t="s">
        <x:v>604</x:v>
      </x:c>
      <x:c r="T498" s="31" t="s">
        <x:v>2201</x:v>
      </x:c>
      <x:c r="U498" s="31" t="s">
        <x:v>276</x:v>
      </x:c>
      <x:c r="V498" s="33" t="s">
        <x:v>379</x:v>
      </x:c>
      <x:c r="W498" s="33"/>
      <x:c r="X498" s="33" t="s">
        <x:v>238</x:v>
      </x:c>
      <x:c r="Y498" s="36">
        <x:v>46358</x:v>
      </x:c>
      <x:c r="Z498" s="36"/>
      <x:c r="AA498" s="33" t="s">
        <x:v>120</x:v>
      </x:c>
      <x:c r="AB498" s="37" t="n">
        <x:f>IFERROR(INDEX(Effort_Model!$J$6:$J$33,MATCH(K498&amp;"|"&amp;L498,Effort_Model!$B$6:$B$33,0)),"")</x:f>
        <x:v>74.4</x:v>
      </x:c>
      <x:c r="AC498" s="38">
        <x:v>975.4</x:v>
      </x:c>
      <x:c r="AD498" s="37">
        <x:f t="shared" si="7"/>
        <x:v>1184.7332999999999</x:v>
      </x:c>
      <x:c r="AE498" s="37" t="n">
        <x:f>IFERROR(ROUND(IFERROR(INDEX(Scoring_Rules!$C$43:$C$44,MATCH(Q498,Scoring_Rules!$B$43:$B$44,0)),0)*Scoring_Rules!$C$6+IFERROR(INDEX(Scoring_Rules!$C$34:$C$40,MATCH(K498,Scoring_Rules!$B$34:$B$40,0)),0)*Scoring_Rules!$C$7+IFERROR(INDEX(Scoring_Rules!$C$16:$C$19,MATCH(P498,Scoring_Rules!$B$16:$B$19,0)),0)*Scoring_Rules!$C$8+IFERROR(INDEX(Scoring_Rules!$C$22:$C$25,MATCH(O498,Scoring_Rules!$B$22:$B$25,0)),0)*Scoring_Rules!$C$9+IFERROR(INDEX(Scoring_Rules!$C$47:$C$50,MATCH(X498,Scoring_Rules!$B$47:$B$50,0)),0)*Scoring_Rules!$C$10+IFERROR(INDEX(Scoring_Rules!$C$28:$C$31,MATCH(R498,Scoring_Rules!$B$28:$B$31,0)),0)*Scoring_Rules!$C$11,1),"")</x:f>
        <x:v>61.5</x:v>
      </x:c>
      <x:c r="AF498" s="35">
        <x:v>4</x:v>
      </x:c>
      <x:c r="AG498" s="33" t="s">
        <x:v>2293</x:v>
      </x:c>
      <x:c r="AH498" s="36">
        <x:v>46330</x:v>
      </x:c>
      <x:c r="AI498" s="33" t="s">
        <x:v>125</x:v>
      </x:c>
      <x:c r="AJ498" s="34" t="s">
        <x:v>312</x:v>
      </x:c>
    </x:row>
    <x:row r="499" ht="15" customHeight="1">
      <x:c r="A499" s="31" t="s">
        <x:v>2309</x:v>
      </x:c>
      <x:c r="B499" s="31" t="s">
        <x:v>2310</x:v>
      </x:c>
      <x:c r="C499" s="31" t="s">
        <x:v>2290</x:v>
      </x:c>
      <x:c r="D499" s="32" t="s">
        <x:v>824</x:v>
      </x:c>
      <x:c r="E499" s="32" t="str">
        <x:v>Functional Migration Only</x:v>
      </x:c>
      <x:c r="F499" s="33" t="s">
        <x:v>120</x:v>
      </x:c>
      <x:c r="G499" s="34" t="s">
        <x:v>2308</x:v>
      </x:c>
      <x:c r="H499" s="33" t="s">
        <x:v>87</x:v>
      </x:c>
      <x:c r="I499" s="33" t="s">
        <x:v>2292</x:v>
      </x:c>
      <x:c r="J499" s="33" t="s">
        <x:v>82</x:v>
      </x:c>
      <x:c r="K499" s="33" t="s">
        <x:v>62</x:v>
      </x:c>
      <x:c r="L499" s="33" t="s">
        <x:v>75</x:v>
      </x:c>
      <x:c r="M499" s="35">
        <x:v>71</x:v>
      </x:c>
      <x:c r="N499" s="35">
        <x:v>111715851</x:v>
      </x:c>
      <x:c r="O499" s="33" t="s">
        <x:v>101</x:v>
      </x:c>
      <x:c r="P499" s="33" t="s">
        <x:v>101</x:v>
      </x:c>
      <x:c r="Q499" s="33" t="s">
        <x:v>120</x:v>
      </x:c>
      <x:c r="R499" s="33" t="s">
        <x:v>73</x:v>
      </x:c>
      <x:c r="S499" s="31" t="s">
        <x:v>1529</x:v>
      </x:c>
      <x:c r="T499" s="31" t="s">
        <x:v>2311</x:v>
      </x:c>
      <x:c r="U499" s="31" t="s">
        <x:v>276</x:v>
      </x:c>
      <x:c r="V499" s="33" t="s">
        <x:v>277</x:v>
      </x:c>
      <x:c r="W499" s="33"/>
      <x:c r="X499" s="33" t="s">
        <x:v>238</x:v>
      </x:c>
      <x:c r="Y499" s="36"/>
      <x:c r="Z499" s="36"/>
      <x:c r="AA499" s="33" t="s">
        <x:v>120</x:v>
      </x:c>
      <x:c r="AB499" s="37" t="n">
        <x:f>IFERROR(INDEX(Effort_Model!$J$6:$J$33,MATCH(K499&amp;"|"&amp;L499,Effort_Model!$B$6:$B$33,0)),"")</x:f>
        <x:v>74.4</x:v>
      </x:c>
      <x:c r="AC499" s="38">
        <x:v>1018.6</x:v>
      </x:c>
      <x:c r="AD499" s="37">
        <x:f t="shared" si="7"/>
        <x:v>1227.9333000000001</x:v>
      </x:c>
      <x:c r="AE499" s="37" t="n">
        <x:f>IFERROR(ROUND(IFERROR(INDEX(Scoring_Rules!$C$43:$C$44,MATCH(Q499,Scoring_Rules!$B$43:$B$44,0)),0)*Scoring_Rules!$C$6+IFERROR(INDEX(Scoring_Rules!$C$34:$C$40,MATCH(K499,Scoring_Rules!$B$34:$B$40,0)),0)*Scoring_Rules!$C$7+IFERROR(INDEX(Scoring_Rules!$C$16:$C$19,MATCH(P499,Scoring_Rules!$B$16:$B$19,0)),0)*Scoring_Rules!$C$8+IFERROR(INDEX(Scoring_Rules!$C$22:$C$25,MATCH(O499,Scoring_Rules!$B$22:$B$25,0)),0)*Scoring_Rules!$C$9+IFERROR(INDEX(Scoring_Rules!$C$47:$C$50,MATCH(X499,Scoring_Rules!$B$47:$B$50,0)),0)*Scoring_Rules!$C$10+IFERROR(INDEX(Scoring_Rules!$C$28:$C$31,MATCH(R499,Scoring_Rules!$B$28:$B$31,0)),0)*Scoring_Rules!$C$11,1),"")</x:f>
        <x:v>41.8</x:v>
      </x:c>
      <x:c r="AF499" s="35">
        <x:v>7</x:v>
      </x:c>
      <x:c r="AG499" s="33" t="s">
        <x:v>2298</x:v>
      </x:c>
      <x:c r="AH499" s="36">
        <x:v>46363</x:v>
      </x:c>
      <x:c r="AI499" s="33" t="s">
        <x:v>127</x:v>
      </x:c>
      <x:c r="AJ499" s="34" t="s">
        <x:v>336</x:v>
      </x:c>
    </x:row>
    <x:row r="500" ht="23.25" customHeight="1">
      <x:c r="A500" s="31" t="s">
        <x:v>2312</x:v>
      </x:c>
      <x:c r="B500" s="31" t="s">
        <x:v>2313</x:v>
      </x:c>
      <x:c r="C500" s="31" t="s">
        <x:v>2290</x:v>
      </x:c>
      <x:c r="D500" s="32" t="s">
        <x:v>2314</x:v>
      </x:c>
      <x:c r="E500" s="32" t="str">
        <x:v>Data Migration Only</x:v>
      </x:c>
      <x:c r="F500" s="33" t="s">
        <x:v>120</x:v>
      </x:c>
      <x:c r="G500" s="34" t="s">
        <x:v>2315</x:v>
      </x:c>
      <x:c r="H500" s="33" t="s">
        <x:v>87</x:v>
      </x:c>
      <x:c r="I500" s="33" t="s">
        <x:v>2292</x:v>
      </x:c>
      <x:c r="J500" s="33" t="s">
        <x:v>80</x:v>
      </x:c>
      <x:c r="K500" s="33" t="s">
        <x:v>60</x:v>
      </x:c>
      <x:c r="L500" s="33" t="s">
        <x:v>75</x:v>
      </x:c>
      <x:c r="M500" s="35">
        <x:v>33</x:v>
      </x:c>
      <x:c r="N500" s="35">
        <x:v>4855854</x:v>
      </x:c>
      <x:c r="O500" s="33" t="s">
        <x:v>73</x:v>
      </x:c>
      <x:c r="P500" s="33" t="s">
        <x:v>73</x:v>
      </x:c>
      <x:c r="Q500" s="33" t="s">
        <x:v>120</x:v>
      </x:c>
      <x:c r="R500" s="33" t="s">
        <x:v>73</x:v>
      </x:c>
      <x:c r="S500" s="31" t="s">
        <x:v>677</x:v>
      </x:c>
      <x:c r="T500" s="31" t="s">
        <x:v>2316</x:v>
      </x:c>
      <x:c r="U500" s="31" t="s">
        <x:v>276</x:v>
      </x:c>
      <x:c r="V500" s="33" t="s">
        <x:v>289</x:v>
      </x:c>
      <x:c r="W500" s="33" t="s">
        <x:v>2317</x:v>
      </x:c>
      <x:c r="X500" s="33" t="s">
        <x:v>240</x:v>
      </x:c>
      <x:c r="Y500" s="36"/>
      <x:c r="Z500" s="36">
        <x:v>47037</x:v>
      </x:c>
      <x:c r="AA500" s="33" t="s">
        <x:v>120</x:v>
      </x:c>
      <x:c r="AB500" s="37" t="n">
        <x:f>IFERROR(INDEX(Effort_Model!$J$6:$J$33,MATCH(K500&amp;"|"&amp;L500,Effort_Model!$B$6:$B$33,0)),"")</x:f>
        <x:v>42.4</x:v>
      </x:c>
      <x:c r="AC500" s="38">
        <x:v>323.7</x:v>
      </x:c>
      <x:c r="AD500" s="37">
        <x:f t="shared" si="7"/>
        <x:v>437.0333</x:v>
      </x:c>
      <x:c r="AE500" s="37" t="n">
        <x:f>IFERROR(ROUND(IFERROR(INDEX(Scoring_Rules!$C$43:$C$44,MATCH(Q500,Scoring_Rules!$B$43:$B$44,0)),0)*Scoring_Rules!$C$6+IFERROR(INDEX(Scoring_Rules!$C$34:$C$40,MATCH(K500,Scoring_Rules!$B$34:$B$40,0)),0)*Scoring_Rules!$C$7+IFERROR(INDEX(Scoring_Rules!$C$16:$C$19,MATCH(P500,Scoring_Rules!$B$16:$B$19,0)),0)*Scoring_Rules!$C$8+IFERROR(INDEX(Scoring_Rules!$C$22:$C$25,MATCH(O500,Scoring_Rules!$B$22:$B$25,0)),0)*Scoring_Rules!$C$9+IFERROR(INDEX(Scoring_Rules!$C$47:$C$50,MATCH(X500,Scoring_Rules!$B$47:$B$50,0)),0)*Scoring_Rules!$C$10+IFERROR(INDEX(Scoring_Rules!$C$28:$C$31,MATCH(R500,Scoring_Rules!$B$28:$B$31,0)),0)*Scoring_Rules!$C$11,1),"")</x:f>
        <x:v>47.5</x:v>
      </x:c>
      <x:c r="AF500" s="35">
        <x:v>5</x:v>
      </x:c>
      <x:c r="AG500" s="33" t="s">
        <x:v>2302</x:v>
      </x:c>
      <x:c r="AH500" s="36">
        <x:v>46345</x:v>
      </x:c>
      <x:c r="AI500" s="33" t="s">
        <x:v>126</x:v>
      </x:c>
      <x:c r="AJ500" s="34"/>
    </x:row>
    <x:row r="501" ht="15" customHeight="1">
      <x:c r="A501" s="31" t="s">
        <x:v>2318</x:v>
      </x:c>
      <x:c r="B501" s="31" t="s">
        <x:v>2319</x:v>
      </x:c>
      <x:c r="C501" s="31" t="s">
        <x:v>2290</x:v>
      </x:c>
      <x:c r="D501" s="32" t="s">
        <x:v>824</x:v>
      </x:c>
      <x:c r="E501" s="32" t="str">
        <x:v>Data Migration Only</x:v>
      </x:c>
      <x:c r="F501" s="33" t="s">
        <x:v>118</x:v>
      </x:c>
      <x:c r="G501" s="34" t="s">
        <x:v>2308</x:v>
      </x:c>
      <x:c r="H501" s="33" t="s">
        <x:v>87</x:v>
      </x:c>
      <x:c r="I501" s="33" t="s">
        <x:v>2292</x:v>
      </x:c>
      <x:c r="J501" s="33" t="s">
        <x:v>80</x:v>
      </x:c>
      <x:c r="K501" s="33" t="s">
        <x:v>60</x:v>
      </x:c>
      <x:c r="L501" s="33" t="s">
        <x:v>75</x:v>
      </x:c>
      <x:c r="M501" s="35">
        <x:v>42</x:v>
      </x:c>
      <x:c r="N501" s="35">
        <x:v>5052180</x:v>
      </x:c>
      <x:c r="O501" s="33" t="s">
        <x:v>73</x:v>
      </x:c>
      <x:c r="P501" s="33" t="s">
        <x:v>101</x:v>
      </x:c>
      <x:c r="Q501" s="33" t="s">
        <x:v>120</x:v>
      </x:c>
      <x:c r="R501" s="33" t="s">
        <x:v>101</x:v>
      </x:c>
      <x:c r="S501" s="31" t="s">
        <x:v>604</x:v>
      </x:c>
      <x:c r="T501" s="31" t="s">
        <x:v>2201</x:v>
      </x:c>
      <x:c r="U501" s="31" t="s">
        <x:v>276</x:v>
      </x:c>
      <x:c r="V501" s="33" t="s">
        <x:v>365</x:v>
      </x:c>
      <x:c r="W501" s="33" t="s">
        <x:v>2320</x:v>
      </x:c>
      <x:c r="X501" s="33" t="s">
        <x:v>240</x:v>
      </x:c>
      <x:c r="Y501" s="36"/>
      <x:c r="Z501" s="36"/>
      <x:c r="AA501" s="33" t="s">
        <x:v>120</x:v>
      </x:c>
      <x:c r="AB501" s="37" t="n">
        <x:f>IFERROR(INDEX(Effort_Model!$J$6:$J$33,MATCH(K501&amp;"|"&amp;L501,Effort_Model!$B$6:$B$33,0)),"")</x:f>
        <x:v>42.4</x:v>
      </x:c>
      <x:c r="AC501" s="38">
        <x:v>380</x:v>
      </x:c>
      <x:c r="AD501" s="37">
        <x:f t="shared" si="7"/>
        <x:v>493.33330000000001</x:v>
      </x:c>
      <x:c r="AE501" s="37" t="n">
        <x:f>IFERROR(ROUND(IFERROR(INDEX(Scoring_Rules!$C$43:$C$44,MATCH(Q501,Scoring_Rules!$B$43:$B$44,0)),0)*Scoring_Rules!$C$6+IFERROR(INDEX(Scoring_Rules!$C$34:$C$40,MATCH(K501,Scoring_Rules!$B$34:$B$40,0)),0)*Scoring_Rules!$C$7+IFERROR(INDEX(Scoring_Rules!$C$16:$C$19,MATCH(P501,Scoring_Rules!$B$16:$B$19,0)),0)*Scoring_Rules!$C$8+IFERROR(INDEX(Scoring_Rules!$C$22:$C$25,MATCH(O501,Scoring_Rules!$B$22:$B$25,0)),0)*Scoring_Rules!$C$9+IFERROR(INDEX(Scoring_Rules!$C$47:$C$50,MATCH(X501,Scoring_Rules!$B$47:$B$50,0)),0)*Scoring_Rules!$C$10+IFERROR(INDEX(Scoring_Rules!$C$28:$C$31,MATCH(R501,Scoring_Rules!$B$28:$B$31,0)),0)*Scoring_Rules!$C$11,1),"")</x:f>
        <x:v>38.8</x:v>
      </x:c>
      <x:c r="AF501" s="35">
        <x:v>7</x:v>
      </x:c>
      <x:c r="AG501" s="33" t="s">
        <x:v>2305</x:v>
      </x:c>
      <x:c r="AH501" s="36">
        <x:v>46323</x:v>
      </x:c>
      <x:c r="AI501" s="33" t="s">
        <x:v>126</x:v>
      </x:c>
      <x:c r="AJ501" s="34" t="s">
        <x:v>336</x:v>
      </x:c>
    </x:row>
    <x:row r="502" ht="15" customHeight="1">
      <x:c r="A502" s="31" t="s">
        <x:v>2321</x:v>
      </x:c>
      <x:c r="B502" s="31" t="s">
        <x:v>2322</x:v>
      </x:c>
      <x:c r="C502" s="31" t="s">
        <x:v>2290</x:v>
      </x:c>
      <x:c r="D502" s="32" t="s">
        <x:v>320</x:v>
      </x:c>
      <x:c r="E502" s="32" t="str">
        <x:v>Data Migration Only</x:v>
      </x:c>
      <x:c r="F502" s="33" t="s">
        <x:v>118</x:v>
      </x:c>
      <x:c r="G502" s="34" t="s">
        <x:v>2291</x:v>
      </x:c>
      <x:c r="H502" s="33" t="s">
        <x:v>87</x:v>
      </x:c>
      <x:c r="I502" s="33" t="s">
        <x:v>2292</x:v>
      </x:c>
      <x:c r="J502" s="33" t="s">
        <x:v>80</x:v>
      </x:c>
      <x:c r="K502" s="33" t="s">
        <x:v>58</x:v>
      </x:c>
      <x:c r="L502" s="33" t="s">
        <x:v>73</x:v>
      </x:c>
      <x:c r="M502" s="35">
        <x:v>28</x:v>
      </x:c>
      <x:c r="N502" s="35">
        <x:v>848095</x:v>
      </x:c>
      <x:c r="O502" s="33" t="s">
        <x:v>98</x:v>
      </x:c>
      <x:c r="P502" s="33" t="s">
        <x:v>101</x:v>
      </x:c>
      <x:c r="Q502" s="33" t="s">
        <x:v>120</x:v>
      </x:c>
      <x:c r="R502" s="33" t="s">
        <x:v>98</x:v>
      </x:c>
      <x:c r="S502" s="31" t="s">
        <x:v>604</x:v>
      </x:c>
      <x:c r="T502" s="31" t="s">
        <x:v>2201</x:v>
      </x:c>
      <x:c r="U502" s="31" t="s">
        <x:v>276</x:v>
      </x:c>
      <x:c r="V502" s="33" t="s">
        <x:v>277</x:v>
      </x:c>
      <x:c r="W502" s="33" t="s">
        <x:v>2323</x:v>
      </x:c>
      <x:c r="X502" s="33" t="s">
        <x:v>240</x:v>
      </x:c>
      <x:c r="Y502" s="36"/>
      <x:c r="Z502" s="36"/>
      <x:c r="AA502" s="33" t="s">
        <x:v>120</x:v>
      </x:c>
      <x:c r="AB502" s="37" t="n">
        <x:f>IFERROR(INDEX(Effort_Model!$J$6:$J$33,MATCH(K502&amp;"|"&amp;L502,Effort_Model!$B$6:$B$33,0)),"")</x:f>
        <x:v>26.4</x:v>
      </x:c>
      <x:c r="AC502" s="38">
        <x:v>162.69999999999999</x:v>
      </x:c>
      <x:c r="AD502" s="37">
        <x:f t="shared" si="7"/>
        <x:v>207.7</x:v>
      </x:c>
      <x:c r="AE502" s="37" t="n">
        <x:f>IFERROR(ROUND(IFERROR(INDEX(Scoring_Rules!$C$43:$C$44,MATCH(Q502,Scoring_Rules!$B$43:$B$44,0)),0)*Scoring_Rules!$C$6+IFERROR(INDEX(Scoring_Rules!$C$34:$C$40,MATCH(K502,Scoring_Rules!$B$34:$B$40,0)),0)*Scoring_Rules!$C$7+IFERROR(INDEX(Scoring_Rules!$C$16:$C$19,MATCH(P502,Scoring_Rules!$B$16:$B$19,0)),0)*Scoring_Rules!$C$8+IFERROR(INDEX(Scoring_Rules!$C$22:$C$25,MATCH(O502,Scoring_Rules!$B$22:$B$25,0)),0)*Scoring_Rules!$C$9+IFERROR(INDEX(Scoring_Rules!$C$47:$C$50,MATCH(X502,Scoring_Rules!$B$47:$B$50,0)),0)*Scoring_Rules!$C$10+IFERROR(INDEX(Scoring_Rules!$C$28:$C$31,MATCH(R502,Scoring_Rules!$B$28:$B$31,0)),0)*Scoring_Rules!$C$11,1),"")</x:f>
        <x:v>49.5</x:v>
      </x:c>
      <x:c r="AF502" s="35">
        <x:v>4</x:v>
      </x:c>
      <x:c r="AG502" s="33" t="s">
        <x:v>2293</x:v>
      </x:c>
      <x:c r="AH502" s="36">
        <x:v>46349</x:v>
      </x:c>
      <x:c r="AI502" s="33" t="s">
        <x:v>125</x:v>
      </x:c>
      <x:c r="AJ502" s="34" t="s">
        <x:v>336</x:v>
      </x:c>
    </x:row>
    <x:row r="503" ht="15" customHeight="1">
      <x:c r="A503" s="31" t="s">
        <x:v>2324</x:v>
      </x:c>
      <x:c r="B503" s="31" t="s">
        <x:v>2325</x:v>
      </x:c>
      <x:c r="C503" s="31" t="s">
        <x:v>2290</x:v>
      </x:c>
      <x:c r="D503" s="32" t="s">
        <x:v>824</x:v>
      </x:c>
      <x:c r="E503" s="32" t="str">
        <x:v>Functional Migration Only</x:v>
      </x:c>
      <x:c r="F503" s="33" t="s">
        <x:v>118</x:v>
      </x:c>
      <x:c r="G503" s="34" t="s">
        <x:v>2315</x:v>
      </x:c>
      <x:c r="H503" s="33" t="s">
        <x:v>87</x:v>
      </x:c>
      <x:c r="I503" s="33" t="s">
        <x:v>2292</x:v>
      </x:c>
      <x:c r="J503" s="33" t="s">
        <x:v>82</x:v>
      </x:c>
      <x:c r="K503" s="33" t="s">
        <x:v>64</x:v>
      </x:c>
      <x:c r="L503" s="33" t="s">
        <x:v>71</x:v>
      </x:c>
      <x:c r="M503" s="35">
        <x:v>79</x:v>
      </x:c>
      <x:c r="N503" s="35">
        <x:v>1346801852</x:v>
      </x:c>
      <x:c r="O503" s="33" t="s">
        <x:v>103</x:v>
      </x:c>
      <x:c r="P503" s="33" t="s">
        <x:v>73</x:v>
      </x:c>
      <x:c r="Q503" s="33" t="s">
        <x:v>120</x:v>
      </x:c>
      <x:c r="R503" s="33" t="s">
        <x:v>101</x:v>
      </x:c>
      <x:c r="S503" s="31" t="s">
        <x:v>604</x:v>
      </x:c>
      <x:c r="T503" s="31" t="s">
        <x:v>2201</x:v>
      </x:c>
      <x:c r="U503" s="31" t="s">
        <x:v>276</x:v>
      </x:c>
      <x:c r="V503" s="33" t="s">
        <x:v>303</x:v>
      </x:c>
      <x:c r="W503" s="33"/>
      <x:c r="X503" s="33" t="s">
        <x:v>238</x:v>
      </x:c>
      <x:c r="Y503" s="36"/>
      <x:c r="Z503" s="36"/>
      <x:c r="AA503" s="33" t="s">
        <x:v>120</x:v>
      </x:c>
      <x:c r="AB503" s="37" t="n">
        <x:f>IFERROR(INDEX(Effort_Model!$J$6:$J$33,MATCH(K503&amp;"|"&amp;L503,Effort_Model!$B$6:$B$33,0)),"")</x:f>
        <x:v>18.4</x:v>
      </x:c>
      <x:c r="AC503" s="38">
        <x:v>831.4</x:v>
      </x:c>
      <x:c r="AD503" s="37">
        <x:f t="shared" si="7"/>
        <x:v>937.8</x:v>
      </x:c>
      <x:c r="AE503" s="37" t="n">
        <x:f>IFERROR(ROUND(IFERROR(INDEX(Scoring_Rules!$C$43:$C$44,MATCH(Q503,Scoring_Rules!$B$43:$B$44,0)),0)*Scoring_Rules!$C$6+IFERROR(INDEX(Scoring_Rules!$C$34:$C$40,MATCH(K503,Scoring_Rules!$B$34:$B$40,0)),0)*Scoring_Rules!$C$7+IFERROR(INDEX(Scoring_Rules!$C$16:$C$19,MATCH(P503,Scoring_Rules!$B$16:$B$19,0)),0)*Scoring_Rules!$C$8+IFERROR(INDEX(Scoring_Rules!$C$22:$C$25,MATCH(O503,Scoring_Rules!$B$22:$B$25,0)),0)*Scoring_Rules!$C$9+IFERROR(INDEX(Scoring_Rules!$C$47:$C$50,MATCH(X503,Scoring_Rules!$B$47:$B$50,0)),0)*Scoring_Rules!$C$10+IFERROR(INDEX(Scoring_Rules!$C$28:$C$31,MATCH(R503,Scoring_Rules!$B$28:$B$31,0)),0)*Scoring_Rules!$C$11,1),"")</x:f>
        <x:v>37.8</x:v>
      </x:c>
      <x:c r="AF503" s="35">
        <x:v>4</x:v>
      </x:c>
      <x:c r="AG503" s="33" t="s">
        <x:v>2298</x:v>
      </x:c>
      <x:c r="AH503" s="36">
        <x:v>46356</x:v>
      </x:c>
      <x:c r="AI503" s="33" t="s">
        <x:v>126</x:v>
      </x:c>
      <x:c r="AJ503" s="34"/>
    </x:row>
    <x:row r="504" ht="15" customHeight="1">
      <x:c r="A504" s="31" t="s">
        <x:v>2326</x:v>
      </x:c>
      <x:c r="B504" s="31" t="s">
        <x:v>2327</x:v>
      </x:c>
      <x:c r="C504" s="31" t="s">
        <x:v>2290</x:v>
      </x:c>
      <x:c r="D504" s="32" t="s">
        <x:v>824</x:v>
      </x:c>
      <x:c r="E504" s="32" t="str">
        <x:v>Functional Migration Only</x:v>
      </x:c>
      <x:c r="F504" s="33" t="s">
        <x:v>120</x:v>
      </x:c>
      <x:c r="G504" s="34" t="s">
        <x:v>2291</x:v>
      </x:c>
      <x:c r="H504" s="33" t="s">
        <x:v>87</x:v>
      </x:c>
      <x:c r="I504" s="33" t="s">
        <x:v>2292</x:v>
      </x:c>
      <x:c r="J504" s="33" t="s">
        <x:v>82</x:v>
      </x:c>
      <x:c r="K504" s="33" t="s">
        <x:v>58</x:v>
      </x:c>
      <x:c r="L504" s="33" t="s">
        <x:v>71</x:v>
      </x:c>
      <x:c r="M504" s="35">
        <x:v>26</x:v>
      </x:c>
      <x:c r="N504" s="35">
        <x:v>1308672</x:v>
      </x:c>
      <x:c r="O504" s="33" t="s">
        <x:v>98</x:v>
      </x:c>
      <x:c r="P504" s="33" t="s">
        <x:v>73</x:v>
      </x:c>
      <x:c r="Q504" s="33" t="s">
        <x:v>120</x:v>
      </x:c>
      <x:c r="R504" s="33" t="s">
        <x:v>101</x:v>
      </x:c>
      <x:c r="S504" s="31" t="s">
        <x:v>2328</x:v>
      </x:c>
      <x:c r="T504" s="31" t="s">
        <x:v>2329</x:v>
      </x:c>
      <x:c r="U504" s="31" t="s">
        <x:v>477</x:v>
      </x:c>
      <x:c r="V504" s="33" t="s">
        <x:v>365</x:v>
      </x:c>
      <x:c r="W504" s="33"/>
      <x:c r="X504" s="33" t="s">
        <x:v>238</x:v>
      </x:c>
      <x:c r="Y504" s="36"/>
      <x:c r="Z504" s="36">
        <x:v>46757</x:v>
      </x:c>
      <x:c r="AA504" s="33" t="s">
        <x:v>120</x:v>
      </x:c>
      <x:c r="AB504" s="37" t="n">
        <x:f>IFERROR(INDEX(Effort_Model!$J$6:$J$33,MATCH(K504&amp;"|"&amp;L504,Effort_Model!$B$6:$B$33,0)),"")</x:f>
        <x:v>18.4</x:v>
      </x:c>
      <x:c r="AC504" s="38">
        <x:v>183.7</x:v>
      </x:c>
      <x:c r="AD504" s="37">
        <x:f t="shared" si="7"/>
        <x:v>210.1</x:v>
      </x:c>
      <x:c r="AE504" s="37" t="n">
        <x:f>IFERROR(ROUND(IFERROR(INDEX(Scoring_Rules!$C$43:$C$44,MATCH(Q504,Scoring_Rules!$B$43:$B$44,0)),0)*Scoring_Rules!$C$6+IFERROR(INDEX(Scoring_Rules!$C$34:$C$40,MATCH(K504,Scoring_Rules!$B$34:$B$40,0)),0)*Scoring_Rules!$C$7+IFERROR(INDEX(Scoring_Rules!$C$16:$C$19,MATCH(P504,Scoring_Rules!$B$16:$B$19,0)),0)*Scoring_Rules!$C$8+IFERROR(INDEX(Scoring_Rules!$C$22:$C$25,MATCH(O504,Scoring_Rules!$B$22:$B$25,0)),0)*Scoring_Rules!$C$9+IFERROR(INDEX(Scoring_Rules!$C$47:$C$50,MATCH(X504,Scoring_Rules!$B$47:$B$50,0)),0)*Scoring_Rules!$C$10+IFERROR(INDEX(Scoring_Rules!$C$28:$C$31,MATCH(R504,Scoring_Rules!$B$28:$B$31,0)),0)*Scoring_Rules!$C$11,1),"")</x:f>
        <x:v>63.8</x:v>
      </x:c>
      <x:c r="AF504" s="35">
        <x:v>2</x:v>
      </x:c>
      <x:c r="AG504" s="33" t="s">
        <x:v>2302</x:v>
      </x:c>
      <x:c r="AH504" s="36">
        <x:v>46393</x:v>
      </x:c>
      <x:c r="AI504" s="33" t="s">
        <x:v>126</x:v>
      </x:c>
      <x:c r="AJ504" s="34" t="s">
        <x:v>383</x:v>
      </x:c>
    </x:row>
    <x:row r="505" ht="23.25" customHeight="1">
      <x:c r="A505" s="31" t="s">
        <x:v>2330</x:v>
      </x:c>
      <x:c r="B505" s="31" t="s">
        <x:v>2331</x:v>
      </x:c>
      <x:c r="C505" s="31" t="s">
        <x:v>2290</x:v>
      </x:c>
      <x:c r="D505" s="32" t="s">
        <x:v>628</x:v>
      </x:c>
      <x:c r="E505" s="32" t="str">
        <x:v>Functional Migration Only</x:v>
      </x:c>
      <x:c r="F505" s="33" t="s">
        <x:v>118</x:v>
      </x:c>
      <x:c r="G505" s="34" t="s">
        <x:v>2308</x:v>
      </x:c>
      <x:c r="H505" s="33" t="s">
        <x:v>87</x:v>
      </x:c>
      <x:c r="I505" s="33" t="s">
        <x:v>2292</x:v>
      </x:c>
      <x:c r="J505" s="33" t="s">
        <x:v>82</x:v>
      </x:c>
      <x:c r="K505" s="33" t="s">
        <x:v>58</x:v>
      </x:c>
      <x:c r="L505" s="33" t="s">
        <x:v>71</x:v>
      </x:c>
      <x:c r="M505" s="35">
        <x:v>25</x:v>
      </x:c>
      <x:c r="N505" s="35">
        <x:v>1000850</x:v>
      </x:c>
      <x:c r="O505" s="33" t="s">
        <x:v>73</x:v>
      </x:c>
      <x:c r="P505" s="33" t="s">
        <x:v>73</x:v>
      </x:c>
      <x:c r="Q505" s="33" t="s">
        <x:v>120</x:v>
      </x:c>
      <x:c r="R505" s="33" t="s">
        <x:v>101</x:v>
      </x:c>
      <x:c r="S505" s="31" t="s">
        <x:v>2332</x:v>
      </x:c>
      <x:c r="T505" s="31" t="s">
        <x:v>2333</x:v>
      </x:c>
      <x:c r="U505" s="31" t="s">
        <x:v>522</x:v>
      </x:c>
      <x:c r="V505" s="33" t="s">
        <x:v>365</x:v>
      </x:c>
      <x:c r="W505" s="33"/>
      <x:c r="X505" s="33" t="s">
        <x:v>238</x:v>
      </x:c>
      <x:c r="Y505" s="36"/>
      <x:c r="Z505" s="36">
        <x:v>47078</x:v>
      </x:c>
      <x:c r="AA505" s="33" t="s">
        <x:v>120</x:v>
      </x:c>
      <x:c r="AB505" s="37" t="n">
        <x:f>IFERROR(INDEX(Effort_Model!$J$6:$J$33,MATCH(K505&amp;"|"&amp;L505,Effort_Model!$B$6:$B$33,0)),"")</x:f>
        <x:v>18.4</x:v>
      </x:c>
      <x:c r="AC505" s="38">
        <x:v>164.6</x:v>
      </x:c>
      <x:c r="AD505" s="37">
        <x:f t="shared" si="7"/>
        <x:v>191</x:v>
      </x:c>
      <x:c r="AE505" s="37" t="n">
        <x:f>IFERROR(ROUND(IFERROR(INDEX(Scoring_Rules!$C$43:$C$44,MATCH(Q505,Scoring_Rules!$B$43:$B$44,0)),0)*Scoring_Rules!$C$6+IFERROR(INDEX(Scoring_Rules!$C$34:$C$40,MATCH(K505,Scoring_Rules!$B$34:$B$40,0)),0)*Scoring_Rules!$C$7+IFERROR(INDEX(Scoring_Rules!$C$16:$C$19,MATCH(P505,Scoring_Rules!$B$16:$B$19,0)),0)*Scoring_Rules!$C$8+IFERROR(INDEX(Scoring_Rules!$C$22:$C$25,MATCH(O505,Scoring_Rules!$B$22:$B$25,0)),0)*Scoring_Rules!$C$9+IFERROR(INDEX(Scoring_Rules!$C$47:$C$50,MATCH(X505,Scoring_Rules!$B$47:$B$50,0)),0)*Scoring_Rules!$C$10+IFERROR(INDEX(Scoring_Rules!$C$28:$C$31,MATCH(R505,Scoring_Rules!$B$28:$B$31,0)),0)*Scoring_Rules!$C$11,1),"")</x:f>
        <x:v>59.3</x:v>
      </x:c>
      <x:c r="AF505" s="35">
        <x:v>2</x:v>
      </x:c>
      <x:c r="AG505" s="33" t="s">
        <x:v>2305</x:v>
      </x:c>
      <x:c r="AH505" s="36">
        <x:v>46342</x:v>
      </x:c>
      <x:c r="AI505" s="33" t="s">
        <x:v>127</x:v>
      </x:c>
      <x:c r="AJ505" s="34"/>
    </x:row>
    <x:row r="506" ht="23.25" customHeight="1">
      <x:c r="A506" s="31" t="s">
        <x:v>2334</x:v>
      </x:c>
      <x:c r="B506" s="31" t="s">
        <x:v>2335</x:v>
      </x:c>
      <x:c r="C506" s="31" t="s">
        <x:v>2290</x:v>
      </x:c>
      <x:c r="D506" s="32" t="s">
        <x:v>2314</x:v>
      </x:c>
      <x:c r="E506" s="32" t="str">
        <x:v>Functional Migration Only</x:v>
      </x:c>
      <x:c r="F506" s="33" t="s">
        <x:v>120</x:v>
      </x:c>
      <x:c r="G506" s="34" t="s">
        <x:v>2301</x:v>
      </x:c>
      <x:c r="H506" s="33" t="s">
        <x:v>87</x:v>
      </x:c>
      <x:c r="I506" s="33" t="s">
        <x:v>2292</x:v>
      </x:c>
      <x:c r="J506" s="33" t="s">
        <x:v>82</x:v>
      </x:c>
      <x:c r="K506" s="33" t="s">
        <x:v>64</x:v>
      </x:c>
      <x:c r="L506" s="33" t="s">
        <x:v>73</x:v>
      </x:c>
      <x:c r="M506" s="35">
        <x:v>120</x:v>
      </x:c>
      <x:c r="N506" s="35">
        <x:v>567952818</x:v>
      </x:c>
      <x:c r="O506" s="33" t="s">
        <x:v>103</x:v>
      </x:c>
      <x:c r="P506" s="33" t="s">
        <x:v>73</x:v>
      </x:c>
      <x:c r="Q506" s="33" t="s">
        <x:v>120</x:v>
      </x:c>
      <x:c r="R506" s="33" t="s">
        <x:v>98</x:v>
      </x:c>
      <x:c r="S506" s="31" t="s">
        <x:v>630</x:v>
      </x:c>
      <x:c r="T506" s="31" t="s">
        <x:v>2336</x:v>
      </x:c>
      <x:c r="U506" s="31" t="s">
        <x:v>276</x:v>
      </x:c>
      <x:c r="V506" s="33" t="s">
        <x:v>365</x:v>
      </x:c>
      <x:c r="W506" s="33"/>
      <x:c r="X506" s="33" t="s">
        <x:v>238</x:v>
      </x:c>
      <x:c r="Y506" s="36">
        <x:v>46653</x:v>
      </x:c>
      <x:c r="Z506" s="36"/>
      <x:c r="AA506" s="33" t="s">
        <x:v>120</x:v>
      </x:c>
      <x:c r="AB506" s="37" t="n">
        <x:f>IFERROR(INDEX(Effort_Model!$J$6:$J$33,MATCH(K506&amp;"|"&amp;L506,Effort_Model!$B$6:$B$33,0)),"")</x:f>
        <x:v>106.4</x:v>
      </x:c>
      <x:c r="AC506" s="38">
        <x:v>1233.5999999999999</x:v>
      </x:c>
      <x:c r="AD506" s="37">
        <x:f t="shared" si="7"/>
        <x:v>1438.6</x:v>
      </x:c>
      <x:c r="AE506" s="37" t="n">
        <x:f>IFERROR(ROUND(IFERROR(INDEX(Scoring_Rules!$C$43:$C$44,MATCH(Q506,Scoring_Rules!$B$43:$B$44,0)),0)*Scoring_Rules!$C$6+IFERROR(INDEX(Scoring_Rules!$C$34:$C$40,MATCH(K506,Scoring_Rules!$B$34:$B$40,0)),0)*Scoring_Rules!$C$7+IFERROR(INDEX(Scoring_Rules!$C$16:$C$19,MATCH(P506,Scoring_Rules!$B$16:$B$19,0)),0)*Scoring_Rules!$C$8+IFERROR(INDEX(Scoring_Rules!$C$22:$C$25,MATCH(O506,Scoring_Rules!$B$22:$B$25,0)),0)*Scoring_Rules!$C$9+IFERROR(INDEX(Scoring_Rules!$C$47:$C$50,MATCH(X506,Scoring_Rules!$B$47:$B$50,0)),0)*Scoring_Rules!$C$10+IFERROR(INDEX(Scoring_Rules!$C$28:$C$31,MATCH(R506,Scoring_Rules!$B$28:$B$31,0)),0)*Scoring_Rules!$C$11,1),"")</x:f>
        <x:v>41</x:v>
      </x:c>
      <x:c r="AF506" s="35">
        <x:v>5</x:v>
      </x:c>
      <x:c r="AG506" s="33" t="s">
        <x:v>2293</x:v>
      </x:c>
      <x:c r="AH506" s="36">
        <x:v>46333</x:v>
      </x:c>
      <x:c r="AI506" s="33" t="s">
        <x:v>126</x:v>
      </x:c>
      <x:c r="AJ506" s="34"/>
    </x:row>
    <x:row r="507" ht="15" customHeight="1">
      <x:c r="A507" s="31" t="s">
        <x:v>2337</x:v>
      </x:c>
      <x:c r="B507" s="31" t="s">
        <x:v>2338</x:v>
      </x:c>
      <x:c r="C507" s="31" t="s">
        <x:v>2290</x:v>
      </x:c>
      <x:c r="D507" s="32" t="s">
        <x:v>824</x:v>
      </x:c>
      <x:c r="E507" s="32" t="str">
        <x:v>Data Migration Only</x:v>
      </x:c>
      <x:c r="F507" s="33" t="s">
        <x:v>118</x:v>
      </x:c>
      <x:c r="G507" s="34" t="s">
        <x:v>2291</x:v>
      </x:c>
      <x:c r="H507" s="33" t="s">
        <x:v>87</x:v>
      </x:c>
      <x:c r="I507" s="33" t="s">
        <x:v>2292</x:v>
      </x:c>
      <x:c r="J507" s="33" t="s">
        <x:v>80</x:v>
      </x:c>
      <x:c r="K507" s="33" t="s">
        <x:v>60</x:v>
      </x:c>
      <x:c r="L507" s="33" t="s">
        <x:v>73</x:v>
      </x:c>
      <x:c r="M507" s="35">
        <x:v>40</x:v>
      </x:c>
      <x:c r="N507" s="35">
        <x:v>6552112</x:v>
      </x:c>
      <x:c r="O507" s="33" t="s">
        <x:v>101</x:v>
      </x:c>
      <x:c r="P507" s="33" t="s">
        <x:v>73</x:v>
      </x:c>
      <x:c r="Q507" s="33" t="s">
        <x:v>120</x:v>
      </x:c>
      <x:c r="R507" s="33" t="s">
        <x:v>101</x:v>
      </x:c>
      <x:c r="S507" s="31" t="s">
        <x:v>630</x:v>
      </x:c>
      <x:c r="T507" s="31" t="s">
        <x:v>2336</x:v>
      </x:c>
      <x:c r="U507" s="31" t="s">
        <x:v>276</x:v>
      </x:c>
      <x:c r="V507" s="33" t="s">
        <x:v>277</x:v>
      </x:c>
      <x:c r="W507" s="33"/>
      <x:c r="X507" s="33" t="s">
        <x:v>238</x:v>
      </x:c>
      <x:c r="Y507" s="36"/>
      <x:c r="Z507" s="36"/>
      <x:c r="AA507" s="33" t="s">
        <x:v>120</x:v>
      </x:c>
      <x:c r="AB507" s="37" t="n">
        <x:f>IFERROR(INDEX(Effort_Model!$J$6:$J$33,MATCH(K507&amp;"|"&amp;L507,Effort_Model!$B$6:$B$33,0)),"")</x:f>
        <x:v>42.4</x:v>
      </x:c>
      <x:c r="AC507" s="38">
        <x:v>277.10000000000002</x:v>
      </x:c>
      <x:c r="AD507" s="37">
        <x:f t="shared" si="7"/>
        <x:v>354.1</x:v>
      </x:c>
      <x:c r="AE507" s="37" t="n">
        <x:f>IFERROR(ROUND(IFERROR(INDEX(Scoring_Rules!$C$43:$C$44,MATCH(Q507,Scoring_Rules!$B$43:$B$44,0)),0)*Scoring_Rules!$C$6+IFERROR(INDEX(Scoring_Rules!$C$34:$C$40,MATCH(K507,Scoring_Rules!$B$34:$B$40,0)),0)*Scoring_Rules!$C$7+IFERROR(INDEX(Scoring_Rules!$C$16:$C$19,MATCH(P507,Scoring_Rules!$B$16:$B$19,0)),0)*Scoring_Rules!$C$8+IFERROR(INDEX(Scoring_Rules!$C$22:$C$25,MATCH(O507,Scoring_Rules!$B$22:$B$25,0)),0)*Scoring_Rules!$C$9+IFERROR(INDEX(Scoring_Rules!$C$47:$C$50,MATCH(X507,Scoring_Rules!$B$47:$B$50,0)),0)*Scoring_Rules!$C$10+IFERROR(INDEX(Scoring_Rules!$C$28:$C$31,MATCH(R507,Scoring_Rules!$B$28:$B$31,0)),0)*Scoring_Rules!$C$11,1),"")</x:f>
        <x:v>51</x:v>
      </x:c>
      <x:c r="AF507" s="35">
        <x:v>3</x:v>
      </x:c>
      <x:c r="AG507" s="33" t="s">
        <x:v>2298</x:v>
      </x:c>
      <x:c r="AH507" s="36">
        <x:v>46344</x:v>
      </x:c>
      <x:c r="AI507" s="33" t="s">
        <x:v>128</x:v>
      </x:c>
      <x:c r="AJ507" s="34"/>
    </x:row>
    <x:row r="508" ht="45.75" customHeight="1">
      <x:c r="A508" s="31" t="s">
        <x:v>2339</x:v>
      </x:c>
      <x:c r="B508" s="31" t="s">
        <x:v>2340</x:v>
      </x:c>
      <x:c r="C508" s="31" t="s">
        <x:v>2290</x:v>
      </x:c>
      <x:c r="D508" s="32" t="s">
        <x:v>2341</x:v>
      </x:c>
      <x:c r="E508" s="32" t="str">
        <x:v>Data Migration Only</x:v>
      </x:c>
      <x:c r="F508" s="33" t="s">
        <x:v>118</x:v>
      </x:c>
      <x:c r="G508" s="34" t="s">
        <x:v>2291</x:v>
      </x:c>
      <x:c r="H508" s="33" t="s">
        <x:v>87</x:v>
      </x:c>
      <x:c r="I508" s="33" t="s">
        <x:v>2292</x:v>
      </x:c>
      <x:c r="J508" s="33" t="s">
        <x:v>80</x:v>
      </x:c>
      <x:c r="K508" s="33" t="s">
        <x:v>60</x:v>
      </x:c>
      <x:c r="L508" s="33" t="s">
        <x:v>73</x:v>
      </x:c>
      <x:c r="M508" s="35">
        <x:v>32</x:v>
      </x:c>
      <x:c r="N508" s="35">
        <x:v>6550074</x:v>
      </x:c>
      <x:c r="O508" s="33" t="s">
        <x:v>73</x:v>
      </x:c>
      <x:c r="P508" s="33" t="s">
        <x:v>98</x:v>
      </x:c>
      <x:c r="Q508" s="33" t="s">
        <x:v>118</x:v>
      </x:c>
      <x:c r="R508" s="33" t="s">
        <x:v>101</x:v>
      </x:c>
      <x:c r="S508" s="31" t="s">
        <x:v>1299</x:v>
      </x:c>
      <x:c r="T508" s="31" t="s">
        <x:v>2342</x:v>
      </x:c>
      <x:c r="U508" s="31" t="s">
        <x:v>522</x:v>
      </x:c>
      <x:c r="V508" s="33" t="s">
        <x:v>444</x:v>
      </x:c>
      <x:c r="W508" s="33"/>
      <x:c r="X508" s="33" t="s">
        <x:v>238</x:v>
      </x:c>
      <x:c r="Y508" s="36"/>
      <x:c r="Z508" s="36"/>
      <x:c r="AA508" s="33" t="s">
        <x:v>120</x:v>
      </x:c>
      <x:c r="AB508" s="37" t="n">
        <x:f>IFERROR(INDEX(Effort_Model!$J$6:$J$33,MATCH(K508&amp;"|"&amp;L508,Effort_Model!$B$6:$B$33,0)),"")</x:f>
        <x:v>42.4</x:v>
      </x:c>
      <x:c r="AC508" s="38">
        <x:v>283</x:v>
      </x:c>
      <x:c r="AD508" s="37">
        <x:f t="shared" si="7"/>
        <x:v>360</x:v>
      </x:c>
      <x:c r="AE508" s="37" t="n">
        <x:f>IFERROR(ROUND(IFERROR(INDEX(Scoring_Rules!$C$43:$C$44,MATCH(Q508,Scoring_Rules!$B$43:$B$44,0)),0)*Scoring_Rules!$C$6+IFERROR(INDEX(Scoring_Rules!$C$34:$C$40,MATCH(K508,Scoring_Rules!$B$34:$B$40,0)),0)*Scoring_Rules!$C$7+IFERROR(INDEX(Scoring_Rules!$C$16:$C$19,MATCH(P508,Scoring_Rules!$B$16:$B$19,0)),0)*Scoring_Rules!$C$8+IFERROR(INDEX(Scoring_Rules!$C$22:$C$25,MATCH(O508,Scoring_Rules!$B$22:$B$25,0)),0)*Scoring_Rules!$C$9+IFERROR(INDEX(Scoring_Rules!$C$47:$C$50,MATCH(X508,Scoring_Rules!$B$47:$B$50,0)),0)*Scoring_Rules!$C$10+IFERROR(INDEX(Scoring_Rules!$C$28:$C$31,MATCH(R508,Scoring_Rules!$B$28:$B$31,0)),0)*Scoring_Rules!$C$11,1),"")</x:f>
        <x:v>87.3</x:v>
      </x:c>
      <x:c r="AF508" s="35">
        <x:v>1</x:v>
      </x:c>
      <x:c r="AG508" s="33" t="s">
        <x:v>2302</x:v>
      </x:c>
      <x:c r="AH508" s="36">
        <x:v>46400</x:v>
      </x:c>
      <x:c r="AI508" s="33" t="s">
        <x:v>125</x:v>
      </x:c>
      <x:c r="AJ508" s="34"/>
    </x:row>
    <x:row r="509" ht="23.25" customHeight="1">
      <x:c r="A509" s="31" t="s">
        <x:v>2343</x:v>
      </x:c>
      <x:c r="B509" s="31" t="s">
        <x:v>2344</x:v>
      </x:c>
      <x:c r="C509" s="31" t="s">
        <x:v>2290</x:v>
      </x:c>
      <x:c r="D509" s="32" t="s">
        <x:v>628</x:v>
      </x:c>
      <x:c r="E509" s="32" t="str">
        <x:v>Functional Migration Only</x:v>
      </x:c>
      <x:c r="F509" s="33" t="s">
        <x:v>118</x:v>
      </x:c>
      <x:c r="G509" s="34" t="s">
        <x:v>2301</x:v>
      </x:c>
      <x:c r="H509" s="33" t="s">
        <x:v>87</x:v>
      </x:c>
      <x:c r="I509" s="33" t="s">
        <x:v>2292</x:v>
      </x:c>
      <x:c r="J509" s="33" t="s">
        <x:v>82</x:v>
      </x:c>
      <x:c r="K509" s="33" t="s">
        <x:v>62</x:v>
      </x:c>
      <x:c r="L509" s="33" t="s">
        <x:v>75</x:v>
      </x:c>
      <x:c r="M509" s="35">
        <x:v>67</x:v>
      </x:c>
      <x:c r="N509" s="35">
        <x:v>98217333</x:v>
      </x:c>
      <x:c r="O509" s="33" t="s">
        <x:v>73</x:v>
      </x:c>
      <x:c r="P509" s="33" t="s">
        <x:v>101</x:v>
      </x:c>
      <x:c r="Q509" s="33" t="s">
        <x:v>120</x:v>
      </x:c>
      <x:c r="R509" s="33" t="s">
        <x:v>98</x:v>
      </x:c>
      <x:c r="S509" s="31" t="s">
        <x:v>2345</x:v>
      </x:c>
      <x:c r="T509" s="31" t="s">
        <x:v>2346</x:v>
      </x:c>
      <x:c r="U509" s="31" t="s">
        <x:v>522</x:v>
      </x:c>
      <x:c r="V509" s="33" t="s">
        <x:v>277</x:v>
      </x:c>
      <x:c r="W509" s="33" t="s">
        <x:v>2339</x:v>
      </x:c>
      <x:c r="X509" s="33" t="s">
        <x:v>239</x:v>
      </x:c>
      <x:c r="Y509" s="36"/>
      <x:c r="Z509" s="36">
        <x:v>46805</x:v>
      </x:c>
      <x:c r="AA509" s="33" t="s">
        <x:v>120</x:v>
      </x:c>
      <x:c r="AB509" s="37" t="n">
        <x:f>IFERROR(INDEX(Effort_Model!$J$6:$J$33,MATCH(K509&amp;"|"&amp;L509,Effort_Model!$B$6:$B$33,0)),"")</x:f>
        <x:v>74.4</x:v>
      </x:c>
      <x:c r="AC509" s="38">
        <x:v>883.3</x:v>
      </x:c>
      <x:c r="AD509" s="37">
        <x:f t="shared" si="7"/>
        <x:v>1092.6333</x:v>
      </x:c>
      <x:c r="AE509" s="37" t="n">
        <x:f>IFERROR(ROUND(IFERROR(INDEX(Scoring_Rules!$C$43:$C$44,MATCH(Q509,Scoring_Rules!$B$43:$B$44,0)),0)*Scoring_Rules!$C$6+IFERROR(INDEX(Scoring_Rules!$C$34:$C$40,MATCH(K509,Scoring_Rules!$B$34:$B$40,0)),0)*Scoring_Rules!$C$7+IFERROR(INDEX(Scoring_Rules!$C$16:$C$19,MATCH(P509,Scoring_Rules!$B$16:$B$19,0)),0)*Scoring_Rules!$C$8+IFERROR(INDEX(Scoring_Rules!$C$22:$C$25,MATCH(O509,Scoring_Rules!$B$22:$B$25,0)),0)*Scoring_Rules!$C$9+IFERROR(INDEX(Scoring_Rules!$C$47:$C$50,MATCH(X509,Scoring_Rules!$B$47:$B$50,0)),0)*Scoring_Rules!$C$10+IFERROR(INDEX(Scoring_Rules!$C$28:$C$31,MATCH(R509,Scoring_Rules!$B$28:$B$31,0)),0)*Scoring_Rules!$C$11,1),"")</x:f>
        <x:v>44</x:v>
      </x:c>
      <x:c r="AF509" s="35">
        <x:v>6</x:v>
      </x:c>
      <x:c r="AG509" s="33" t="s">
        <x:v>2305</x:v>
      </x:c>
      <x:c r="AH509" s="36">
        <x:v>46352</x:v>
      </x:c>
      <x:c r="AI509" s="33" t="s">
        <x:v>125</x:v>
      </x:c>
      <x:c r="AJ509" s="34" t="s">
        <x:v>445</x:v>
      </x:c>
    </x:row>
    <x:row r="510" ht="15" customHeight="1">
      <x:c r="A510" s="31" t="s">
        <x:v>2347</x:v>
      </x:c>
      <x:c r="B510" s="31" t="s">
        <x:v>2348</x:v>
      </x:c>
      <x:c r="C510" s="31" t="s">
        <x:v>2290</x:v>
      </x:c>
      <x:c r="D510" s="32" t="s">
        <x:v>824</x:v>
      </x:c>
      <x:c r="E510" s="32" t="str">
        <x:v>Data Migration Only</x:v>
      </x:c>
      <x:c r="F510" s="33" t="s">
        <x:v>118</x:v>
      </x:c>
      <x:c r="G510" s="34" t="s">
        <x:v>2308</x:v>
      </x:c>
      <x:c r="H510" s="33" t="s">
        <x:v>87</x:v>
      </x:c>
      <x:c r="I510" s="33" t="s">
        <x:v>2292</x:v>
      </x:c>
      <x:c r="J510" s="33" t="s">
        <x:v>80</x:v>
      </x:c>
      <x:c r="K510" s="33" t="s">
        <x:v>68</x:v>
      </x:c>
      <x:c r="L510" s="33" t="s">
        <x:v>71</x:v>
      </x:c>
      <x:c r="M510" s="35">
        <x:v>314</x:v>
      </x:c>
      <x:c r="N510" s="35">
        <x:v>61491751361</x:v>
      </x:c>
      <x:c r="O510" s="33" t="s">
        <x:v>103</x:v>
      </x:c>
      <x:c r="P510" s="33" t="s">
        <x:v>98</x:v>
      </x:c>
      <x:c r="Q510" s="33" t="s">
        <x:v>120</x:v>
      </x:c>
      <x:c r="R510" s="33" t="s">
        <x:v>98</x:v>
      </x:c>
      <x:c r="S510" s="31" t="s">
        <x:v>883</x:v>
      </x:c>
      <x:c r="T510" s="31" t="s">
        <x:v>2349</x:v>
      </x:c>
      <x:c r="U510" s="31" t="s">
        <x:v>276</x:v>
      </x:c>
      <x:c r="V510" s="33" t="s">
        <x:v>303</x:v>
      </x:c>
      <x:c r="W510" s="33" t="s">
        <x:v>2343</x:v>
      </x:c>
      <x:c r="X510" s="33" t="s">
        <x:v>240</x:v>
      </x:c>
      <x:c r="Y510" s="36">
        <x:v>46574</x:v>
      </x:c>
      <x:c r="Z510" s="36"/>
      <x:c r="AA510" s="33" t="s">
        <x:v>120</x:v>
      </x:c>
      <x:c r="AB510" s="37" t="n">
        <x:f>IFERROR(INDEX(Effort_Model!$J$6:$J$33,MATCH(K510&amp;"|"&amp;L510,Effort_Model!$B$6:$B$33,0)),"")</x:f>
        <x:v>18.4</x:v>
      </x:c>
      <x:c r="AC510" s="38">
        <x:v>1259.0999999999999</x:v>
      </x:c>
      <x:c r="AD510" s="37">
        <x:f t="shared" si="7"/>
        <x:v>1429.5</x:v>
      </x:c>
      <x:c r="AE510" s="37" t="n">
        <x:f>IFERROR(ROUND(IFERROR(INDEX(Scoring_Rules!$C$43:$C$44,MATCH(Q510,Scoring_Rules!$B$43:$B$44,0)),0)*Scoring_Rules!$C$6+IFERROR(INDEX(Scoring_Rules!$C$34:$C$40,MATCH(K510,Scoring_Rules!$B$34:$B$40,0)),0)*Scoring_Rules!$C$7+IFERROR(INDEX(Scoring_Rules!$C$16:$C$19,MATCH(P510,Scoring_Rules!$B$16:$B$19,0)),0)*Scoring_Rules!$C$8+IFERROR(INDEX(Scoring_Rules!$C$22:$C$25,MATCH(O510,Scoring_Rules!$B$22:$B$25,0)),0)*Scoring_Rules!$C$9+IFERROR(INDEX(Scoring_Rules!$C$47:$C$50,MATCH(X510,Scoring_Rules!$B$47:$B$50,0)),0)*Scoring_Rules!$C$10+IFERROR(INDEX(Scoring_Rules!$C$28:$C$31,MATCH(R510,Scoring_Rules!$B$28:$B$31,0)),0)*Scoring_Rules!$C$11,1),"")</x:f>
        <x:v>29.5</x:v>
      </x:c>
      <x:c r="AF510" s="35">
        <x:v>4</x:v>
      </x:c>
      <x:c r="AG510" s="33" t="s">
        <x:v>2293</x:v>
      </x:c>
      <x:c r="AH510" s="36">
        <x:v>46409</x:v>
      </x:c>
      <x:c r="AI510" s="33" t="s">
        <x:v>127</x:v>
      </x:c>
      <x:c r="AJ510" s="34"/>
    </x:row>
    <x:row r="511" ht="15" customHeight="1">
      <x:c r="A511" s="31" t="s">
        <x:v>2350</x:v>
      </x:c>
      <x:c r="B511" s="31" t="s">
        <x:v>2351</x:v>
      </x:c>
      <x:c r="C511" s="31" t="s">
        <x:v>2290</x:v>
      </x:c>
      <x:c r="D511" s="32" t="s">
        <x:v>760</x:v>
      </x:c>
      <x:c r="E511" s="32" t="str">
        <x:v>Functional Migration Only</x:v>
      </x:c>
      <x:c r="F511" s="33" t="s">
        <x:v>118</x:v>
      </x:c>
      <x:c r="G511" s="34" t="s">
        <x:v>2315</x:v>
      </x:c>
      <x:c r="H511" s="33" t="s">
        <x:v>87</x:v>
      </x:c>
      <x:c r="I511" s="33" t="s">
        <x:v>2292</x:v>
      </x:c>
      <x:c r="J511" s="33" t="s">
        <x:v>82</x:v>
      </x:c>
      <x:c r="K511" s="33" t="s">
        <x:v>64</x:v>
      </x:c>
      <x:c r="L511" s="33" t="s">
        <x:v>75</x:v>
      </x:c>
      <x:c r="M511" s="35">
        <x:v>112</x:v>
      </x:c>
      <x:c r="N511" s="35">
        <x:v>1368970942</x:v>
      </x:c>
      <x:c r="O511" s="33" t="s">
        <x:v>73</x:v>
      </x:c>
      <x:c r="P511" s="33" t="s">
        <x:v>101</x:v>
      </x:c>
      <x:c r="Q511" s="33" t="s">
        <x:v>120</x:v>
      </x:c>
      <x:c r="R511" s="33" t="s">
        <x:v>73</x:v>
      </x:c>
      <x:c r="S511" s="31" t="s">
        <x:v>883</x:v>
      </x:c>
      <x:c r="T511" s="31" t="s">
        <x:v>2352</x:v>
      </x:c>
      <x:c r="U511" s="31" t="s">
        <x:v>522</x:v>
      </x:c>
      <x:c r="V511" s="33" t="s">
        <x:v>444</x:v>
      </x:c>
      <x:c r="W511" s="33"/>
      <x:c r="X511" s="33" t="s">
        <x:v>238</x:v>
      </x:c>
      <x:c r="Y511" s="36"/>
      <x:c r="Z511" s="36">
        <x:v>46708</x:v>
      </x:c>
      <x:c r="AA511" s="33" t="s">
        <x:v>120</x:v>
      </x:c>
      <x:c r="AB511" s="37" t="n">
        <x:f>IFERROR(INDEX(Effort_Model!$J$6:$J$33,MATCH(K511&amp;"|"&amp;L511,Effort_Model!$B$6:$B$33,0)),"")</x:f>
        <x:v>106.4</x:v>
      </x:c>
      <x:c r="AC511" s="38">
        <x:v>1745</x:v>
      </x:c>
      <x:c r="AD511" s="37">
        <x:f t="shared" si="7"/>
        <x:v>2050.3333000000002</x:v>
      </x:c>
      <x:c r="AE511" s="37" t="n">
        <x:f>IFERROR(ROUND(IFERROR(INDEX(Scoring_Rules!$C$43:$C$44,MATCH(Q511,Scoring_Rules!$B$43:$B$44,0)),0)*Scoring_Rules!$C$6+IFERROR(INDEX(Scoring_Rules!$C$34:$C$40,MATCH(K511,Scoring_Rules!$B$34:$B$40,0)),0)*Scoring_Rules!$C$7+IFERROR(INDEX(Scoring_Rules!$C$16:$C$19,MATCH(P511,Scoring_Rules!$B$16:$B$19,0)),0)*Scoring_Rules!$C$8+IFERROR(INDEX(Scoring_Rules!$C$22:$C$25,MATCH(O511,Scoring_Rules!$B$22:$B$25,0)),0)*Scoring_Rules!$C$9+IFERROR(INDEX(Scoring_Rules!$C$47:$C$50,MATCH(X511,Scoring_Rules!$B$47:$B$50,0)),0)*Scoring_Rules!$C$10+IFERROR(INDEX(Scoring_Rules!$C$28:$C$31,MATCH(R511,Scoring_Rules!$B$28:$B$31,0)),0)*Scoring_Rules!$C$11,1),"")</x:f>
        <x:v>43</x:v>
      </x:c>
      <x:c r="AF511" s="35">
        <x:v>7</x:v>
      </x:c>
      <x:c r="AG511" s="33" t="s">
        <x:v>2298</x:v>
      </x:c>
      <x:c r="AH511" s="36">
        <x:v>46339</x:v>
      </x:c>
      <x:c r="AI511" s="33" t="s">
        <x:v>125</x:v>
      </x:c>
      <x:c r="AJ511" s="34"/>
    </x:row>
    <x:row r="512" ht="15" customHeight="1">
      <x:c r="A512" s="31" t="s">
        <x:v>2353</x:v>
      </x:c>
      <x:c r="B512" s="31" t="s">
        <x:v>2354</x:v>
      </x:c>
      <x:c r="C512" s="31" t="s">
        <x:v>2290</x:v>
      </x:c>
      <x:c r="D512" s="32" t="s">
        <x:v>824</x:v>
      </x:c>
      <x:c r="E512" s="32" t="str">
        <x:v>Functional Migration Only</x:v>
      </x:c>
      <x:c r="F512" s="33" t="s">
        <x:v>120</x:v>
      </x:c>
      <x:c r="G512" s="34" t="s">
        <x:v>2315</x:v>
      </x:c>
      <x:c r="H512" s="33" t="s">
        <x:v>87</x:v>
      </x:c>
      <x:c r="I512" s="33" t="s">
        <x:v>2292</x:v>
      </x:c>
      <x:c r="J512" s="33" t="s">
        <x:v>82</x:v>
      </x:c>
      <x:c r="K512" s="33" t="s">
        <x:v>58</x:v>
      </x:c>
      <x:c r="L512" s="33" t="s">
        <x:v>75</x:v>
      </x:c>
      <x:c r="M512" s="35">
        <x:v>14</x:v>
      </x:c>
      <x:c r="N512" s="35">
        <x:v>535867</x:v>
      </x:c>
      <x:c r="O512" s="33" t="s">
        <x:v>98</x:v>
      </x:c>
      <x:c r="P512" s="33" t="s">
        <x:v>109</x:v>
      </x:c>
      <x:c r="Q512" s="33" t="s">
        <x:v>120</x:v>
      </x:c>
      <x:c r="R512" s="33" t="s">
        <x:v>101</x:v>
      </x:c>
      <x:c r="S512" s="31" t="s">
        <x:v>883</x:v>
      </x:c>
      <x:c r="T512" s="31" t="s">
        <x:v>2355</x:v>
      </x:c>
      <x:c r="U512" s="31" t="s">
        <x:v>276</x:v>
      </x:c>
      <x:c r="V512" s="33" t="s">
        <x:v>451</x:v>
      </x:c>
      <x:c r="W512" s="33" t="s">
        <x:v>2324</x:v>
      </x:c>
      <x:c r="X512" s="33" t="s">
        <x:v>239</x:v>
      </x:c>
      <x:c r="Y512" s="36"/>
      <x:c r="Z512" s="36"/>
      <x:c r="AA512" s="33" t="s">
        <x:v>120</x:v>
      </x:c>
      <x:c r="AB512" s="37" t="n">
        <x:f>IFERROR(INDEX(Effort_Model!$J$6:$J$33,MATCH(K512&amp;"|"&amp;L512,Effort_Model!$B$6:$B$33,0)),"")</x:f>
        <x:v>26.4</x:v>
      </x:c>
      <x:c r="AC512" s="38">
        <x:v>316.39999999999998</x:v>
      </x:c>
      <x:c r="AD512" s="37">
        <x:f t="shared" si="7"/>
        <x:v>381.73329999999999</x:v>
      </x:c>
      <x:c r="AE512" s="37" t="n">
        <x:f>IFERROR(ROUND(IFERROR(INDEX(Scoring_Rules!$C$43:$C$44,MATCH(Q512,Scoring_Rules!$B$43:$B$44,0)),0)*Scoring_Rules!$C$6+IFERROR(INDEX(Scoring_Rules!$C$34:$C$40,MATCH(K512,Scoring_Rules!$B$34:$B$40,0)),0)*Scoring_Rules!$C$7+IFERROR(INDEX(Scoring_Rules!$C$16:$C$19,MATCH(P512,Scoring_Rules!$B$16:$B$19,0)),0)*Scoring_Rules!$C$8+IFERROR(INDEX(Scoring_Rules!$C$22:$C$25,MATCH(O512,Scoring_Rules!$B$22:$B$25,0)),0)*Scoring_Rules!$C$9+IFERROR(INDEX(Scoring_Rules!$C$47:$C$50,MATCH(X512,Scoring_Rules!$B$47:$B$50,0)),0)*Scoring_Rules!$C$10+IFERROR(INDEX(Scoring_Rules!$C$28:$C$31,MATCH(R512,Scoring_Rules!$B$28:$B$31,0)),0)*Scoring_Rules!$C$11,1),"")</x:f>
        <x:v>45.3</x:v>
      </x:c>
      <x:c r="AF512" s="35">
        <x:v>6</x:v>
      </x:c>
      <x:c r="AG512" s="33" t="s">
        <x:v>2302</x:v>
      </x:c>
      <x:c r="AH512" s="36">
        <x:v>46349</x:v>
      </x:c>
      <x:c r="AI512" s="33" t="s">
        <x:v>127</x:v>
      </x:c>
      <x:c r="AJ512" s="34"/>
    </x:row>
    <x:row r="513" ht="15" customHeight="1">
      <x:c r="A513" s="31" t="s">
        <x:v>2356</x:v>
      </x:c>
      <x:c r="B513" s="31" t="s">
        <x:v>2357</x:v>
      </x:c>
      <x:c r="C513" s="31" t="s">
        <x:v>2290</x:v>
      </x:c>
      <x:c r="D513" s="32" t="s">
        <x:v>760</x:v>
      </x:c>
      <x:c r="E513" s="32" t="str">
        <x:v>Data Migration Only</x:v>
      </x:c>
      <x:c r="F513" s="33" t="s">
        <x:v>118</x:v>
      </x:c>
      <x:c r="G513" s="34" t="s">
        <x:v>2301</x:v>
      </x:c>
      <x:c r="H513" s="33" t="s">
        <x:v>87</x:v>
      </x:c>
      <x:c r="I513" s="33" t="s">
        <x:v>2292</x:v>
      </x:c>
      <x:c r="J513" s="33" t="s">
        <x:v>80</x:v>
      </x:c>
      <x:c r="K513" s="33" t="s">
        <x:v>58</x:v>
      </x:c>
      <x:c r="L513" s="33" t="s">
        <x:v>71</x:v>
      </x:c>
      <x:c r="M513" s="35">
        <x:v>23</x:v>
      </x:c>
      <x:c r="N513" s="35">
        <x:v>1032491</x:v>
      </x:c>
      <x:c r="O513" s="33" t="s">
        <x:v>103</x:v>
      </x:c>
      <x:c r="P513" s="33" t="s">
        <x:v>101</x:v>
      </x:c>
      <x:c r="Q513" s="33" t="s">
        <x:v>120</x:v>
      </x:c>
      <x:c r="R513" s="33" t="s">
        <x:v>101</x:v>
      </x:c>
      <x:c r="S513" s="31" t="s">
        <x:v>495</x:v>
      </x:c>
      <x:c r="T513" s="31" t="s">
        <x:v>2358</x:v>
      </x:c>
      <x:c r="U513" s="31" t="s">
        <x:v>522</x:v>
      </x:c>
      <x:c r="V513" s="33" t="s">
        <x:v>347</x:v>
      </x:c>
      <x:c r="W513" s="33" t="s">
        <x:v>2359</x:v>
      </x:c>
      <x:c r="X513" s="33" t="s">
        <x:v>240</x:v>
      </x:c>
      <x:c r="Y513" s="36"/>
      <x:c r="Z513" s="36"/>
      <x:c r="AA513" s="33" t="s">
        <x:v>120</x:v>
      </x:c>
      <x:c r="AB513" s="37" t="n">
        <x:f>IFERROR(INDEX(Effort_Model!$J$6:$J$33,MATCH(K513&amp;"|"&amp;L513,Effort_Model!$B$6:$B$33,0)),"")</x:f>
        <x:v>18.4</x:v>
      </x:c>
      <x:c r="AC513" s="38">
        <x:v>108.1</x:v>
      </x:c>
      <x:c r="AD513" s="37">
        <x:f t="shared" si="7"/>
        <x:v>134.5</x:v>
      </x:c>
      <x:c r="AE513" s="37" t="n">
        <x:f>IFERROR(ROUND(IFERROR(INDEX(Scoring_Rules!$C$43:$C$44,MATCH(Q513,Scoring_Rules!$B$43:$B$44,0)),0)*Scoring_Rules!$C$6+IFERROR(INDEX(Scoring_Rules!$C$34:$C$40,MATCH(K513,Scoring_Rules!$B$34:$B$40,0)),0)*Scoring_Rules!$C$7+IFERROR(INDEX(Scoring_Rules!$C$16:$C$19,MATCH(P513,Scoring_Rules!$B$16:$B$19,0)),0)*Scoring_Rules!$C$8+IFERROR(INDEX(Scoring_Rules!$C$22:$C$25,MATCH(O513,Scoring_Rules!$B$22:$B$25,0)),0)*Scoring_Rules!$C$9+IFERROR(INDEX(Scoring_Rules!$C$47:$C$50,MATCH(X513,Scoring_Rules!$B$47:$B$50,0)),0)*Scoring_Rules!$C$10+IFERROR(INDEX(Scoring_Rules!$C$28:$C$31,MATCH(R513,Scoring_Rules!$B$28:$B$31,0)),0)*Scoring_Rules!$C$11,1),"")</x:f>
        <x:v>31.3</x:v>
      </x:c>
      <x:c r="AF513" s="35">
        <x:v>5</x:v>
      </x:c>
      <x:c r="AG513" s="33" t="s">
        <x:v>2305</x:v>
      </x:c>
      <x:c r="AH513" s="36">
        <x:v>46394</x:v>
      </x:c>
      <x:c r="AI513" s="33" t="s">
        <x:v>125</x:v>
      </x:c>
      <x:c r="AJ513" s="34" t="s">
        <x:v>336</x:v>
      </x:c>
    </x:row>
    <x:row r="514" ht="15" customHeight="1">
      <x:c r="A514" s="31" t="s">
        <x:v>2360</x:v>
      </x:c>
      <x:c r="B514" s="31" t="s">
        <x:v>2361</x:v>
      </x:c>
      <x:c r="C514" s="31" t="s">
        <x:v>2290</x:v>
      </x:c>
      <x:c r="D514" s="32" t="s">
        <x:v>1113</x:v>
      </x:c>
      <x:c r="E514" s="32" t="str">
        <x:v>Data Migration Only</x:v>
      </x:c>
      <x:c r="F514" s="33" t="s">
        <x:v>118</x:v>
      </x:c>
      <x:c r="G514" s="34" t="s">
        <x:v>561</x:v>
      </x:c>
      <x:c r="H514" s="33" t="s">
        <x:v>89</x:v>
      </x:c>
      <x:c r="I514" s="33" t="s">
        <x:v>2292</x:v>
      </x:c>
      <x:c r="J514" s="33" t="s">
        <x:v>80</x:v>
      </x:c>
      <x:c r="K514" s="33" t="s">
        <x:v>60</x:v>
      </x:c>
      <x:c r="L514" s="33" t="s">
        <x:v>77</x:v>
      </x:c>
      <x:c r="M514" s="35">
        <x:v>39</x:v>
      </x:c>
      <x:c r="N514" s="35">
        <x:v>6434056</x:v>
      </x:c>
      <x:c r="O514" s="33" t="s">
        <x:v>73</x:v>
      </x:c>
      <x:c r="P514" s="33" t="s">
        <x:v>101</x:v>
      </x:c>
      <x:c r="Q514" s="33" t="s">
        <x:v>120</x:v>
      </x:c>
      <x:c r="R514" s="33" t="s">
        <x:v>73</x:v>
      </x:c>
      <x:c r="S514" s="31" t="s">
        <x:v>968</x:v>
      </x:c>
      <x:c r="T514" s="31" t="s">
        <x:v>1776</x:v>
      </x:c>
      <x:c r="U514" s="31" t="s">
        <x:v>276</x:v>
      </x:c>
      <x:c r="V514" s="33" t="s">
        <x:v>379</x:v>
      </x:c>
      <x:c r="W514" s="33" t="s">
        <x:v>2318</x:v>
      </x:c>
      <x:c r="X514" s="33" t="s">
        <x:v>239</x:v>
      </x:c>
      <x:c r="Y514" s="36"/>
      <x:c r="Z514" s="36"/>
      <x:c r="AA514" s="33" t="s">
        <x:v>118</x:v>
      </x:c>
      <x:c r="AB514" s="37" t="n">
        <x:f>IFERROR(INDEX(Effort_Model!$J$6:$J$33,MATCH(K514&amp;"|"&amp;L514,Effort_Model!$B$6:$B$33,0)),"")</x:f>
        <x:v>42.4</x:v>
      </x:c>
      <x:c r="AC514" s="38">
        <x:v>393.5</x:v>
      </x:c>
      <x:c r="AD514" s="37" t="n">
        <x:f t="shared" ref="AD514:AD574" si="8">IFERROR(AB514+N(AC514),"")</x:f>
        <x:v>435.9</x:v>
      </x:c>
      <x:c r="AE514" s="37" t="n">
        <x:f>IFERROR(ROUND(IFERROR(INDEX(Scoring_Rules!$C$43:$C$44,MATCH(Q514,Scoring_Rules!$B$43:$B$44,0)),0)*Scoring_Rules!$C$6+IFERROR(INDEX(Scoring_Rules!$C$34:$C$40,MATCH(K514,Scoring_Rules!$B$34:$B$40,0)),0)*Scoring_Rules!$C$7+IFERROR(INDEX(Scoring_Rules!$C$16:$C$19,MATCH(P514,Scoring_Rules!$B$16:$B$19,0)),0)*Scoring_Rules!$C$8+IFERROR(INDEX(Scoring_Rules!$C$22:$C$25,MATCH(O514,Scoring_Rules!$B$22:$B$25,0)),0)*Scoring_Rules!$C$9+IFERROR(INDEX(Scoring_Rules!$C$47:$C$50,MATCH(X514,Scoring_Rules!$B$47:$B$50,0)),0)*Scoring_Rules!$C$10+IFERROR(INDEX(Scoring_Rules!$C$28:$C$31,MATCH(R514,Scoring_Rules!$B$28:$B$31,0)),0)*Scoring_Rules!$C$11,1),"")</x:f>
        <x:v>46.5</x:v>
      </x:c>
      <x:c r="AF514" s="35"/>
      <x:c r="AG514" s="33" t="s">
        <x:v>2293</x:v>
      </x:c>
      <x:c r="AH514" s="36">
        <x:v>46369</x:v>
      </x:c>
      <x:c r="AI514" s="33" t="s">
        <x:v>127</x:v>
      </x:c>
      <x:c r="AJ514" s="34"/>
    </x:row>
    <x:row r="515" ht="15" customHeight="1">
      <x:c r="A515" s="31" t="s">
        <x:v>2362</x:v>
      </x:c>
      <x:c r="B515" s="31" t="s">
        <x:v>2363</x:v>
      </x:c>
      <x:c r="C515" s="31" t="s">
        <x:v>2290</x:v>
      </x:c>
      <x:c r="D515" s="32" t="s">
        <x:v>760</x:v>
      </x:c>
      <x:c r="E515" s="32" t="str">
        <x:v>Functional Migration Only</x:v>
      </x:c>
      <x:c r="F515" s="33" t="s">
        <x:v>118</x:v>
      </x:c>
      <x:c r="G515" s="34" t="s">
        <x:v>2308</x:v>
      </x:c>
      <x:c r="H515" s="33" t="s">
        <x:v>87</x:v>
      </x:c>
      <x:c r="I515" s="33" t="s">
        <x:v>2292</x:v>
      </x:c>
      <x:c r="J515" s="33" t="s">
        <x:v>82</x:v>
      </x:c>
      <x:c r="K515" s="33" t="s">
        <x:v>56</x:v>
      </x:c>
      <x:c r="L515" s="33" t="s">
        <x:v>73</x:v>
      </x:c>
      <x:c r="M515" s="35">
        <x:v>7</x:v>
      </x:c>
      <x:c r="N515" s="35">
        <x:v>115922</x:v>
      </x:c>
      <x:c r="O515" s="33" t="s">
        <x:v>73</x:v>
      </x:c>
      <x:c r="P515" s="33" t="s">
        <x:v>98</x:v>
      </x:c>
      <x:c r="Q515" s="33" t="s">
        <x:v>118</x:v>
      </x:c>
      <x:c r="R515" s="33" t="s">
        <x:v>101</x:v>
      </x:c>
      <x:c r="S515" s="31" t="s">
        <x:v>2364</x:v>
      </x:c>
      <x:c r="T515" s="31" t="s">
        <x:v>2365</x:v>
      </x:c>
      <x:c r="U515" s="31" t="s">
        <x:v>477</x:v>
      </x:c>
      <x:c r="V515" s="33" t="s">
        <x:v>303</x:v>
      </x:c>
      <x:c r="W515" s="33" t="s">
        <x:v>2339</x:v>
      </x:c>
      <x:c r="X515" s="33" t="s">
        <x:v>240</x:v>
      </x:c>
      <x:c r="Y515" s="36"/>
      <x:c r="Z515" s="36"/>
      <x:c r="AA515" s="33" t="s">
        <x:v>120</x:v>
      </x:c>
      <x:c r="AB515" s="37" t="n">
        <x:f>IFERROR(INDEX(Effort_Model!$J$6:$J$33,MATCH(K515&amp;"|"&amp;L515,Effort_Model!$B$6:$B$33,0)),"")</x:f>
        <x:v>18.4</x:v>
      </x:c>
      <x:c r="AC515" s="38">
        <x:v>131.4</x:v>
      </x:c>
      <x:c r="AD515" s="37">
        <x:f t="shared" si="8"/>
        <x:v>160.4</x:v>
      </x:c>
      <x:c r="AE515" s="37" t="n">
        <x:f>IFERROR(ROUND(IFERROR(INDEX(Scoring_Rules!$C$43:$C$44,MATCH(Q515,Scoring_Rules!$B$43:$B$44,0)),0)*Scoring_Rules!$C$6+IFERROR(INDEX(Scoring_Rules!$C$34:$C$40,MATCH(K515,Scoring_Rules!$B$34:$B$40,0)),0)*Scoring_Rules!$C$7+IFERROR(INDEX(Scoring_Rules!$C$16:$C$19,MATCH(P515,Scoring_Rules!$B$16:$B$19,0)),0)*Scoring_Rules!$C$8+IFERROR(INDEX(Scoring_Rules!$C$22:$C$25,MATCH(O515,Scoring_Rules!$B$22:$B$25,0)),0)*Scoring_Rules!$C$9+IFERROR(INDEX(Scoring_Rules!$C$47:$C$50,MATCH(X515,Scoring_Rules!$B$47:$B$50,0)),0)*Scoring_Rules!$C$10+IFERROR(INDEX(Scoring_Rules!$C$28:$C$31,MATCH(R515,Scoring_Rules!$B$28:$B$31,0)),0)*Scoring_Rules!$C$11,1),"")</x:f>
        <x:v>81.8</x:v>
      </x:c>
      <x:c r="AF515" s="35">
        <x:v>1</x:v>
      </x:c>
      <x:c r="AG515" s="33" t="s">
        <x:v>2298</x:v>
      </x:c>
      <x:c r="AH515" s="36">
        <x:v>46374</x:v>
      </x:c>
      <x:c r="AI515" s="33" t="s">
        <x:v>124</x:v>
      </x:c>
      <x:c r="AJ515" s="34"/>
    </x:row>
    <x:row r="516" ht="15" customHeight="1">
      <x:c r="A516" s="31" t="s">
        <x:v>2366</x:v>
      </x:c>
      <x:c r="B516" s="31" t="s">
        <x:v>2367</x:v>
      </x:c>
      <x:c r="C516" s="31" t="s">
        <x:v>2290</x:v>
      </x:c>
      <x:c r="D516" s="32" t="s">
        <x:v>760</x:v>
      </x:c>
      <x:c r="E516" s="32" t="str">
        <x:v>Functional Migration Only</x:v>
      </x:c>
      <x:c r="F516" s="33" t="s">
        <x:v>118</x:v>
      </x:c>
      <x:c r="G516" s="34" t="s">
        <x:v>2301</x:v>
      </x:c>
      <x:c r="H516" s="33" t="s">
        <x:v>87</x:v>
      </x:c>
      <x:c r="I516" s="33" t="s">
        <x:v>2292</x:v>
      </x:c>
      <x:c r="J516" s="33" t="s">
        <x:v>82</x:v>
      </x:c>
      <x:c r="K516" s="33" t="s">
        <x:v>64</x:v>
      </x:c>
      <x:c r="L516" s="33" t="s">
        <x:v>73</x:v>
      </x:c>
      <x:c r="M516" s="35">
        <x:v>83</x:v>
      </x:c>
      <x:c r="N516" s="35">
        <x:v>940439516</x:v>
      </x:c>
      <x:c r="O516" s="33" t="s">
        <x:v>73</x:v>
      </x:c>
      <x:c r="P516" s="33" t="s">
        <x:v>73</x:v>
      </x:c>
      <x:c r="Q516" s="33" t="s">
        <x:v>120</x:v>
      </x:c>
      <x:c r="R516" s="33" t="s">
        <x:v>73</x:v>
      </x:c>
      <x:c r="S516" s="31" t="s">
        <x:v>1231</x:v>
      </x:c>
      <x:c r="T516" s="31" t="s">
        <x:v>2368</x:v>
      </x:c>
      <x:c r="U516" s="31" t="s">
        <x:v>522</x:v>
      </x:c>
      <x:c r="V516" s="33" t="s">
        <x:v>277</x:v>
      </x:c>
      <x:c r="W516" s="33"/>
      <x:c r="X516" s="33" t="s">
        <x:v>238</x:v>
      </x:c>
      <x:c r="Y516" s="36"/>
      <x:c r="Z516" s="36"/>
      <x:c r="AA516" s="33" t="s">
        <x:v>120</x:v>
      </x:c>
      <x:c r="AB516" s="37" t="n">
        <x:f>IFERROR(INDEX(Effort_Model!$J$6:$J$33,MATCH(K516&amp;"|"&amp;L516,Effort_Model!$B$6:$B$33,0)),"")</x:f>
        <x:v>106.4</x:v>
      </x:c>
      <x:c r="AC516" s="38">
        <x:v>1117.9000000000001</x:v>
      </x:c>
      <x:c r="AD516" s="37">
        <x:f t="shared" si="8"/>
        <x:v>1322.9</x:v>
      </x:c>
      <x:c r="AE516" s="37" t="n">
        <x:f>IFERROR(ROUND(IFERROR(INDEX(Scoring_Rules!$C$43:$C$44,MATCH(Q516,Scoring_Rules!$B$43:$B$44,0)),0)*Scoring_Rules!$C$6+IFERROR(INDEX(Scoring_Rules!$C$34:$C$40,MATCH(K516,Scoring_Rules!$B$34:$B$40,0)),0)*Scoring_Rules!$C$7+IFERROR(INDEX(Scoring_Rules!$C$16:$C$19,MATCH(P516,Scoring_Rules!$B$16:$B$19,0)),0)*Scoring_Rules!$C$8+IFERROR(INDEX(Scoring_Rules!$C$22:$C$25,MATCH(O516,Scoring_Rules!$B$22:$B$25,0)),0)*Scoring_Rules!$C$9+IFERROR(INDEX(Scoring_Rules!$C$47:$C$50,MATCH(X516,Scoring_Rules!$B$47:$B$50,0)),0)*Scoring_Rules!$C$10+IFERROR(INDEX(Scoring_Rules!$C$28:$C$31,MATCH(R516,Scoring_Rules!$B$28:$B$31,0)),0)*Scoring_Rules!$C$11,1),"")</x:f>
        <x:v>50</x:v>
      </x:c>
      <x:c r="AF516" s="35">
        <x:v>4</x:v>
      </x:c>
      <x:c r="AG516" s="33" t="s">
        <x:v>2302</x:v>
      </x:c>
      <x:c r="AH516" s="36">
        <x:v>46356</x:v>
      </x:c>
      <x:c r="AI516" s="33" t="s">
        <x:v>126</x:v>
      </x:c>
      <x:c r="AJ516" s="34" t="s">
        <x:v>395</x:v>
      </x:c>
    </x:row>
    <x:row r="517" ht="15" customHeight="1">
      <x:c r="A517" s="31" t="s">
        <x:v>2369</x:v>
      </x:c>
      <x:c r="B517" s="31" t="s">
        <x:v>2370</x:v>
      </x:c>
      <x:c r="C517" s="31" t="s">
        <x:v>2290</x:v>
      </x:c>
      <x:c r="D517" s="32" t="s">
        <x:v>1438</x:v>
      </x:c>
      <x:c r="E517" s="32" t="str">
        <x:v>Functional Migration Only</x:v>
      </x:c>
      <x:c r="F517" s="33" t="s">
        <x:v>118</x:v>
      </x:c>
      <x:c r="G517" s="34" t="s">
        <x:v>2291</x:v>
      </x:c>
      <x:c r="H517" s="33" t="s">
        <x:v>87</x:v>
      </x:c>
      <x:c r="I517" s="33" t="s">
        <x:v>2292</x:v>
      </x:c>
      <x:c r="J517" s="33" t="s">
        <x:v>82</x:v>
      </x:c>
      <x:c r="K517" s="33" t="s">
        <x:v>60</x:v>
      </x:c>
      <x:c r="L517" s="33" t="s">
        <x:v>73</x:v>
      </x:c>
      <x:c r="M517" s="35">
        <x:v>38</x:v>
      </x:c>
      <x:c r="N517" s="35">
        <x:v>6901129</x:v>
      </x:c>
      <x:c r="O517" s="33" t="s">
        <x:v>98</x:v>
      </x:c>
      <x:c r="P517" s="33" t="s">
        <x:v>73</x:v>
      </x:c>
      <x:c r="Q517" s="33" t="s">
        <x:v>118</x:v>
      </x:c>
      <x:c r="R517" s="33" t="s">
        <x:v>101</x:v>
      </x:c>
      <x:c r="S517" s="31" t="s">
        <x:v>2371</x:v>
      </x:c>
      <x:c r="T517" s="31" t="s">
        <x:v>2372</x:v>
      </x:c>
      <x:c r="U517" s="31" t="s">
        <x:v>276</x:v>
      </x:c>
      <x:c r="V517" s="33" t="s">
        <x:v>277</x:v>
      </x:c>
      <x:c r="W517" s="33"/>
      <x:c r="X517" s="33" t="s">
        <x:v>238</x:v>
      </x:c>
      <x:c r="Y517" s="36">
        <x:v>46400</x:v>
      </x:c>
      <x:c r="Z517" s="36"/>
      <x:c r="AA517" s="33" t="s">
        <x:v>120</x:v>
      </x:c>
      <x:c r="AB517" s="37" t="n">
        <x:f>IFERROR(INDEX(Effort_Model!$J$6:$J$33,MATCH(K517&amp;"|"&amp;L517,Effort_Model!$B$6:$B$33,0)),"")</x:f>
        <x:v>42.4</x:v>
      </x:c>
      <x:c r="AC517" s="38">
        <x:v>397.7</x:v>
      </x:c>
      <x:c r="AD517" s="37">
        <x:f t="shared" si="8"/>
        <x:v>474.7</x:v>
      </x:c>
      <x:c r="AE517" s="37" t="n">
        <x:f>IFERROR(ROUND(IFERROR(INDEX(Scoring_Rules!$C$43:$C$44,MATCH(Q517,Scoring_Rules!$B$43:$B$44,0)),0)*Scoring_Rules!$C$6+IFERROR(INDEX(Scoring_Rules!$C$34:$C$40,MATCH(K517,Scoring_Rules!$B$34:$B$40,0)),0)*Scoring_Rules!$C$7+IFERROR(INDEX(Scoring_Rules!$C$16:$C$19,MATCH(P517,Scoring_Rules!$B$16:$B$19,0)),0)*Scoring_Rules!$C$8+IFERROR(INDEX(Scoring_Rules!$C$22:$C$25,MATCH(O517,Scoring_Rules!$B$22:$B$25,0)),0)*Scoring_Rules!$C$9+IFERROR(INDEX(Scoring_Rules!$C$47:$C$50,MATCH(X517,Scoring_Rules!$B$47:$B$50,0)),0)*Scoring_Rules!$C$10+IFERROR(INDEX(Scoring_Rules!$C$28:$C$31,MATCH(R517,Scoring_Rules!$B$28:$B$31,0)),0)*Scoring_Rules!$C$11,1),"")</x:f>
        <x:v>85.8</x:v>
      </x:c>
      <x:c r="AF517" s="35">
        <x:v>1</x:v>
      </x:c>
      <x:c r="AG517" s="33" t="s">
        <x:v>2305</x:v>
      </x:c>
      <x:c r="AH517" s="36">
        <x:v>46353</x:v>
      </x:c>
      <x:c r="AI517" s="33" t="s">
        <x:v>127</x:v>
      </x:c>
      <x:c r="AJ517" s="34"/>
    </x:row>
    <x:row r="518" ht="23.25" customHeight="1">
      <x:c r="A518" s="31" t="s">
        <x:v>2373</x:v>
      </x:c>
      <x:c r="B518" s="31" t="s">
        <x:v>2374</x:v>
      </x:c>
      <x:c r="C518" s="31" t="s">
        <x:v>2290</x:v>
      </x:c>
      <x:c r="D518" s="32" t="s">
        <x:v>1525</x:v>
      </x:c>
      <x:c r="E518" s="32" t="str">
        <x:v>Functional Migration Only</x:v>
      </x:c>
      <x:c r="F518" s="33" t="s">
        <x:v>118</x:v>
      </x:c>
      <x:c r="G518" s="34" t="s">
        <x:v>2291</x:v>
      </x:c>
      <x:c r="H518" s="33" t="s">
        <x:v>87</x:v>
      </x:c>
      <x:c r="I518" s="33" t="s">
        <x:v>2292</x:v>
      </x:c>
      <x:c r="J518" s="33" t="s">
        <x:v>82</x:v>
      </x:c>
      <x:c r="K518" s="33" t="s">
        <x:v>64</x:v>
      </x:c>
      <x:c r="L518" s="33" t="s">
        <x:v>71</x:v>
      </x:c>
      <x:c r="M518" s="35">
        <x:v>121</x:v>
      </x:c>
      <x:c r="N518" s="35">
        <x:v>834985785</x:v>
      </x:c>
      <x:c r="O518" s="33" t="s">
        <x:v>101</x:v>
      </x:c>
      <x:c r="P518" s="33" t="s">
        <x:v>101</x:v>
      </x:c>
      <x:c r="Q518" s="33" t="s">
        <x:v>120</x:v>
      </x:c>
      <x:c r="R518" s="33" t="s">
        <x:v>73</x:v>
      </x:c>
      <x:c r="S518" s="31" t="s">
        <x:v>1875</x:v>
      </x:c>
      <x:c r="T518" s="31" t="s">
        <x:v>2375</x:v>
      </x:c>
      <x:c r="U518" s="31" t="s">
        <x:v>276</x:v>
      </x:c>
      <x:c r="V518" s="33" t="s">
        <x:v>277</x:v>
      </x:c>
      <x:c r="W518" s="33" t="s">
        <x:v>2376</x:v>
      </x:c>
      <x:c r="X518" s="33" t="s">
        <x:v>240</x:v>
      </x:c>
      <x:c r="Y518" s="36"/>
      <x:c r="Z518" s="36"/>
      <x:c r="AA518" s="33" t="s">
        <x:v>120</x:v>
      </x:c>
      <x:c r="AB518" s="37" t="n">
        <x:f>IFERROR(INDEX(Effort_Model!$J$6:$J$33,MATCH(K518&amp;"|"&amp;L518,Effort_Model!$B$6:$B$33,0)),"")</x:f>
        <x:v>18.4</x:v>
      </x:c>
      <x:c r="AC518" s="38">
        <x:v>897.8</x:v>
      </x:c>
      <x:c r="AD518" s="37">
        <x:f t="shared" si="8"/>
        <x:v>1004.1999999999999</x:v>
      </x:c>
      <x:c r="AE518" s="37" t="n">
        <x:f>IFERROR(ROUND(IFERROR(INDEX(Scoring_Rules!$C$43:$C$44,MATCH(Q518,Scoring_Rules!$B$43:$B$44,0)),0)*Scoring_Rules!$C$6+IFERROR(INDEX(Scoring_Rules!$C$34:$C$40,MATCH(K518,Scoring_Rules!$B$34:$B$40,0)),0)*Scoring_Rules!$C$7+IFERROR(INDEX(Scoring_Rules!$C$16:$C$19,MATCH(P518,Scoring_Rules!$B$16:$B$19,0)),0)*Scoring_Rules!$C$8+IFERROR(INDEX(Scoring_Rules!$C$22:$C$25,MATCH(O518,Scoring_Rules!$B$22:$B$25,0)),0)*Scoring_Rules!$C$9+IFERROR(INDEX(Scoring_Rules!$C$47:$C$50,MATCH(X518,Scoring_Rules!$B$47:$B$50,0)),0)*Scoring_Rules!$C$10+IFERROR(INDEX(Scoring_Rules!$C$28:$C$31,MATCH(R518,Scoring_Rules!$B$28:$B$31,0)),0)*Scoring_Rules!$C$11,1),"")</x:f>
        <x:v>27.3</x:v>
      </x:c>
      <x:c r="AF518" s="35">
        <x:v>5</x:v>
      </x:c>
      <x:c r="AG518" s="33" t="s">
        <x:v>2293</x:v>
      </x:c>
      <x:c r="AH518" s="36">
        <x:v>46344</x:v>
      </x:c>
      <x:c r="AI518" s="33" t="s">
        <x:v>124</x:v>
      </x:c>
      <x:c r="AJ518" s="34" t="s">
        <x:v>445</x:v>
      </x:c>
    </x:row>
    <x:row r="519" ht="23.25" customHeight="1">
      <x:c r="A519" s="31" t="s">
        <x:v>2377</x:v>
      </x:c>
      <x:c r="B519" s="31" t="s">
        <x:v>2378</x:v>
      </x:c>
      <x:c r="C519" s="31" t="s">
        <x:v>2290</x:v>
      </x:c>
      <x:c r="D519" s="32" t="s">
        <x:v>2379</x:v>
      </x:c>
      <x:c r="E519" s="32" t="str">
        <x:v>Functional Migration Only</x:v>
      </x:c>
      <x:c r="F519" s="33" t="s">
        <x:v>120</x:v>
      </x:c>
      <x:c r="G519" s="34" t="s">
        <x:v>2291</x:v>
      </x:c>
      <x:c r="H519" s="33" t="s">
        <x:v>87</x:v>
      </x:c>
      <x:c r="I519" s="33" t="s">
        <x:v>2292</x:v>
      </x:c>
      <x:c r="J519" s="33" t="s">
        <x:v>82</x:v>
      </x:c>
      <x:c r="K519" s="33" t="s">
        <x:v>62</x:v>
      </x:c>
      <x:c r="L519" s="33" t="s">
        <x:v>71</x:v>
      </x:c>
      <x:c r="M519" s="35">
        <x:v>73</x:v>
      </x:c>
      <x:c r="N519" s="35">
        <x:v>65007468</x:v>
      </x:c>
      <x:c r="O519" s="33" t="s">
        <x:v>103</x:v>
      </x:c>
      <x:c r="P519" s="33" t="s">
        <x:v>109</x:v>
      </x:c>
      <x:c r="Q519" s="33" t="s">
        <x:v>120</x:v>
      </x:c>
      <x:c r="R519" s="33" t="s">
        <x:v>115</x:v>
      </x:c>
      <x:c r="S519" s="31" t="s">
        <x:v>1682</x:v>
      </x:c>
      <x:c r="T519" s="31" t="s">
        <x:v>2380</x:v>
      </x:c>
      <x:c r="U519" s="31" t="s">
        <x:v>522</x:v>
      </x:c>
      <x:c r="V519" s="33" t="s">
        <x:v>289</x:v>
      </x:c>
      <x:c r="W519" s="33"/>
      <x:c r="X519" s="33" t="s">
        <x:v>238</x:v>
      </x:c>
      <x:c r="Y519" s="36"/>
      <x:c r="Z519" s="36"/>
      <x:c r="AA519" s="33" t="s">
        <x:v>120</x:v>
      </x:c>
      <x:c r="AB519" s="37" t="n">
        <x:f>IFERROR(INDEX(Effort_Model!$J$6:$J$33,MATCH(K519&amp;"|"&amp;L519,Effort_Model!$B$6:$B$33,0)),"")</x:f>
        <x:v>18.4</x:v>
      </x:c>
      <x:c r="AC519" s="38">
        <x:v>494.5</x:v>
      </x:c>
      <x:c r="AD519" s="37">
        <x:f t="shared" si="8"/>
        <x:v>568.9</x:v>
      </x:c>
      <x:c r="AE519" s="37" t="n">
        <x:f>IFERROR(ROUND(IFERROR(INDEX(Scoring_Rules!$C$43:$C$44,MATCH(Q519,Scoring_Rules!$B$43:$B$44,0)),0)*Scoring_Rules!$C$6+IFERROR(INDEX(Scoring_Rules!$C$34:$C$40,MATCH(K519,Scoring_Rules!$B$34:$B$40,0)),0)*Scoring_Rules!$C$7+IFERROR(INDEX(Scoring_Rules!$C$16:$C$19,MATCH(P519,Scoring_Rules!$B$16:$B$19,0)),0)*Scoring_Rules!$C$8+IFERROR(INDEX(Scoring_Rules!$C$22:$C$25,MATCH(O519,Scoring_Rules!$B$22:$B$25,0)),0)*Scoring_Rules!$C$9+IFERROR(INDEX(Scoring_Rules!$C$47:$C$50,MATCH(X519,Scoring_Rules!$B$47:$B$50,0)),0)*Scoring_Rules!$C$10+IFERROR(INDEX(Scoring_Rules!$C$28:$C$31,MATCH(R519,Scoring_Rules!$B$28:$B$31,0)),0)*Scoring_Rules!$C$11,1),"")</x:f>
        <x:v>26</x:v>
      </x:c>
      <x:c r="AF519" s="35">
        <x:v>6</x:v>
      </x:c>
      <x:c r="AG519" s="33" t="s">
        <x:v>2298</x:v>
      </x:c>
      <x:c r="AH519" s="36">
        <x:v>46402</x:v>
      </x:c>
      <x:c r="AI519" s="33" t="s">
        <x:v>127</x:v>
      </x:c>
      <x:c r="AJ519" s="34"/>
    </x:row>
    <x:row r="520" ht="15" customHeight="1">
      <x:c r="A520" s="31" t="s">
        <x:v>2381</x:v>
      </x:c>
      <x:c r="B520" s="31" t="s">
        <x:v>2382</x:v>
      </x:c>
      <x:c r="C520" s="31" t="s">
        <x:v>2290</x:v>
      </x:c>
      <x:c r="D520" s="32" t="s">
        <x:v>1374</x:v>
      </x:c>
      <x:c r="E520" s="32" t="str">
        <x:v>Data Migration Only</x:v>
      </x:c>
      <x:c r="F520" s="33" t="s">
        <x:v>118</x:v>
      </x:c>
      <x:c r="G520" s="34" t="s">
        <x:v>2301</x:v>
      </x:c>
      <x:c r="H520" s="33" t="s">
        <x:v>87</x:v>
      </x:c>
      <x:c r="I520" s="33" t="s">
        <x:v>2292</x:v>
      </x:c>
      <x:c r="J520" s="33" t="s">
        <x:v>80</x:v>
      </x:c>
      <x:c r="K520" s="33" t="s">
        <x:v>62</x:v>
      </x:c>
      <x:c r="L520" s="33" t="s">
        <x:v>73</x:v>
      </x:c>
      <x:c r="M520" s="35">
        <x:v>60</x:v>
      </x:c>
      <x:c r="N520" s="35">
        <x:v>76918272</x:v>
      </x:c>
      <x:c r="O520" s="33" t="s">
        <x:v>101</x:v>
      </x:c>
      <x:c r="P520" s="33" t="s">
        <x:v>98</x:v>
      </x:c>
      <x:c r="Q520" s="33" t="s">
        <x:v>120</x:v>
      </x:c>
      <x:c r="R520" s="33" t="s">
        <x:v>73</x:v>
      </x:c>
      <x:c r="S520" s="31" t="s">
        <x:v>630</x:v>
      </x:c>
      <x:c r="T520" s="31" t="s">
        <x:v>2383</x:v>
      </x:c>
      <x:c r="U520" s="31" t="s">
        <x:v>276</x:v>
      </x:c>
      <x:c r="V520" s="33" t="s">
        <x:v>444</x:v>
      </x:c>
      <x:c r="W520" s="33"/>
      <x:c r="X520" s="33" t="s">
        <x:v>238</x:v>
      </x:c>
      <x:c r="Y520" s="36">
        <x:v>46419</x:v>
      </x:c>
      <x:c r="Z520" s="36"/>
      <x:c r="AA520" s="33" t="s">
        <x:v>120</x:v>
      </x:c>
      <x:c r="AB520" s="37" t="n">
        <x:f>IFERROR(INDEX(Effort_Model!$J$6:$J$33,MATCH(K520&amp;"|"&amp;L520,Effort_Model!$B$6:$B$33,0)),"")</x:f>
        <x:v>74.4</x:v>
      </x:c>
      <x:c r="AC520" s="38">
        <x:v>509.4</x:v>
      </x:c>
      <x:c r="AD520" s="37">
        <x:f t="shared" si="8"/>
        <x:v>650.4</x:v>
      </x:c>
      <x:c r="AE520" s="37" t="n">
        <x:f>IFERROR(ROUND(IFERROR(INDEX(Scoring_Rules!$C$43:$C$44,MATCH(Q520,Scoring_Rules!$B$43:$B$44,0)),0)*Scoring_Rules!$C$6+IFERROR(INDEX(Scoring_Rules!$C$34:$C$40,MATCH(K520,Scoring_Rules!$B$34:$B$40,0)),0)*Scoring_Rules!$C$7+IFERROR(INDEX(Scoring_Rules!$C$16:$C$19,MATCH(P520,Scoring_Rules!$B$16:$B$19,0)),0)*Scoring_Rules!$C$8+IFERROR(INDEX(Scoring_Rules!$C$22:$C$25,MATCH(O520,Scoring_Rules!$B$22:$B$25,0)),0)*Scoring_Rules!$C$9+IFERROR(INDEX(Scoring_Rules!$C$47:$C$50,MATCH(X520,Scoring_Rules!$B$47:$B$50,0)),0)*Scoring_Rules!$C$10+IFERROR(INDEX(Scoring_Rules!$C$28:$C$31,MATCH(R520,Scoring_Rules!$B$28:$B$31,0)),0)*Scoring_Rules!$C$11,1),"")</x:f>
        <x:v>54.8</x:v>
      </x:c>
      <x:c r="AF520" s="35">
        <x:v>3</x:v>
      </x:c>
      <x:c r="AG520" s="33" t="s">
        <x:v>2302</x:v>
      </x:c>
      <x:c r="AH520" s="36">
        <x:v>46310</x:v>
      </x:c>
      <x:c r="AI520" s="33" t="s">
        <x:v>127</x:v>
      </x:c>
      <x:c r="AJ520" s="34" t="s">
        <x:v>395</x:v>
      </x:c>
    </x:row>
    <x:row r="521" ht="15" customHeight="1">
      <x:c r="A521" s="31" t="s">
        <x:v>2384</x:v>
      </x:c>
      <x:c r="B521" s="31" t="s">
        <x:v>2385</x:v>
      </x:c>
      <x:c r="C521" s="31" t="s">
        <x:v>2290</x:v>
      </x:c>
      <x:c r="D521" s="32" t="s">
        <x:v>824</x:v>
      </x:c>
      <x:c r="E521" s="32" t="str">
        <x:v>Functional Migration Only</x:v>
      </x:c>
      <x:c r="F521" s="33" t="s">
        <x:v>118</x:v>
      </x:c>
      <x:c r="G521" s="34" t="s">
        <x:v>2315</x:v>
      </x:c>
      <x:c r="H521" s="33" t="s">
        <x:v>87</x:v>
      </x:c>
      <x:c r="I521" s="33" t="s">
        <x:v>2292</x:v>
      </x:c>
      <x:c r="J521" s="33" t="s">
        <x:v>82</x:v>
      </x:c>
      <x:c r="K521" s="33" t="s">
        <x:v>64</x:v>
      </x:c>
      <x:c r="L521" s="33" t="s">
        <x:v>75</x:v>
      </x:c>
      <x:c r="M521" s="35">
        <x:v>104</x:v>
      </x:c>
      <x:c r="N521" s="35">
        <x:v>948968021</x:v>
      </x:c>
      <x:c r="O521" s="33" t="s">
        <x:v>101</x:v>
      </x:c>
      <x:c r="P521" s="33" t="s">
        <x:v>73</x:v>
      </x:c>
      <x:c r="Q521" s="33" t="s">
        <x:v>120</x:v>
      </x:c>
      <x:c r="R521" s="33" t="s">
        <x:v>101</x:v>
      </x:c>
      <x:c r="S521" s="31" t="s">
        <x:v>677</x:v>
      </x:c>
      <x:c r="T521" s="31" t="s">
        <x:v>678</x:v>
      </x:c>
      <x:c r="U521" s="31" t="s">
        <x:v>276</x:v>
      </x:c>
      <x:c r="V521" s="33" t="s">
        <x:v>347</x:v>
      </x:c>
      <x:c r="W521" s="33"/>
      <x:c r="X521" s="33" t="s">
        <x:v>238</x:v>
      </x:c>
      <x:c r="Y521" s="36">
        <x:v>46429</x:v>
      </x:c>
      <x:c r="Z521" s="36"/>
      <x:c r="AA521" s="33" t="s">
        <x:v>120</x:v>
      </x:c>
      <x:c r="AB521" s="37" t="n">
        <x:f>IFERROR(INDEX(Effort_Model!$J$6:$J$33,MATCH(K521&amp;"|"&amp;L521,Effort_Model!$B$6:$B$33,0)),"")</x:f>
        <x:v>106.4</x:v>
      </x:c>
      <x:c r="AC521" s="38">
        <x:v>1551.5</x:v>
      </x:c>
      <x:c r="AD521" s="37">
        <x:f t="shared" si="8"/>
        <x:v>1856.8333</x:v>
      </x:c>
      <x:c r="AE521" s="37" t="n">
        <x:f>IFERROR(ROUND(IFERROR(INDEX(Scoring_Rules!$C$43:$C$44,MATCH(Q521,Scoring_Rules!$B$43:$B$44,0)),0)*Scoring_Rules!$C$6+IFERROR(INDEX(Scoring_Rules!$C$34:$C$40,MATCH(K521,Scoring_Rules!$B$34:$B$40,0)),0)*Scoring_Rules!$C$7+IFERROR(INDEX(Scoring_Rules!$C$16:$C$19,MATCH(P521,Scoring_Rules!$B$16:$B$19,0)),0)*Scoring_Rules!$C$8+IFERROR(INDEX(Scoring_Rules!$C$22:$C$25,MATCH(O521,Scoring_Rules!$B$22:$B$25,0)),0)*Scoring_Rules!$C$9+IFERROR(INDEX(Scoring_Rules!$C$47:$C$50,MATCH(X521,Scoring_Rules!$B$47:$B$50,0)),0)*Scoring_Rules!$C$10+IFERROR(INDEX(Scoring_Rules!$C$28:$C$31,MATCH(R521,Scoring_Rules!$B$28:$B$31,0)),0)*Scoring_Rules!$C$11,1),"")</x:f>
        <x:v>43</x:v>
      </x:c>
      <x:c r="AF521" s="35">
        <x:v>6</x:v>
      </x:c>
      <x:c r="AG521" s="33" t="s">
        <x:v>2305</x:v>
      </x:c>
      <x:c r="AH521" s="36">
        <x:v>46352</x:v>
      </x:c>
      <x:c r="AI521" s="33" t="s">
        <x:v>127</x:v>
      </x:c>
      <x:c r="AJ521" s="34" t="s">
        <x:v>354</x:v>
      </x:c>
    </x:row>
    <x:row r="522" ht="15" customHeight="1">
      <x:c r="A522" s="31" t="s">
        <x:v>2386</x:v>
      </x:c>
      <x:c r="B522" s="31" t="s">
        <x:v>2387</x:v>
      </x:c>
      <x:c r="C522" s="31" t="s">
        <x:v>2290</x:v>
      </x:c>
      <x:c r="D522" s="32" t="s">
        <x:v>1024</x:v>
      </x:c>
      <x:c r="E522" s="32" t="str">
        <x:v>Data Migration Only</x:v>
      </x:c>
      <x:c r="F522" s="33" t="s">
        <x:v>118</x:v>
      </x:c>
      <x:c r="G522" s="34" t="s">
        <x:v>2291</x:v>
      </x:c>
      <x:c r="H522" s="33" t="s">
        <x:v>87</x:v>
      </x:c>
      <x:c r="I522" s="33" t="s">
        <x:v>2292</x:v>
      </x:c>
      <x:c r="J522" s="33" t="s">
        <x:v>80</x:v>
      </x:c>
      <x:c r="K522" s="33" t="s">
        <x:v>60</x:v>
      </x:c>
      <x:c r="L522" s="33" t="s">
        <x:v>75</x:v>
      </x:c>
      <x:c r="M522" s="35">
        <x:v>36</x:v>
      </x:c>
      <x:c r="N522" s="35">
        <x:v>6599489</x:v>
      </x:c>
      <x:c r="O522" s="33" t="s">
        <x:v>73</x:v>
      </x:c>
      <x:c r="P522" s="33" t="s">
        <x:v>73</x:v>
      </x:c>
      <x:c r="Q522" s="33" t="s">
        <x:v>120</x:v>
      </x:c>
      <x:c r="R522" s="33" t="s">
        <x:v>98</x:v>
      </x:c>
      <x:c r="S522" s="31" t="s">
        <x:v>2388</x:v>
      </x:c>
      <x:c r="T522" s="31" t="s">
        <x:v>2389</x:v>
      </x:c>
      <x:c r="U522" s="31" t="s">
        <x:v>1514</x:v>
      </x:c>
      <x:c r="V522" s="33" t="s">
        <x:v>365</x:v>
      </x:c>
      <x:c r="W522" s="33"/>
      <x:c r="X522" s="33" t="s">
        <x:v>238</x:v>
      </x:c>
      <x:c r="Y522" s="36">
        <x:v>46516</x:v>
      </x:c>
      <x:c r="Z522" s="36">
        <x:v>46738</x:v>
      </x:c>
      <x:c r="AA522" s="33" t="s">
        <x:v>120</x:v>
      </x:c>
      <x:c r="AB522" s="37" t="n">
        <x:f>IFERROR(INDEX(Effort_Model!$J$6:$J$33,MATCH(K522&amp;"|"&amp;L522,Effort_Model!$B$6:$B$33,0)),"")</x:f>
        <x:v>42.4</x:v>
      </x:c>
      <x:c r="AC522" s="38">
        <x:v>382.2</x:v>
      </x:c>
      <x:c r="AD522" s="37">
        <x:f t="shared" si="8"/>
        <x:v>495.5333</x:v>
      </x:c>
      <x:c r="AE522" s="37" t="n">
        <x:f>IFERROR(ROUND(IFERROR(INDEX(Scoring_Rules!$C$43:$C$44,MATCH(Q522,Scoring_Rules!$B$43:$B$44,0)),0)*Scoring_Rules!$C$6+IFERROR(INDEX(Scoring_Rules!$C$34:$C$40,MATCH(K522,Scoring_Rules!$B$34:$B$40,0)),0)*Scoring_Rules!$C$7+IFERROR(INDEX(Scoring_Rules!$C$16:$C$19,MATCH(P522,Scoring_Rules!$B$16:$B$19,0)),0)*Scoring_Rules!$C$8+IFERROR(INDEX(Scoring_Rules!$C$22:$C$25,MATCH(O522,Scoring_Rules!$B$22:$B$25,0)),0)*Scoring_Rules!$C$9+IFERROR(INDEX(Scoring_Rules!$C$47:$C$50,MATCH(X522,Scoring_Rules!$B$47:$B$50,0)),0)*Scoring_Rules!$C$10+IFERROR(INDEX(Scoring_Rules!$C$28:$C$31,MATCH(R522,Scoring_Rules!$B$28:$B$31,0)),0)*Scoring_Rules!$C$11,1),"")</x:f>
        <x:v>59.5</x:v>
      </x:c>
      <x:c r="AF522" s="35">
        <x:v>5</x:v>
      </x:c>
      <x:c r="AG522" s="33" t="s">
        <x:v>2293</x:v>
      </x:c>
      <x:c r="AH522" s="36">
        <x:v>46410</x:v>
      </x:c>
      <x:c r="AI522" s="33" t="s">
        <x:v>126</x:v>
      </x:c>
      <x:c r="AJ522" s="34" t="s">
        <x:v>354</x:v>
      </x:c>
    </x:row>
    <x:row r="523" ht="15" customHeight="1">
      <x:c r="A523" s="31" t="s">
        <x:v>2390</x:v>
      </x:c>
      <x:c r="B523" s="31" t="s">
        <x:v>2391</x:v>
      </x:c>
      <x:c r="C523" s="31" t="s">
        <x:v>2290</x:v>
      </x:c>
      <x:c r="D523" s="32" t="s">
        <x:v>760</x:v>
      </x:c>
      <x:c r="E523" s="32" t="str">
        <x:v>Data Migration Only</x:v>
      </x:c>
      <x:c r="F523" s="33" t="s">
        <x:v>118</x:v>
      </x:c>
      <x:c r="G523" s="34" t="s">
        <x:v>2315</x:v>
      </x:c>
      <x:c r="H523" s="33" t="s">
        <x:v>87</x:v>
      </x:c>
      <x:c r="I523" s="33" t="s">
        <x:v>2292</x:v>
      </x:c>
      <x:c r="J523" s="33" t="s">
        <x:v>80</x:v>
      </x:c>
      <x:c r="K523" s="33" t="s">
        <x:v>64</x:v>
      </x:c>
      <x:c r="L523" s="33" t="s">
        <x:v>73</x:v>
      </x:c>
      <x:c r="M523" s="35">
        <x:v>126</x:v>
      </x:c>
      <x:c r="N523" s="35">
        <x:v>1196928698</x:v>
      </x:c>
      <x:c r="O523" s="33" t="s">
        <x:v>73</x:v>
      </x:c>
      <x:c r="P523" s="33" t="s">
        <x:v>101</x:v>
      </x:c>
      <x:c r="Q523" s="33" t="s">
        <x:v>120</x:v>
      </x:c>
      <x:c r="R523" s="33" t="s">
        <x:v>73</x:v>
      </x:c>
      <x:c r="S523" s="31" t="s">
        <x:v>650</x:v>
      </x:c>
      <x:c r="T523" s="31" t="s">
        <x:v>651</x:v>
      </x:c>
      <x:c r="U523" s="31" t="s">
        <x:v>1514</x:v>
      </x:c>
      <x:c r="V523" s="33" t="s">
        <x:v>329</x:v>
      </x:c>
      <x:c r="W523" s="33" t="s">
        <x:v>2392</x:v>
      </x:c>
      <x:c r="X523" s="33" t="s">
        <x:v>240</x:v>
      </x:c>
      <x:c r="Y523" s="36"/>
      <x:c r="Z523" s="36"/>
      <x:c r="AA523" s="33" t="s">
        <x:v>120</x:v>
      </x:c>
      <x:c r="AB523" s="37" t="n">
        <x:f>IFERROR(INDEX(Effort_Model!$J$6:$J$33,MATCH(K523&amp;"|"&amp;L523,Effort_Model!$B$6:$B$33,0)),"")</x:f>
        <x:v>106.4</x:v>
      </x:c>
      <x:c r="AC523" s="38">
        <x:v>799.7</x:v>
      </x:c>
      <x:c r="AD523" s="37">
        <x:f t="shared" si="8"/>
        <x:v>1004.7</x:v>
      </x:c>
      <x:c r="AE523" s="37" t="n">
        <x:f>IFERROR(ROUND(IFERROR(INDEX(Scoring_Rules!$C$43:$C$44,MATCH(Q523,Scoring_Rules!$B$43:$B$44,0)),0)*Scoring_Rules!$C$6+IFERROR(INDEX(Scoring_Rules!$C$34:$C$40,MATCH(K523,Scoring_Rules!$B$34:$B$40,0)),0)*Scoring_Rules!$C$7+IFERROR(INDEX(Scoring_Rules!$C$16:$C$19,MATCH(P523,Scoring_Rules!$B$16:$B$19,0)),0)*Scoring_Rules!$C$8+IFERROR(INDEX(Scoring_Rules!$C$22:$C$25,MATCH(O523,Scoring_Rules!$B$22:$B$25,0)),0)*Scoring_Rules!$C$9+IFERROR(INDEX(Scoring_Rules!$C$47:$C$50,MATCH(X523,Scoring_Rules!$B$47:$B$50,0)),0)*Scoring_Rules!$C$10+IFERROR(INDEX(Scoring_Rules!$C$28:$C$31,MATCH(R523,Scoring_Rules!$B$28:$B$31,0)),0)*Scoring_Rules!$C$11,1),"")</x:f>
        <x:v>32.5</x:v>
      </x:c>
      <x:c r="AF523" s="35">
        <x:v>6</x:v>
      </x:c>
      <x:c r="AG523" s="33" t="s">
        <x:v>2298</x:v>
      </x:c>
      <x:c r="AH523" s="36">
        <x:v>46396</x:v>
      </x:c>
      <x:c r="AI523" s="33" t="s">
        <x:v>126</x:v>
      </x:c>
      <x:c r="AJ523" s="34"/>
    </x:row>
    <x:row r="524" ht="15" customHeight="1">
      <x:c r="A524" s="31" t="s">
        <x:v>2393</x:v>
      </x:c>
      <x:c r="B524" s="31" t="s">
        <x:v>2394</x:v>
      </x:c>
      <x:c r="C524" s="31" t="s">
        <x:v>2290</x:v>
      </x:c>
      <x:c r="D524" s="32" t="s">
        <x:v>320</x:v>
      </x:c>
      <x:c r="E524" s="32" t="str">
        <x:v>Data Migration Only</x:v>
      </x:c>
      <x:c r="F524" s="33" t="s">
        <x:v>120</x:v>
      </x:c>
      <x:c r="G524" s="34" t="s">
        <x:v>561</x:v>
      </x:c>
      <x:c r="H524" s="33" t="s">
        <x:v>89</x:v>
      </x:c>
      <x:c r="I524" s="33" t="s">
        <x:v>2292</x:v>
      </x:c>
      <x:c r="J524" s="33" t="s">
        <x:v>80</x:v>
      </x:c>
      <x:c r="K524" s="33" t="s">
        <x:v>62</x:v>
      </x:c>
      <x:c r="L524" s="33" t="s">
        <x:v>75</x:v>
      </x:c>
      <x:c r="M524" s="35">
        <x:v>68</x:v>
      </x:c>
      <x:c r="N524" s="35">
        <x:v>141634184</x:v>
      </x:c>
      <x:c r="O524" s="33" t="s">
        <x:v>73</x:v>
      </x:c>
      <x:c r="P524" s="33" t="s">
        <x:v>109</x:v>
      </x:c>
      <x:c r="Q524" s="33" t="s">
        <x:v>120</x:v>
      </x:c>
      <x:c r="R524" s="33" t="s">
        <x:v>98</x:v>
      </x:c>
      <x:c r="S524" s="31" t="s">
        <x:v>879</x:v>
      </x:c>
      <x:c r="T524" s="31" t="s">
        <x:v>2395</x:v>
      </x:c>
      <x:c r="U524" s="31" t="s">
        <x:v>276</x:v>
      </x:c>
      <x:c r="V524" s="33" t="s">
        <x:v>444</x:v>
      </x:c>
      <x:c r="W524" s="33"/>
      <x:c r="X524" s="33" t="s">
        <x:v>238</x:v>
      </x:c>
      <x:c r="Y524" s="36"/>
      <x:c r="Z524" s="36"/>
      <x:c r="AA524" s="33" t="s">
        <x:v>120</x:v>
      </x:c>
      <x:c r="AB524" s="37" t="n">
        <x:f>IFERROR(INDEX(Effort_Model!$J$6:$J$33,MATCH(K524&amp;"|"&amp;L524,Effort_Model!$B$6:$B$33,0)),"")</x:f>
        <x:v>74.4</x:v>
      </x:c>
      <x:c r="AC524" s="38">
        <x:v>624.9</x:v>
      </x:c>
      <x:c r="AD524" s="37">
        <x:f t="shared" si="8"/>
        <x:v>834.23329999999999</x:v>
      </x:c>
      <x:c r="AE524" s="37" t="n">
        <x:f>IFERROR(ROUND(IFERROR(INDEX(Scoring_Rules!$C$43:$C$44,MATCH(Q524,Scoring_Rules!$B$43:$B$44,0)),0)*Scoring_Rules!$C$6+IFERROR(INDEX(Scoring_Rules!$C$34:$C$40,MATCH(K524,Scoring_Rules!$B$34:$B$40,0)),0)*Scoring_Rules!$C$7+IFERROR(INDEX(Scoring_Rules!$C$16:$C$19,MATCH(P524,Scoring_Rules!$B$16:$B$19,0)),0)*Scoring_Rules!$C$8+IFERROR(INDEX(Scoring_Rules!$C$22:$C$25,MATCH(O524,Scoring_Rules!$B$22:$B$25,0)),0)*Scoring_Rules!$C$9+IFERROR(INDEX(Scoring_Rules!$C$47:$C$50,MATCH(X524,Scoring_Rules!$B$47:$B$50,0)),0)*Scoring_Rules!$C$10+IFERROR(INDEX(Scoring_Rules!$C$28:$C$31,MATCH(R524,Scoring_Rules!$B$28:$B$31,0)),0)*Scoring_Rules!$C$11,1),"")</x:f>
        <x:v>41.5</x:v>
      </x:c>
      <x:c r="AF524" s="35"/>
      <x:c r="AG524" s="33" t="s">
        <x:v>2302</x:v>
      </x:c>
      <x:c r="AH524" s="36">
        <x:v>46312</x:v>
      </x:c>
      <x:c r="AI524" s="33" t="s">
        <x:v>127</x:v>
      </x:c>
      <x:c r="AJ524" s="34" t="s">
        <x:v>445</x:v>
      </x:c>
    </x:row>
    <x:row r="525" ht="15" customHeight="1">
      <x:c r="A525" s="31" t="s">
        <x:v>2396</x:v>
      </x:c>
      <x:c r="B525" s="31" t="s">
        <x:v>2397</x:v>
      </x:c>
      <x:c r="C525" s="31" t="s">
        <x:v>2290</x:v>
      </x:c>
      <x:c r="D525" s="32" t="s">
        <x:v>760</x:v>
      </x:c>
      <x:c r="E525" s="32" t="str">
        <x:v>Data Migration Only</x:v>
      </x:c>
      <x:c r="F525" s="33" t="s">
        <x:v>118</x:v>
      </x:c>
      <x:c r="G525" s="34" t="s">
        <x:v>2315</x:v>
      </x:c>
      <x:c r="H525" s="33" t="s">
        <x:v>87</x:v>
      </x:c>
      <x:c r="I525" s="33" t="s">
        <x:v>2292</x:v>
      </x:c>
      <x:c r="J525" s="33" t="s">
        <x:v>80</x:v>
      </x:c>
      <x:c r="K525" s="33" t="s">
        <x:v>60</x:v>
      </x:c>
      <x:c r="L525" s="33" t="s">
        <x:v>73</x:v>
      </x:c>
      <x:c r="M525" s="35">
        <x:v>46</x:v>
      </x:c>
      <x:c r="N525" s="35">
        <x:v>5319312</x:v>
      </x:c>
      <x:c r="O525" s="33" t="s">
        <x:v>98</x:v>
      </x:c>
      <x:c r="P525" s="33" t="s">
        <x:v>73</x:v>
      </x:c>
      <x:c r="Q525" s="33" t="s">
        <x:v>118</x:v>
      </x:c>
      <x:c r="R525" s="33" t="s">
        <x:v>73</x:v>
      </x:c>
      <x:c r="S525" s="31" t="s">
        <x:v>623</x:v>
      </x:c>
      <x:c r="T525" s="31" t="s">
        <x:v>2398</x:v>
      </x:c>
      <x:c r="U525" s="31" t="s">
        <x:v>276</x:v>
      </x:c>
      <x:c r="V525" s="33" t="s">
        <x:v>451</x:v>
      </x:c>
      <x:c r="W525" s="33"/>
      <x:c r="X525" s="33" t="s">
        <x:v>238</x:v>
      </x:c>
      <x:c r="Y525" s="36"/>
      <x:c r="Z525" s="36"/>
      <x:c r="AA525" s="33" t="s">
        <x:v>120</x:v>
      </x:c>
      <x:c r="AB525" s="37" t="n">
        <x:f>IFERROR(INDEX(Effort_Model!$J$6:$J$33,MATCH(K525&amp;"|"&amp;L525,Effort_Model!$B$6:$B$33,0)),"")</x:f>
        <x:v>42.4</x:v>
      </x:c>
      <x:c r="AC525" s="38">
        <x:v>261.10000000000002</x:v>
      </x:c>
      <x:c r="AD525" s="37">
        <x:f t="shared" si="8"/>
        <x:v>338.1</x:v>
      </x:c>
      <x:c r="AE525" s="37" t="n">
        <x:f>IFERROR(ROUND(IFERROR(INDEX(Scoring_Rules!$C$43:$C$44,MATCH(Q525,Scoring_Rules!$B$43:$B$44,0)),0)*Scoring_Rules!$C$6+IFERROR(INDEX(Scoring_Rules!$C$34:$C$40,MATCH(K525,Scoring_Rules!$B$34:$B$40,0)),0)*Scoring_Rules!$C$7+IFERROR(INDEX(Scoring_Rules!$C$16:$C$19,MATCH(P525,Scoring_Rules!$B$16:$B$19,0)),0)*Scoring_Rules!$C$8+IFERROR(INDEX(Scoring_Rules!$C$22:$C$25,MATCH(O525,Scoring_Rules!$B$22:$B$25,0)),0)*Scoring_Rules!$C$9+IFERROR(INDEX(Scoring_Rules!$C$47:$C$50,MATCH(X525,Scoring_Rules!$B$47:$B$50,0)),0)*Scoring_Rules!$C$10+IFERROR(INDEX(Scoring_Rules!$C$28:$C$31,MATCH(R525,Scoring_Rules!$B$28:$B$31,0)),0)*Scoring_Rules!$C$11,1),"")</x:f>
        <x:v>87.5</x:v>
      </x:c>
      <x:c r="AF525" s="35">
        <x:v>1</x:v>
      </x:c>
      <x:c r="AG525" s="33" t="s">
        <x:v>2305</x:v>
      </x:c>
      <x:c r="AH525" s="36">
        <x:v>46312</x:v>
      </x:c>
      <x:c r="AI525" s="33" t="s">
        <x:v>127</x:v>
      </x:c>
      <x:c r="AJ525" s="34"/>
    </x:row>
    <x:row r="526" ht="15" customHeight="1">
      <x:c r="A526" s="31" t="s">
        <x:v>2399</x:v>
      </x:c>
      <x:c r="B526" s="31" t="s">
        <x:v>2400</x:v>
      </x:c>
      <x:c r="C526" s="31" t="s">
        <x:v>2290</x:v>
      </x:c>
      <x:c r="D526" s="32" t="s">
        <x:v>1374</x:v>
      </x:c>
      <x:c r="E526" s="32" t="str">
        <x:v>Functional Migration Only</x:v>
      </x:c>
      <x:c r="F526" s="33" t="s">
        <x:v>118</x:v>
      </x:c>
      <x:c r="G526" s="34" t="s">
        <x:v>2308</x:v>
      </x:c>
      <x:c r="H526" s="33" t="s">
        <x:v>87</x:v>
      </x:c>
      <x:c r="I526" s="33" t="s">
        <x:v>2292</x:v>
      </x:c>
      <x:c r="J526" s="33" t="s">
        <x:v>82</x:v>
      </x:c>
      <x:c r="K526" s="33" t="s">
        <x:v>58</x:v>
      </x:c>
      <x:c r="L526" s="33" t="s">
        <x:v>73</x:v>
      </x:c>
      <x:c r="M526" s="35">
        <x:v>24</x:v>
      </x:c>
      <x:c r="N526" s="35">
        <x:v>723633</x:v>
      </x:c>
      <x:c r="O526" s="33" t="s">
        <x:v>98</x:v>
      </x:c>
      <x:c r="P526" s="33" t="s">
        <x:v>73</x:v>
      </x:c>
      <x:c r="Q526" s="33" t="s">
        <x:v>118</x:v>
      </x:c>
      <x:c r="R526" s="33" t="s">
        <x:v>73</x:v>
      </x:c>
      <x:c r="S526" s="31" t="s">
        <x:v>604</x:v>
      </x:c>
      <x:c r="T526" s="31" t="s">
        <x:v>2238</x:v>
      </x:c>
      <x:c r="U526" s="31" t="s">
        <x:v>276</x:v>
      </x:c>
      <x:c r="V526" s="33" t="s">
        <x:v>303</x:v>
      </x:c>
      <x:c r="W526" s="33" t="s">
        <x:v>2326</x:v>
      </x:c>
      <x:c r="X526" s="33" t="s">
        <x:v>240</x:v>
      </x:c>
      <x:c r="Y526" s="36"/>
      <x:c r="Z526" s="36"/>
      <x:c r="AA526" s="33" t="s">
        <x:v>120</x:v>
      </x:c>
      <x:c r="AB526" s="37" t="n">
        <x:f>IFERROR(INDEX(Effort_Model!$J$6:$J$33,MATCH(K526&amp;"|"&amp;L526,Effort_Model!$B$6:$B$33,0)),"")</x:f>
        <x:v>26.4</x:v>
      </x:c>
      <x:c r="AC526" s="38">
        <x:v>254.6</x:v>
      </x:c>
      <x:c r="AD526" s="37">
        <x:f t="shared" si="8"/>
        <x:v>299.60000000000002</x:v>
      </x:c>
      <x:c r="AE526" s="37" t="n">
        <x:f>IFERROR(ROUND(IFERROR(INDEX(Scoring_Rules!$C$43:$C$44,MATCH(Q526,Scoring_Rules!$B$43:$B$44,0)),0)*Scoring_Rules!$C$6+IFERROR(INDEX(Scoring_Rules!$C$34:$C$40,MATCH(K526,Scoring_Rules!$B$34:$B$40,0)),0)*Scoring_Rules!$C$7+IFERROR(INDEX(Scoring_Rules!$C$16:$C$19,MATCH(P526,Scoring_Rules!$B$16:$B$19,0)),0)*Scoring_Rules!$C$8+IFERROR(INDEX(Scoring_Rules!$C$22:$C$25,MATCH(O526,Scoring_Rules!$B$22:$B$25,0)),0)*Scoring_Rules!$C$9+IFERROR(INDEX(Scoring_Rules!$C$47:$C$50,MATCH(X526,Scoring_Rules!$B$47:$B$50,0)),0)*Scoring_Rules!$C$10+IFERROR(INDEX(Scoring_Rules!$C$28:$C$31,MATCH(R526,Scoring_Rules!$B$28:$B$31,0)),0)*Scoring_Rules!$C$11,1),"")</x:f>
        <x:v>80</x:v>
      </x:c>
      <x:c r="AF526" s="35">
        <x:v>1</x:v>
      </x:c>
      <x:c r="AG526" s="33" t="s">
        <x:v>2293</x:v>
      </x:c>
      <x:c r="AH526" s="36">
        <x:v>46406</x:v>
      </x:c>
      <x:c r="AI526" s="33" t="s">
        <x:v>125</x:v>
      </x:c>
      <x:c r="AJ526" s="34" t="s">
        <x:v>395</x:v>
      </x:c>
    </x:row>
    <x:row r="527" ht="15" customHeight="1">
      <x:c r="A527" s="31" t="s">
        <x:v>2401</x:v>
      </x:c>
      <x:c r="B527" s="31" t="s">
        <x:v>2402</x:v>
      </x:c>
      <x:c r="C527" s="31" t="s">
        <x:v>2290</x:v>
      </x:c>
      <x:c r="D527" s="32" t="s">
        <x:v>824</x:v>
      </x:c>
      <x:c r="E527" s="32" t="str">
        <x:v>Data Migration Only</x:v>
      </x:c>
      <x:c r="F527" s="33" t="s">
        <x:v>118</x:v>
      </x:c>
      <x:c r="G527" s="34" t="s">
        <x:v>2315</x:v>
      </x:c>
      <x:c r="H527" s="33" t="s">
        <x:v>87</x:v>
      </x:c>
      <x:c r="I527" s="33" t="s">
        <x:v>2292</x:v>
      </x:c>
      <x:c r="J527" s="33" t="s">
        <x:v>80</x:v>
      </x:c>
      <x:c r="K527" s="33" t="s">
        <x:v>58</x:v>
      </x:c>
      <x:c r="L527" s="33" t="s">
        <x:v>77</x:v>
      </x:c>
      <x:c r="M527" s="35">
        <x:v>24</x:v>
      </x:c>
      <x:c r="N527" s="35">
        <x:v>1020893</x:v>
      </x:c>
      <x:c r="O527" s="33" t="s">
        <x:v>101</x:v>
      </x:c>
      <x:c r="P527" s="33" t="s">
        <x:v>101</x:v>
      </x:c>
      <x:c r="Q527" s="33" t="s">
        <x:v>120</x:v>
      </x:c>
      <x:c r="R527" s="33" t="s">
        <x:v>98</x:v>
      </x:c>
      <x:c r="S527" s="31" t="s">
        <x:v>520</x:v>
      </x:c>
      <x:c r="T527" s="31" t="s">
        <x:v>1518</x:v>
      </x:c>
      <x:c r="U527" s="31" t="s">
        <x:v>522</x:v>
      </x:c>
      <x:c r="V527" s="33" t="s">
        <x:v>379</x:v>
      </x:c>
      <x:c r="W527" s="33"/>
      <x:c r="X527" s="33" t="s">
        <x:v>238</x:v>
      </x:c>
      <x:c r="Y527" s="36"/>
      <x:c r="Z527" s="36"/>
      <x:c r="AA527" s="33" t="s">
        <x:v>120</x:v>
      </x:c>
      <x:c r="AB527" s="37" t="n">
        <x:f>IFERROR(INDEX(Effort_Model!$J$6:$J$33,MATCH(K527&amp;"|"&amp;L527,Effort_Model!$B$6:$B$33,0)),"")</x:f>
        <x:v>26.4</x:v>
      </x:c>
      <x:c r="AC527" s="38">
        <x:v>267.10000000000002</x:v>
      </x:c>
      <x:c r="AD527" s="37">
        <x:f t="shared" si="8"/>
        <x:v>348.43330000000003</x:v>
      </x:c>
      <x:c r="AE527" s="37" t="n">
        <x:f>IFERROR(ROUND(IFERROR(INDEX(Scoring_Rules!$C$43:$C$44,MATCH(Q527,Scoring_Rules!$B$43:$B$44,0)),0)*Scoring_Rules!$C$6+IFERROR(INDEX(Scoring_Rules!$C$34:$C$40,MATCH(K527,Scoring_Rules!$B$34:$B$40,0)),0)*Scoring_Rules!$C$7+IFERROR(INDEX(Scoring_Rules!$C$16:$C$19,MATCH(P527,Scoring_Rules!$B$16:$B$19,0)),0)*Scoring_Rules!$C$8+IFERROR(INDEX(Scoring_Rules!$C$22:$C$25,MATCH(O527,Scoring_Rules!$B$22:$B$25,0)),0)*Scoring_Rules!$C$9+IFERROR(INDEX(Scoring_Rules!$C$47:$C$50,MATCH(X527,Scoring_Rules!$B$47:$B$50,0)),0)*Scoring_Rules!$C$10+IFERROR(INDEX(Scoring_Rules!$C$28:$C$31,MATCH(R527,Scoring_Rules!$B$28:$B$31,0)),0)*Scoring_Rules!$C$11,1),"")</x:f>
        <x:v>50.3</x:v>
      </x:c>
      <x:c r="AF527" s="35">
        <x:v>7</x:v>
      </x:c>
      <x:c r="AG527" s="33" t="s">
        <x:v>2298</x:v>
      </x:c>
      <x:c r="AH527" s="36">
        <x:v>46345</x:v>
      </x:c>
      <x:c r="AI527" s="33" t="s">
        <x:v>125</x:v>
      </x:c>
      <x:c r="AJ527" s="34" t="s">
        <x:v>395</x:v>
      </x:c>
    </x:row>
    <x:row r="528" ht="15" customHeight="1">
      <x:c r="A528" s="31" t="s">
        <x:v>2403</x:v>
      </x:c>
      <x:c r="B528" s="31" t="s">
        <x:v>2404</x:v>
      </x:c>
      <x:c r="C528" s="31" t="s">
        <x:v>2290</x:v>
      </x:c>
      <x:c r="D528" s="32" t="s">
        <x:v>824</x:v>
      </x:c>
      <x:c r="E528" s="32" t="str">
        <x:v>Functional Migration Only</x:v>
      </x:c>
      <x:c r="F528" s="33" t="s">
        <x:v>118</x:v>
      </x:c>
      <x:c r="G528" s="34" t="s">
        <x:v>2291</x:v>
      </x:c>
      <x:c r="H528" s="33" t="s">
        <x:v>87</x:v>
      </x:c>
      <x:c r="I528" s="33" t="s">
        <x:v>2292</x:v>
      </x:c>
      <x:c r="J528" s="33" t="s">
        <x:v>82</x:v>
      </x:c>
      <x:c r="K528" s="33" t="s">
        <x:v>62</x:v>
      </x:c>
      <x:c r="L528" s="33" t="s">
        <x:v>73</x:v>
      </x:c>
      <x:c r="M528" s="35">
        <x:v>66</x:v>
      </x:c>
      <x:c r="N528" s="35">
        <x:v>83533716</x:v>
      </x:c>
      <x:c r="O528" s="33" t="s">
        <x:v>101</x:v>
      </x:c>
      <x:c r="P528" s="33" t="s">
        <x:v>98</x:v>
      </x:c>
      <x:c r="Q528" s="33" t="s">
        <x:v>120</x:v>
      </x:c>
      <x:c r="R528" s="33" t="s">
        <x:v>101</x:v>
      </x:c>
      <x:c r="S528" s="31" t="s">
        <x:v>604</x:v>
      </x:c>
      <x:c r="T528" s="31" t="s">
        <x:v>2201</x:v>
      </x:c>
      <x:c r="U528" s="31" t="s">
        <x:v>276</x:v>
      </x:c>
      <x:c r="V528" s="33" t="s">
        <x:v>365</x:v>
      </x:c>
      <x:c r="W528" s="33" t="s">
        <x:v>2401</x:v>
      </x:c>
      <x:c r="X528" s="33" t="s">
        <x:v>240</x:v>
      </x:c>
      <x:c r="Y528" s="36"/>
      <x:c r="Z528" s="36"/>
      <x:c r="AA528" s="33" t="s">
        <x:v>120</x:v>
      </x:c>
      <x:c r="AB528" s="37" t="n">
        <x:f>IFERROR(INDEX(Effort_Model!$J$6:$J$33,MATCH(K528&amp;"|"&amp;L528,Effort_Model!$B$6:$B$33,0)),"")</x:f>
        <x:v>74.4</x:v>
      </x:c>
      <x:c r="AC528" s="38">
        <x:v>652.6</x:v>
      </x:c>
      <x:c r="AD528" s="37">
        <x:f t="shared" si="8"/>
        <x:v>793.6</x:v>
      </x:c>
      <x:c r="AE528" s="37" t="n">
        <x:f>IFERROR(ROUND(IFERROR(INDEX(Scoring_Rules!$C$43:$C$44,MATCH(Q528,Scoring_Rules!$B$43:$B$44,0)),0)*Scoring_Rules!$C$6+IFERROR(INDEX(Scoring_Rules!$C$34:$C$40,MATCH(K528,Scoring_Rules!$B$34:$B$40,0)),0)*Scoring_Rules!$C$7+IFERROR(INDEX(Scoring_Rules!$C$16:$C$19,MATCH(P528,Scoring_Rules!$B$16:$B$19,0)),0)*Scoring_Rules!$C$8+IFERROR(INDEX(Scoring_Rules!$C$22:$C$25,MATCH(O528,Scoring_Rules!$B$22:$B$25,0)),0)*Scoring_Rules!$C$9+IFERROR(INDEX(Scoring_Rules!$C$47:$C$50,MATCH(X528,Scoring_Rules!$B$47:$B$50,0)),0)*Scoring_Rules!$C$10+IFERROR(INDEX(Scoring_Rules!$C$28:$C$31,MATCH(R528,Scoring_Rules!$B$28:$B$31,0)),0)*Scoring_Rules!$C$11,1),"")</x:f>
        <x:v>42.5</x:v>
      </x:c>
      <x:c r="AF528" s="35">
        <x:v>3</x:v>
      </x:c>
      <x:c r="AG528" s="33" t="s">
        <x:v>2302</x:v>
      </x:c>
      <x:c r="AH528" s="36">
        <x:v>46301</x:v>
      </x:c>
      <x:c r="AI528" s="33" t="s">
        <x:v>127</x:v>
      </x:c>
      <x:c r="AJ528" s="34" t="s">
        <x:v>445</x:v>
      </x:c>
    </x:row>
    <x:row r="529" ht="23.25" customHeight="1">
      <x:c r="A529" s="31" t="s">
        <x:v>2405</x:v>
      </x:c>
      <x:c r="B529" s="31" t="s">
        <x:v>2406</x:v>
      </x:c>
      <x:c r="C529" s="31" t="s">
        <x:v>2290</x:v>
      </x:c>
      <x:c r="D529" s="32" t="s">
        <x:v>2314</x:v>
      </x:c>
      <x:c r="E529" s="32" t="str">
        <x:v>Functional Migration Only</x:v>
      </x:c>
      <x:c r="F529" s="33" t="s">
        <x:v>118</x:v>
      </x:c>
      <x:c r="G529" s="34" t="s">
        <x:v>2291</x:v>
      </x:c>
      <x:c r="H529" s="33" t="s">
        <x:v>87</x:v>
      </x:c>
      <x:c r="I529" s="33" t="s">
        <x:v>2292</x:v>
      </x:c>
      <x:c r="J529" s="33" t="s">
        <x:v>82</x:v>
      </x:c>
      <x:c r="K529" s="33" t="s">
        <x:v>64</x:v>
      </x:c>
      <x:c r="L529" s="33" t="s">
        <x:v>73</x:v>
      </x:c>
      <x:c r="M529" s="35">
        <x:v>100</x:v>
      </x:c>
      <x:c r="N529" s="35">
        <x:v>765286046</x:v>
      </x:c>
      <x:c r="O529" s="33" t="s">
        <x:v>73</x:v>
      </x:c>
      <x:c r="P529" s="33" t="s">
        <x:v>98</x:v>
      </x:c>
      <x:c r="Q529" s="33" t="s">
        <x:v>120</x:v>
      </x:c>
      <x:c r="R529" s="33" t="s">
        <x:v>101</x:v>
      </x:c>
      <x:c r="S529" s="31" t="s">
        <x:v>899</x:v>
      </x:c>
      <x:c r="T529" s="31" t="s">
        <x:v>2407</x:v>
      </x:c>
      <x:c r="U529" s="31" t="s">
        <x:v>276</x:v>
      </x:c>
      <x:c r="V529" s="33" t="s">
        <x:v>365</x:v>
      </x:c>
      <x:c r="W529" s="33"/>
      <x:c r="X529" s="33" t="s">
        <x:v>238</x:v>
      </x:c>
      <x:c r="Y529" s="36"/>
      <x:c r="Z529" s="36">
        <x:v>46636</x:v>
      </x:c>
      <x:c r="AA529" s="33" t="s">
        <x:v>120</x:v>
      </x:c>
      <x:c r="AB529" s="37" t="n">
        <x:f>IFERROR(INDEX(Effort_Model!$J$6:$J$33,MATCH(K529&amp;"|"&amp;L529,Effort_Model!$B$6:$B$33,0)),"")</x:f>
        <x:v>106.4</x:v>
      </x:c>
      <x:c r="AC529" s="38">
        <x:v>1206.9000000000001</x:v>
      </x:c>
      <x:c r="AD529" s="37">
        <x:f t="shared" si="8"/>
        <x:v>1411.9</x:v>
      </x:c>
      <x:c r="AE529" s="37" t="n">
        <x:f>IFERROR(ROUND(IFERROR(INDEX(Scoring_Rules!$C$43:$C$44,MATCH(Q529,Scoring_Rules!$B$43:$B$44,0)),0)*Scoring_Rules!$C$6+IFERROR(INDEX(Scoring_Rules!$C$34:$C$40,MATCH(K529,Scoring_Rules!$B$34:$B$40,0)),0)*Scoring_Rules!$C$7+IFERROR(INDEX(Scoring_Rules!$C$16:$C$19,MATCH(P529,Scoring_Rules!$B$16:$B$19,0)),0)*Scoring_Rules!$C$8+IFERROR(INDEX(Scoring_Rules!$C$22:$C$25,MATCH(O529,Scoring_Rules!$B$22:$B$25,0)),0)*Scoring_Rules!$C$9+IFERROR(INDEX(Scoring_Rules!$C$47:$C$50,MATCH(X529,Scoring_Rules!$B$47:$B$50,0)),0)*Scoring_Rules!$C$10+IFERROR(INDEX(Scoring_Rules!$C$28:$C$31,MATCH(R529,Scoring_Rules!$B$28:$B$31,0)),0)*Scoring_Rules!$C$11,1),"")</x:f>
        <x:v>54.3</x:v>
      </x:c>
      <x:c r="AF529" s="35">
        <x:v>3</x:v>
      </x:c>
      <x:c r="AG529" s="33" t="s">
        <x:v>2305</x:v>
      </x:c>
      <x:c r="AH529" s="36">
        <x:v>46390</x:v>
      </x:c>
      <x:c r="AI529" s="33" t="s">
        <x:v>127</x:v>
      </x:c>
      <x:c r="AJ529" s="34"/>
    </x:row>
    <x:row r="530" ht="15" customHeight="1">
      <x:c r="A530" s="31" t="s">
        <x:v>2408</x:v>
      </x:c>
      <x:c r="B530" s="31" t="s">
        <x:v>2409</x:v>
      </x:c>
      <x:c r="C530" s="31" t="s">
        <x:v>2290</x:v>
      </x:c>
      <x:c r="D530" s="32" t="s">
        <x:v>824</x:v>
      </x:c>
      <x:c r="E530" s="32" t="str">
        <x:v>Data Migration Only</x:v>
      </x:c>
      <x:c r="F530" s="33" t="s">
        <x:v>120</x:v>
      </x:c>
      <x:c r="G530" s="34" t="s">
        <x:v>2291</x:v>
      </x:c>
      <x:c r="H530" s="33" t="s">
        <x:v>87</x:v>
      </x:c>
      <x:c r="I530" s="33" t="s">
        <x:v>2292</x:v>
      </x:c>
      <x:c r="J530" s="33" t="s">
        <x:v>80</x:v>
      </x:c>
      <x:c r="K530" s="33" t="s">
        <x:v>62</x:v>
      </x:c>
      <x:c r="L530" s="33" t="s">
        <x:v>73</x:v>
      </x:c>
      <x:c r="M530" s="35">
        <x:v>70</x:v>
      </x:c>
      <x:c r="N530" s="35">
        <x:v>108389895</x:v>
      </x:c>
      <x:c r="O530" s="33" t="s">
        <x:v>73</x:v>
      </x:c>
      <x:c r="P530" s="33" t="s">
        <x:v>98</x:v>
      </x:c>
      <x:c r="Q530" s="33" t="s">
        <x:v>120</x:v>
      </x:c>
      <x:c r="R530" s="33" t="s">
        <x:v>101</x:v>
      </x:c>
      <x:c r="S530" s="31" t="s">
        <x:v>899</x:v>
      </x:c>
      <x:c r="T530" s="31" t="s">
        <x:v>2410</x:v>
      </x:c>
      <x:c r="U530" s="31" t="s">
        <x:v>276</x:v>
      </x:c>
      <x:c r="V530" s="33" t="s">
        <x:v>303</x:v>
      </x:c>
      <x:c r="W530" s="33" t="s">
        <x:v>2377</x:v>
      </x:c>
      <x:c r="X530" s="33" t="s">
        <x:v>240</x:v>
      </x:c>
      <x:c r="Y530" s="36"/>
      <x:c r="Z530" s="36"/>
      <x:c r="AA530" s="33" t="s">
        <x:v>120</x:v>
      </x:c>
      <x:c r="AB530" s="37" t="n">
        <x:f>IFERROR(INDEX(Effort_Model!$J$6:$J$33,MATCH(K530&amp;"|"&amp;L530,Effort_Model!$B$6:$B$33,0)),"")</x:f>
        <x:v>74.4</x:v>
      </x:c>
      <x:c r="AC530" s="38">
        <x:v>510</x:v>
      </x:c>
      <x:c r="AD530" s="37">
        <x:f t="shared" si="8"/>
        <x:v>651</x:v>
      </x:c>
      <x:c r="AE530" s="37" t="n">
        <x:f>IFERROR(ROUND(IFERROR(INDEX(Scoring_Rules!$C$43:$C$44,MATCH(Q530,Scoring_Rules!$B$43:$B$44,0)),0)*Scoring_Rules!$C$6+IFERROR(INDEX(Scoring_Rules!$C$34:$C$40,MATCH(K530,Scoring_Rules!$B$34:$B$40,0)),0)*Scoring_Rules!$C$7+IFERROR(INDEX(Scoring_Rules!$C$16:$C$19,MATCH(P530,Scoring_Rules!$B$16:$B$19,0)),0)*Scoring_Rules!$C$8+IFERROR(INDEX(Scoring_Rules!$C$22:$C$25,MATCH(O530,Scoring_Rules!$B$22:$B$25,0)),0)*Scoring_Rules!$C$9+IFERROR(INDEX(Scoring_Rules!$C$47:$C$50,MATCH(X530,Scoring_Rules!$B$47:$B$50,0)),0)*Scoring_Rules!$C$10+IFERROR(INDEX(Scoring_Rules!$C$28:$C$31,MATCH(R530,Scoring_Rules!$B$28:$B$31,0)),0)*Scoring_Rules!$C$11,1),"")</x:f>
        <x:v>47.8</x:v>
      </x:c>
      <x:c r="AF530" s="35">
        <x:v>3</x:v>
      </x:c>
      <x:c r="AG530" s="33" t="s">
        <x:v>2293</x:v>
      </x:c>
      <x:c r="AH530" s="36">
        <x:v>46397</x:v>
      </x:c>
      <x:c r="AI530" s="33" t="s">
        <x:v>127</x:v>
      </x:c>
      <x:c r="AJ530" s="34"/>
    </x:row>
    <x:row r="531" ht="15" customHeight="1">
      <x:c r="A531" s="31" t="s">
        <x:v>2411</x:v>
      </x:c>
      <x:c r="B531" s="31" t="s">
        <x:v>2412</x:v>
      </x:c>
      <x:c r="C531" s="31" t="s">
        <x:v>2290</x:v>
      </x:c>
      <x:c r="D531" s="32" t="s">
        <x:v>2413</x:v>
      </x:c>
      <x:c r="E531" s="32" t="str">
        <x:v>Data Migration Only</x:v>
      </x:c>
      <x:c r="F531" s="33" t="s">
        <x:v>118</x:v>
      </x:c>
      <x:c r="G531" s="34" t="s">
        <x:v>561</x:v>
      </x:c>
      <x:c r="H531" s="33" t="s">
        <x:v>89</x:v>
      </x:c>
      <x:c r="I531" s="33" t="s">
        <x:v>2292</x:v>
      </x:c>
      <x:c r="J531" s="33" t="s">
        <x:v>80</x:v>
      </x:c>
      <x:c r="K531" s="33" t="s">
        <x:v>60</x:v>
      </x:c>
      <x:c r="L531" s="33" t="s">
        <x:v>75</x:v>
      </x:c>
      <x:c r="M531" s="35">
        <x:v>33</x:v>
      </x:c>
      <x:c r="N531" s="35">
        <x:v>3704777</x:v>
      </x:c>
      <x:c r="O531" s="33" t="s">
        <x:v>73</x:v>
      </x:c>
      <x:c r="P531" s="33" t="s">
        <x:v>73</x:v>
      </x:c>
      <x:c r="Q531" s="33" t="s">
        <x:v>120</x:v>
      </x:c>
      <x:c r="R531" s="33" t="s">
        <x:v>101</x:v>
      </x:c>
      <x:c r="S531" s="31" t="s">
        <x:v>899</x:v>
      </x:c>
      <x:c r="T531" s="31" t="s">
        <x:v>2414</x:v>
      </x:c>
      <x:c r="U531" s="31" t="s">
        <x:v>276</x:v>
      </x:c>
      <x:c r="V531" s="33" t="s">
        <x:v>277</x:v>
      </x:c>
      <x:c r="W531" s="33"/>
      <x:c r="X531" s="33" t="s">
        <x:v>238</x:v>
      </x:c>
      <x:c r="Y531" s="36"/>
      <x:c r="Z531" s="36"/>
      <x:c r="AA531" s="33" t="s">
        <x:v>120</x:v>
      </x:c>
      <x:c r="AB531" s="37" t="n">
        <x:f>IFERROR(INDEX(Effort_Model!$J$6:$J$33,MATCH(K531&amp;"|"&amp;L531,Effort_Model!$B$6:$B$33,0)),"")</x:f>
        <x:v>42.4</x:v>
      </x:c>
      <x:c r="AC531" s="38">
        <x:v>357.4</x:v>
      </x:c>
      <x:c r="AD531" s="37">
        <x:f t="shared" si="8"/>
        <x:v>470.73329999999999</x:v>
      </x:c>
      <x:c r="AE531" s="37" t="n">
        <x:f>IFERROR(ROUND(IFERROR(INDEX(Scoring_Rules!$C$43:$C$44,MATCH(Q531,Scoring_Rules!$B$43:$B$44,0)),0)*Scoring_Rules!$C$6+IFERROR(INDEX(Scoring_Rules!$C$34:$C$40,MATCH(K531,Scoring_Rules!$B$34:$B$40,0)),0)*Scoring_Rules!$C$7+IFERROR(INDEX(Scoring_Rules!$C$16:$C$19,MATCH(P531,Scoring_Rules!$B$16:$B$19,0)),0)*Scoring_Rules!$C$8+IFERROR(INDEX(Scoring_Rules!$C$22:$C$25,MATCH(O531,Scoring_Rules!$B$22:$B$25,0)),0)*Scoring_Rules!$C$9+IFERROR(INDEX(Scoring_Rules!$C$47:$C$50,MATCH(X531,Scoring_Rules!$B$47:$B$50,0)),0)*Scoring_Rules!$C$10+IFERROR(INDEX(Scoring_Rules!$C$28:$C$31,MATCH(R531,Scoring_Rules!$B$28:$B$31,0)),0)*Scoring_Rules!$C$11,1),"")</x:f>
        <x:v>56.3</x:v>
      </x:c>
      <x:c r="AF531" s="35"/>
      <x:c r="AG531" s="33" t="s">
        <x:v>2298</x:v>
      </x:c>
      <x:c r="AH531" s="36">
        <x:v>46334</x:v>
      </x:c>
      <x:c r="AI531" s="33" t="s">
        <x:v>126</x:v>
      </x:c>
      <x:c r="AJ531" s="34" t="s">
        <x:v>445</x:v>
      </x:c>
    </x:row>
    <x:row r="532" ht="23.25" customHeight="1">
      <x:c r="A532" s="31" t="s">
        <x:v>2415</x:v>
      </x:c>
      <x:c r="B532" s="31" t="s">
        <x:v>2416</x:v>
      </x:c>
      <x:c r="C532" s="31" t="s">
        <x:v>2290</x:v>
      </x:c>
      <x:c r="D532" s="32" t="s">
        <x:v>2314</x:v>
      </x:c>
      <x:c r="E532" s="32" t="str">
        <x:v>Functional Migration Only</x:v>
      </x:c>
      <x:c r="F532" s="33" t="s">
        <x:v>118</x:v>
      </x:c>
      <x:c r="G532" s="34" t="s">
        <x:v>2315</x:v>
      </x:c>
      <x:c r="H532" s="33" t="s">
        <x:v>87</x:v>
      </x:c>
      <x:c r="I532" s="33" t="s">
        <x:v>2292</x:v>
      </x:c>
      <x:c r="J532" s="33" t="s">
        <x:v>82</x:v>
      </x:c>
      <x:c r="K532" s="33" t="s">
        <x:v>56</x:v>
      </x:c>
      <x:c r="L532" s="33" t="s">
        <x:v>75</x:v>
      </x:c>
      <x:c r="M532" s="35">
        <x:v>7</x:v>
      </x:c>
      <x:c r="N532" s="35">
        <x:v>117498</x:v>
      </x:c>
      <x:c r="O532" s="33" t="s">
        <x:v>98</x:v>
      </x:c>
      <x:c r="P532" s="33" t="s">
        <x:v>73</x:v>
      </x:c>
      <x:c r="Q532" s="33" t="s">
        <x:v>120</x:v>
      </x:c>
      <x:c r="R532" s="33" t="s">
        <x:v>73</x:v>
      </x:c>
      <x:c r="S532" s="31" t="s">
        <x:v>899</x:v>
      </x:c>
      <x:c r="T532" s="31" t="s">
        <x:v>2407</x:v>
      </x:c>
      <x:c r="U532" s="31" t="s">
        <x:v>276</x:v>
      </x:c>
      <x:c r="V532" s="33" t="s">
        <x:v>379</x:v>
      </x:c>
      <x:c r="W532" s="33" t="s">
        <x:v>2299</x:v>
      </x:c>
      <x:c r="X532" s="33" t="s">
        <x:v>240</x:v>
      </x:c>
      <x:c r="Y532" s="36"/>
      <x:c r="Z532" s="36"/>
      <x:c r="AA532" s="33" t="s">
        <x:v>120</x:v>
      </x:c>
      <x:c r="AB532" s="37" t="n">
        <x:f>IFERROR(INDEX(Effort_Model!$J$6:$J$33,MATCH(K532&amp;"|"&amp;L532,Effort_Model!$B$6:$B$33,0)),"")</x:f>
        <x:v>18.4</x:v>
      </x:c>
      <x:c r="AC532" s="38">
        <x:v>160.6</x:v>
      </x:c>
      <x:c r="AD532" s="37">
        <x:f t="shared" si="8"/>
        <x:v>201.9333</x:v>
      </x:c>
      <x:c r="AE532" s="37" t="n">
        <x:f>IFERROR(ROUND(IFERROR(INDEX(Scoring_Rules!$C$43:$C$44,MATCH(Q532,Scoring_Rules!$B$43:$B$44,0)),0)*Scoring_Rules!$C$6+IFERROR(INDEX(Scoring_Rules!$C$34:$C$40,MATCH(K532,Scoring_Rules!$B$34:$B$40,0)),0)*Scoring_Rules!$C$7+IFERROR(INDEX(Scoring_Rules!$C$16:$C$19,MATCH(P532,Scoring_Rules!$B$16:$B$19,0)),0)*Scoring_Rules!$C$8+IFERROR(INDEX(Scoring_Rules!$C$22:$C$25,MATCH(O532,Scoring_Rules!$B$22:$B$25,0)),0)*Scoring_Rules!$C$9+IFERROR(INDEX(Scoring_Rules!$C$47:$C$50,MATCH(X532,Scoring_Rules!$B$47:$B$50,0)),0)*Scoring_Rules!$C$10+IFERROR(INDEX(Scoring_Rules!$C$28:$C$31,MATCH(R532,Scoring_Rules!$B$28:$B$31,0)),0)*Scoring_Rules!$C$11,1),"")</x:f>
        <x:v>57</x:v>
      </x:c>
      <x:c r="AF532" s="35">
        <x:v>4</x:v>
      </x:c>
      <x:c r="AG532" s="33" t="s">
        <x:v>2302</x:v>
      </x:c>
      <x:c r="AH532" s="36">
        <x:v>46378</x:v>
      </x:c>
      <x:c r="AI532" s="33" t="s">
        <x:v>126</x:v>
      </x:c>
      <x:c r="AJ532" s="34" t="s">
        <x:v>342</x:v>
      </x:c>
    </x:row>
    <x:row r="533" ht="15" customHeight="1">
      <x:c r="A533" s="31" t="s">
        <x:v>2417</x:v>
      </x:c>
      <x:c r="B533" s="31" t="s">
        <x:v>2418</x:v>
      </x:c>
      <x:c r="C533" s="31" t="s">
        <x:v>2290</x:v>
      </x:c>
      <x:c r="D533" s="32" t="s">
        <x:v>1438</x:v>
      </x:c>
      <x:c r="E533" s="32" t="str">
        <x:v>Functional Migration Only</x:v>
      </x:c>
      <x:c r="F533" s="33" t="s">
        <x:v>118</x:v>
      </x:c>
      <x:c r="G533" s="34" t="s">
        <x:v>2301</x:v>
      </x:c>
      <x:c r="H533" s="33" t="s">
        <x:v>87</x:v>
      </x:c>
      <x:c r="I533" s="33" t="s">
        <x:v>2292</x:v>
      </x:c>
      <x:c r="J533" s="33" t="s">
        <x:v>82</x:v>
      </x:c>
      <x:c r="K533" s="33" t="s">
        <x:v>60</x:v>
      </x:c>
      <x:c r="L533" s="33" t="s">
        <x:v>71</x:v>
      </x:c>
      <x:c r="M533" s="35">
        <x:v>42</x:v>
      </x:c>
      <x:c r="N533" s="35">
        <x:v>3361010</x:v>
      </x:c>
      <x:c r="O533" s="33" t="s">
        <x:v>101</x:v>
      </x:c>
      <x:c r="P533" s="33" t="s">
        <x:v>73</x:v>
      </x:c>
      <x:c r="Q533" s="33" t="s">
        <x:v>118</x:v>
      </x:c>
      <x:c r="R533" s="33" t="s">
        <x:v>101</x:v>
      </x:c>
      <x:c r="S533" s="31" t="s">
        <x:v>899</x:v>
      </x:c>
      <x:c r="T533" s="31" t="s">
        <x:v>2410</x:v>
      </x:c>
      <x:c r="U533" s="31" t="s">
        <x:v>276</x:v>
      </x:c>
      <x:c r="V533" s="33" t="s">
        <x:v>444</x:v>
      </x:c>
      <x:c r="W533" s="33" t="s">
        <x:v>2403</x:v>
      </x:c>
      <x:c r="X533" s="33" t="s">
        <x:v>240</x:v>
      </x:c>
      <x:c r="Y533" s="36"/>
      <x:c r="Z533" s="36"/>
      <x:c r="AA533" s="33" t="s">
        <x:v>120</x:v>
      </x:c>
      <x:c r="AB533" s="37" t="n">
        <x:f>IFERROR(INDEX(Effort_Model!$J$6:$J$33,MATCH(K533&amp;"|"&amp;L533,Effort_Model!$B$6:$B$33,0)),"")</x:f>
        <x:v>18.4</x:v>
      </x:c>
      <x:c r="AC533" s="38">
        <x:v>294.8</x:v>
      </x:c>
      <x:c r="AD533" s="37">
        <x:f t="shared" si="8"/>
        <x:v>337.2</x:v>
      </x:c>
      <x:c r="AE533" s="37" t="n">
        <x:f>IFERROR(ROUND(IFERROR(INDEX(Scoring_Rules!$C$43:$C$44,MATCH(Q533,Scoring_Rules!$B$43:$B$44,0)),0)*Scoring_Rules!$C$6+IFERROR(INDEX(Scoring_Rules!$C$34:$C$40,MATCH(K533,Scoring_Rules!$B$34:$B$40,0)),0)*Scoring_Rules!$C$7+IFERROR(INDEX(Scoring_Rules!$C$16:$C$19,MATCH(P533,Scoring_Rules!$B$16:$B$19,0)),0)*Scoring_Rules!$C$8+IFERROR(INDEX(Scoring_Rules!$C$22:$C$25,MATCH(O533,Scoring_Rules!$B$22:$B$25,0)),0)*Scoring_Rules!$C$9+IFERROR(INDEX(Scoring_Rules!$C$47:$C$50,MATCH(X533,Scoring_Rules!$B$47:$B$50,0)),0)*Scoring_Rules!$C$10+IFERROR(INDEX(Scoring_Rules!$C$28:$C$31,MATCH(R533,Scoring_Rules!$B$28:$B$31,0)),0)*Scoring_Rules!$C$11,1),"")</x:f>
        <x:v>65.5</x:v>
      </x:c>
      <x:c r="AF533" s="35">
        <x:v>1</x:v>
      </x:c>
      <x:c r="AG533" s="33" t="s">
        <x:v>2305</x:v>
      </x:c>
      <x:c r="AH533" s="36">
        <x:v>46370</x:v>
      </x:c>
      <x:c r="AI533" s="33" t="s">
        <x:v>125</x:v>
      </x:c>
      <x:c r="AJ533" s="34"/>
    </x:row>
    <x:row r="534" ht="15" customHeight="1">
      <x:c r="A534" s="31" t="s">
        <x:v>2419</x:v>
      </x:c>
      <x:c r="B534" s="31" t="s">
        <x:v>2420</x:v>
      </x:c>
      <x:c r="C534" s="31" t="s">
        <x:v>2290</x:v>
      </x:c>
      <x:c r="D534" s="32" t="s">
        <x:v>1374</x:v>
      </x:c>
      <x:c r="E534" s="32" t="str">
        <x:v>Data Migration Only</x:v>
      </x:c>
      <x:c r="F534" s="33" t="s">
        <x:v>120</x:v>
      </x:c>
      <x:c r="G534" s="34" t="s">
        <x:v>2301</x:v>
      </x:c>
      <x:c r="H534" s="33" t="s">
        <x:v>87</x:v>
      </x:c>
      <x:c r="I534" s="33" t="s">
        <x:v>2292</x:v>
      </x:c>
      <x:c r="J534" s="33" t="s">
        <x:v>80</x:v>
      </x:c>
      <x:c r="K534" s="33" t="s">
        <x:v>56</x:v>
      </x:c>
      <x:c r="L534" s="33" t="s">
        <x:v>71</x:v>
      </x:c>
      <x:c r="M534" s="35">
        <x:v>5</x:v>
      </x:c>
      <x:c r="N534" s="35">
        <x:v>100149</x:v>
      </x:c>
      <x:c r="O534" s="33" t="s">
        <x:v>73</x:v>
      </x:c>
      <x:c r="P534" s="33" t="s">
        <x:v>98</x:v>
      </x:c>
      <x:c r="Q534" s="33" t="s">
        <x:v>120</x:v>
      </x:c>
      <x:c r="R534" s="33" t="s">
        <x:v>73</x:v>
      </x:c>
      <x:c r="S534" s="31" t="s">
        <x:v>899</x:v>
      </x:c>
      <x:c r="T534" s="31" t="s">
        <x:v>2407</x:v>
      </x:c>
      <x:c r="U534" s="31" t="s">
        <x:v>276</x:v>
      </x:c>
      <x:c r="V534" s="33" t="s">
        <x:v>277</x:v>
      </x:c>
      <x:c r="W534" s="33"/>
      <x:c r="X534" s="33" t="s">
        <x:v>238</x:v>
      </x:c>
      <x:c r="Y534" s="36"/>
      <x:c r="Z534" s="36"/>
      <x:c r="AA534" s="33" t="s">
        <x:v>120</x:v>
      </x:c>
      <x:c r="AB534" s="37" t="n">
        <x:f>IFERROR(INDEX(Effort_Model!$J$6:$J$33,MATCH(K534&amp;"|"&amp;L534,Effort_Model!$B$6:$B$33,0)),"")</x:f>
        <x:v>18.4</x:v>
      </x:c>
      <x:c r="AC534" s="38">
        <x:v>64.599999999999994</x:v>
      </x:c>
      <x:c r="AD534" s="37">
        <x:f t="shared" si="8"/>
        <x:v>83</x:v>
      </x:c>
      <x:c r="AE534" s="37" t="n">
        <x:f>IFERROR(ROUND(IFERROR(INDEX(Scoring_Rules!$C$43:$C$44,MATCH(Q534,Scoring_Rules!$B$43:$B$44,0)),0)*Scoring_Rules!$C$6+IFERROR(INDEX(Scoring_Rules!$C$34:$C$40,MATCH(K534,Scoring_Rules!$B$34:$B$40,0)),0)*Scoring_Rules!$C$7+IFERROR(INDEX(Scoring_Rules!$C$16:$C$19,MATCH(P534,Scoring_Rules!$B$16:$B$19,0)),0)*Scoring_Rules!$C$8+IFERROR(INDEX(Scoring_Rules!$C$22:$C$25,MATCH(O534,Scoring_Rules!$B$22:$B$25,0)),0)*Scoring_Rules!$C$9+IFERROR(INDEX(Scoring_Rules!$C$47:$C$50,MATCH(X534,Scoring_Rules!$B$47:$B$50,0)),0)*Scoring_Rules!$C$10+IFERROR(INDEX(Scoring_Rules!$C$28:$C$31,MATCH(R534,Scoring_Rules!$B$28:$B$31,0)),0)*Scoring_Rules!$C$11,1),"")</x:f>
        <x:v>69</x:v>
      </x:c>
      <x:c r="AF534" s="35">
        <x:v>2</x:v>
      </x:c>
      <x:c r="AG534" s="33" t="s">
        <x:v>2293</x:v>
      </x:c>
      <x:c r="AH534" s="36">
        <x:v>46410</x:v>
      </x:c>
      <x:c r="AI534" s="33" t="s">
        <x:v>127</x:v>
      </x:c>
      <x:c r="AJ534" s="34"/>
    </x:row>
    <x:row r="535" ht="15" customHeight="1">
      <x:c r="A535" s="31" t="s">
        <x:v>2421</x:v>
      </x:c>
      <x:c r="B535" s="31" t="s">
        <x:v>2422</x:v>
      </x:c>
      <x:c r="C535" s="31" t="s">
        <x:v>2290</x:v>
      </x:c>
      <x:c r="D535" s="32" t="s">
        <x:v>320</x:v>
      </x:c>
      <x:c r="E535" s="32" t="str">
        <x:v>Functional Migration Only</x:v>
      </x:c>
      <x:c r="F535" s="33" t="s">
        <x:v>118</x:v>
      </x:c>
      <x:c r="G535" s="34" t="s">
        <x:v>2308</x:v>
      </x:c>
      <x:c r="H535" s="33" t="s">
        <x:v>87</x:v>
      </x:c>
      <x:c r="I535" s="33" t="s">
        <x:v>2292</x:v>
      </x:c>
      <x:c r="J535" s="33" t="s">
        <x:v>82</x:v>
      </x:c>
      <x:c r="K535" s="33" t="s">
        <x:v>60</x:v>
      </x:c>
      <x:c r="L535" s="33" t="s">
        <x:v>75</x:v>
      </x:c>
      <x:c r="M535" s="35">
        <x:v>43</x:v>
      </x:c>
      <x:c r="N535" s="35">
        <x:v>3080616</x:v>
      </x:c>
      <x:c r="O535" s="33" t="s">
        <x:v>73</x:v>
      </x:c>
      <x:c r="P535" s="33" t="s">
        <x:v>98</x:v>
      </x:c>
      <x:c r="Q535" s="33" t="s">
        <x:v>120</x:v>
      </x:c>
      <x:c r="R535" s="33" t="s">
        <x:v>101</x:v>
      </x:c>
      <x:c r="S535" s="31" t="s">
        <x:v>899</x:v>
      </x:c>
      <x:c r="T535" s="31" t="s">
        <x:v>2407</x:v>
      </x:c>
      <x:c r="U535" s="31" t="s">
        <x:v>276</x:v>
      </x:c>
      <x:c r="V535" s="33" t="s">
        <x:v>444</x:v>
      </x:c>
      <x:c r="W535" s="33"/>
      <x:c r="X535" s="33" t="s">
        <x:v>238</x:v>
      </x:c>
      <x:c r="Y535" s="36"/>
      <x:c r="Z535" s="36"/>
      <x:c r="AA535" s="33" t="s">
        <x:v>120</x:v>
      </x:c>
      <x:c r="AB535" s="37" t="n">
        <x:f>IFERROR(INDEX(Effort_Model!$J$6:$J$33,MATCH(K535&amp;"|"&amp;L535,Effort_Model!$B$6:$B$33,0)),"")</x:f>
        <x:v>42.4</x:v>
      </x:c>
      <x:c r="AC535" s="38">
        <x:v>579.20000000000005</x:v>
      </x:c>
      <x:c r="AD535" s="37">
        <x:f t="shared" si="8"/>
        <x:v>692.53330000000005</x:v>
      </x:c>
      <x:c r="AE535" s="37" t="n">
        <x:f>IFERROR(ROUND(IFERROR(INDEX(Scoring_Rules!$C$43:$C$44,MATCH(Q535,Scoring_Rules!$B$43:$B$44,0)),0)*Scoring_Rules!$C$6+IFERROR(INDEX(Scoring_Rules!$C$34:$C$40,MATCH(K535,Scoring_Rules!$B$34:$B$40,0)),0)*Scoring_Rules!$C$7+IFERROR(INDEX(Scoring_Rules!$C$16:$C$19,MATCH(P535,Scoring_Rules!$B$16:$B$19,0)),0)*Scoring_Rules!$C$8+IFERROR(INDEX(Scoring_Rules!$C$22:$C$25,MATCH(O535,Scoring_Rules!$B$22:$B$25,0)),0)*Scoring_Rules!$C$9+IFERROR(INDEX(Scoring_Rules!$C$47:$C$50,MATCH(X535,Scoring_Rules!$B$47:$B$50,0)),0)*Scoring_Rules!$C$10+IFERROR(INDEX(Scoring_Rules!$C$28:$C$31,MATCH(R535,Scoring_Rules!$B$28:$B$31,0)),0)*Scoring_Rules!$C$11,1),"")</x:f>
        <x:v>62.3</x:v>
      </x:c>
      <x:c r="AF535" s="35">
        <x:v>4</x:v>
      </x:c>
      <x:c r="AG535" s="33" t="s">
        <x:v>2298</x:v>
      </x:c>
      <x:c r="AH535" s="36">
        <x:v>46358</x:v>
      </x:c>
      <x:c r="AI535" s="33" t="s">
        <x:v>127</x:v>
      </x:c>
      <x:c r="AJ535" s="34"/>
    </x:row>
    <x:row r="536" ht="23.25" customHeight="1">
      <x:c r="A536" s="31" t="s">
        <x:v>2423</x:v>
      </x:c>
      <x:c r="B536" s="31" t="s">
        <x:v>2424</x:v>
      </x:c>
      <x:c r="C536" s="31" t="s">
        <x:v>2290</x:v>
      </x:c>
      <x:c r="D536" s="32" t="s">
        <x:v>2314</x:v>
      </x:c>
      <x:c r="E536" s="32" t="str">
        <x:v>Functional Migration Only</x:v>
      </x:c>
      <x:c r="F536" s="33" t="s">
        <x:v>118</x:v>
      </x:c>
      <x:c r="G536" s="34" t="s">
        <x:v>2315</x:v>
      </x:c>
      <x:c r="H536" s="33" t="s">
        <x:v>87</x:v>
      </x:c>
      <x:c r="I536" s="33" t="s">
        <x:v>2292</x:v>
      </x:c>
      <x:c r="J536" s="33" t="s">
        <x:v>82</x:v>
      </x:c>
      <x:c r="K536" s="33" t="s">
        <x:v>66</x:v>
      </x:c>
      <x:c r="L536" s="33" t="s">
        <x:v>73</x:v>
      </x:c>
      <x:c r="M536" s="35">
        <x:v>174</x:v>
      </x:c>
      <x:c r="N536" s="35">
        <x:v>7912386538</x:v>
      </x:c>
      <x:c r="O536" s="33" t="s">
        <x:v>103</x:v>
      </x:c>
      <x:c r="P536" s="33" t="s">
        <x:v>73</x:v>
      </x:c>
      <x:c r="Q536" s="33" t="s">
        <x:v>120</x:v>
      </x:c>
      <x:c r="R536" s="33" t="s">
        <x:v>73</x:v>
      </x:c>
      <x:c r="S536" s="31" t="s">
        <x:v>899</x:v>
      </x:c>
      <x:c r="T536" s="31" t="s">
        <x:v>2407</x:v>
      </x:c>
      <x:c r="U536" s="31" t="s">
        <x:v>276</x:v>
      </x:c>
      <x:c r="V536" s="33" t="s">
        <x:v>289</x:v>
      </x:c>
      <x:c r="W536" s="33" t="s">
        <x:v>2396</x:v>
      </x:c>
      <x:c r="X536" s="33" t="s">
        <x:v>239</x:v>
      </x:c>
      <x:c r="Y536" s="36"/>
      <x:c r="Z536" s="36"/>
      <x:c r="AA536" s="33" t="s">
        <x:v>120</x:v>
      </x:c>
      <x:c r="AB536" s="37" t="n">
        <x:f>IFERROR(INDEX(Effort_Model!$J$6:$J$33,MATCH(K536&amp;"|"&amp;L536,Effort_Model!$B$6:$B$33,0)),"")</x:f>
        <x:v>138.4</x:v>
      </x:c>
      <x:c r="AC536" s="38">
        <x:v>1750.9</x:v>
      </x:c>
      <x:c r="AD536" s="37">
        <x:f t="shared" si="8"/>
        <x:v>2019.9</x:v>
      </x:c>
      <x:c r="AE536" s="37" t="n">
        <x:f>IFERROR(ROUND(IFERROR(INDEX(Scoring_Rules!$C$43:$C$44,MATCH(Q536,Scoring_Rules!$B$43:$B$44,0)),0)*Scoring_Rules!$C$6+IFERROR(INDEX(Scoring_Rules!$C$34:$C$40,MATCH(K536,Scoring_Rules!$B$34:$B$40,0)),0)*Scoring_Rules!$C$7+IFERROR(INDEX(Scoring_Rules!$C$16:$C$19,MATCH(P536,Scoring_Rules!$B$16:$B$19,0)),0)*Scoring_Rules!$C$8+IFERROR(INDEX(Scoring_Rules!$C$22:$C$25,MATCH(O536,Scoring_Rules!$B$22:$B$25,0)),0)*Scoring_Rules!$C$9+IFERROR(INDEX(Scoring_Rules!$C$47:$C$50,MATCH(X536,Scoring_Rules!$B$47:$B$50,0)),0)*Scoring_Rules!$C$10+IFERROR(INDEX(Scoring_Rules!$C$28:$C$31,MATCH(R536,Scoring_Rules!$B$28:$B$31,0)),0)*Scoring_Rules!$C$11,1),"")</x:f>
        <x:v>32</x:v>
      </x:c>
      <x:c r="AF536" s="35">
        <x:v>6</x:v>
      </x:c>
      <x:c r="AG536" s="33" t="s">
        <x:v>2302</x:v>
      </x:c>
      <x:c r="AH536" s="36">
        <x:v>46303</x:v>
      </x:c>
      <x:c r="AI536" s="33" t="s">
        <x:v>127</x:v>
      </x:c>
      <x:c r="AJ536" s="34" t="s">
        <x:v>312</x:v>
      </x:c>
    </x:row>
    <x:row r="537" ht="15" customHeight="1">
      <x:c r="A537" s="31" t="s">
        <x:v>2425</x:v>
      </x:c>
      <x:c r="B537" s="31" t="s">
        <x:v>2426</x:v>
      </x:c>
      <x:c r="C537" s="31" t="s">
        <x:v>2290</x:v>
      </x:c>
      <x:c r="D537" s="32" t="s">
        <x:v>320</x:v>
      </x:c>
      <x:c r="E537" s="32" t="str">
        <x:v>Functional Migration Only</x:v>
      </x:c>
      <x:c r="F537" s="33" t="s">
        <x:v>118</x:v>
      </x:c>
      <x:c r="G537" s="34" t="s">
        <x:v>2308</x:v>
      </x:c>
      <x:c r="H537" s="33" t="s">
        <x:v>87</x:v>
      </x:c>
      <x:c r="I537" s="33" t="s">
        <x:v>2292</x:v>
      </x:c>
      <x:c r="J537" s="33" t="s">
        <x:v>82</x:v>
      </x:c>
      <x:c r="K537" s="33" t="s">
        <x:v>60</x:v>
      </x:c>
      <x:c r="L537" s="33" t="s">
        <x:v>73</x:v>
      </x:c>
      <x:c r="M537" s="35">
        <x:v>33</x:v>
      </x:c>
      <x:c r="N537" s="35">
        <x:v>5571274</x:v>
      </x:c>
      <x:c r="O537" s="33" t="s">
        <x:v>98</x:v>
      </x:c>
      <x:c r="P537" s="33" t="s">
        <x:v>98</x:v>
      </x:c>
      <x:c r="Q537" s="33" t="s">
        <x:v>120</x:v>
      </x:c>
      <x:c r="R537" s="33" t="s">
        <x:v>115</x:v>
      </x:c>
      <x:c r="S537" s="31" t="s">
        <x:v>899</x:v>
      </x:c>
      <x:c r="T537" s="31" t="s">
        <x:v>2407</x:v>
      </x:c>
      <x:c r="U537" s="31" t="s">
        <x:v>276</x:v>
      </x:c>
      <x:c r="V537" s="33" t="s">
        <x:v>379</x:v>
      </x:c>
      <x:c r="W537" s="33" t="s">
        <x:v>2417</x:v>
      </x:c>
      <x:c r="X537" s="33" t="s">
        <x:v>239</x:v>
      </x:c>
      <x:c r="Y537" s="36"/>
      <x:c r="Z537" s="36"/>
      <x:c r="AA537" s="33" t="s">
        <x:v>120</x:v>
      </x:c>
      <x:c r="AB537" s="37" t="n">
        <x:f>IFERROR(INDEX(Effort_Model!$J$6:$J$33,MATCH(K537&amp;"|"&amp;L537,Effort_Model!$B$6:$B$33,0)),"")</x:f>
        <x:v>42.4</x:v>
      </x:c>
      <x:c r="AC537" s="38">
        <x:v>367</x:v>
      </x:c>
      <x:c r="AD537" s="37">
        <x:f t="shared" si="8"/>
        <x:v>444</x:v>
      </x:c>
      <x:c r="AE537" s="37" t="n">
        <x:f>IFERROR(ROUND(IFERROR(INDEX(Scoring_Rules!$C$43:$C$44,MATCH(Q537,Scoring_Rules!$B$43:$B$44,0)),0)*Scoring_Rules!$C$6+IFERROR(INDEX(Scoring_Rules!$C$34:$C$40,MATCH(K537,Scoring_Rules!$B$34:$B$40,0)),0)*Scoring_Rules!$C$7+IFERROR(INDEX(Scoring_Rules!$C$16:$C$19,MATCH(P537,Scoring_Rules!$B$16:$B$19,0)),0)*Scoring_Rules!$C$8+IFERROR(INDEX(Scoring_Rules!$C$22:$C$25,MATCH(O537,Scoring_Rules!$B$22:$B$25,0)),0)*Scoring_Rules!$C$9+IFERROR(INDEX(Scoring_Rules!$C$47:$C$50,MATCH(X537,Scoring_Rules!$B$47:$B$50,0)),0)*Scoring_Rules!$C$10+IFERROR(INDEX(Scoring_Rules!$C$28:$C$31,MATCH(R537,Scoring_Rules!$B$28:$B$31,0)),0)*Scoring_Rules!$C$11,1),"")</x:f>
        <x:v>60.5</x:v>
      </x:c>
      <x:c r="AF537" s="35">
        <x:v>2</x:v>
      </x:c>
      <x:c r="AG537" s="33" t="s">
        <x:v>2305</x:v>
      </x:c>
      <x:c r="AH537" s="36">
        <x:v>46352</x:v>
      </x:c>
      <x:c r="AI537" s="33" t="s">
        <x:v>127</x:v>
      </x:c>
      <x:c r="AJ537" s="34" t="s">
        <x:v>342</x:v>
      </x:c>
    </x:row>
    <x:row r="538" ht="23.25" customHeight="1">
      <x:c r="A538" s="31" t="s">
        <x:v>2427</x:v>
      </x:c>
      <x:c r="B538" s="31" t="s">
        <x:v>2428</x:v>
      </x:c>
      <x:c r="C538" s="31" t="s">
        <x:v>2290</x:v>
      </x:c>
      <x:c r="D538" s="32" t="s">
        <x:v>2314</x:v>
      </x:c>
      <x:c r="E538" s="32" t="str">
        <x:v>Functional Migration Only</x:v>
      </x:c>
      <x:c r="F538" s="33" t="s">
        <x:v>120</x:v>
      </x:c>
      <x:c r="G538" s="34" t="s">
        <x:v>2291</x:v>
      </x:c>
      <x:c r="H538" s="33" t="s">
        <x:v>87</x:v>
      </x:c>
      <x:c r="I538" s="33" t="s">
        <x:v>2292</x:v>
      </x:c>
      <x:c r="J538" s="33" t="s">
        <x:v>82</x:v>
      </x:c>
      <x:c r="K538" s="33" t="s">
        <x:v>62</x:v>
      </x:c>
      <x:c r="L538" s="33" t="s">
        <x:v>71</x:v>
      </x:c>
      <x:c r="M538" s="35">
        <x:v>69</x:v>
      </x:c>
      <x:c r="N538" s="35">
        <x:v>90653428</x:v>
      </x:c>
      <x:c r="O538" s="33" t="s">
        <x:v>101</x:v>
      </x:c>
      <x:c r="P538" s="33" t="s">
        <x:v>73</x:v>
      </x:c>
      <x:c r="Q538" s="33" t="s">
        <x:v>120</x:v>
      </x:c>
      <x:c r="R538" s="33" t="s">
        <x:v>101</x:v>
      </x:c>
      <x:c r="S538" s="31" t="s">
        <x:v>899</x:v>
      </x:c>
      <x:c r="T538" s="31" t="s">
        <x:v>2429</x:v>
      </x:c>
      <x:c r="U538" s="31" t="s">
        <x:v>276</x:v>
      </x:c>
      <x:c r="V538" s="33" t="s">
        <x:v>303</x:v>
      </x:c>
      <x:c r="W538" s="33"/>
      <x:c r="X538" s="33" t="s">
        <x:v>238</x:v>
      </x:c>
      <x:c r="Y538" s="36"/>
      <x:c r="Z538" s="36"/>
      <x:c r="AA538" s="33" t="s">
        <x:v>120</x:v>
      </x:c>
      <x:c r="AB538" s="37" t="n">
        <x:f>IFERROR(INDEX(Effort_Model!$J$6:$J$33,MATCH(K538&amp;"|"&amp;L538,Effort_Model!$B$6:$B$33,0)),"")</x:f>
        <x:v>18.4</x:v>
      </x:c>
      <x:c r="AC538" s="38">
        <x:v>590.79999999999995</x:v>
      </x:c>
      <x:c r="AD538" s="37">
        <x:f t="shared" si="8"/>
        <x:v>665.19999999999993</x:v>
      </x:c>
      <x:c r="AE538" s="37" t="n">
        <x:f>IFERROR(ROUND(IFERROR(INDEX(Scoring_Rules!$C$43:$C$44,MATCH(Q538,Scoring_Rules!$B$43:$B$44,0)),0)*Scoring_Rules!$C$6+IFERROR(INDEX(Scoring_Rules!$C$34:$C$40,MATCH(K538,Scoring_Rules!$B$34:$B$40,0)),0)*Scoring_Rules!$C$7+IFERROR(INDEX(Scoring_Rules!$C$16:$C$19,MATCH(P538,Scoring_Rules!$B$16:$B$19,0)),0)*Scoring_Rules!$C$8+IFERROR(INDEX(Scoring_Rules!$C$22:$C$25,MATCH(O538,Scoring_Rules!$B$22:$B$25,0)),0)*Scoring_Rules!$C$9+IFERROR(INDEX(Scoring_Rules!$C$47:$C$50,MATCH(X538,Scoring_Rules!$B$47:$B$50,0)),0)*Scoring_Rules!$C$10+IFERROR(INDEX(Scoring_Rules!$C$28:$C$31,MATCH(R538,Scoring_Rules!$B$28:$B$31,0)),0)*Scoring_Rules!$C$11,1),"")</x:f>
        <x:v>47</x:v>
      </x:c>
      <x:c r="AF538" s="35">
        <x:v>3</x:v>
      </x:c>
      <x:c r="AG538" s="33" t="s">
        <x:v>2293</x:v>
      </x:c>
      <x:c r="AH538" s="36">
        <x:v>46310</x:v>
      </x:c>
      <x:c r="AI538" s="33" t="s">
        <x:v>124</x:v>
      </x:c>
      <x:c r="AJ538" s="34" t="s">
        <x:v>354</x:v>
      </x:c>
    </x:row>
    <x:row r="539" ht="23.25" customHeight="1">
      <x:c r="A539" s="31" t="s">
        <x:v>2430</x:v>
      </x:c>
      <x:c r="B539" s="31" t="s">
        <x:v>2431</x:v>
      </x:c>
      <x:c r="C539" s="31" t="s">
        <x:v>2290</x:v>
      </x:c>
      <x:c r="D539" s="32" t="s">
        <x:v>754</x:v>
      </x:c>
      <x:c r="E539" s="32" t="str">
        <x:v>Data Migration Only</x:v>
      </x:c>
      <x:c r="F539" s="33" t="s">
        <x:v>118</x:v>
      </x:c>
      <x:c r="G539" s="34" t="s">
        <x:v>2308</x:v>
      </x:c>
      <x:c r="H539" s="33" t="s">
        <x:v>87</x:v>
      </x:c>
      <x:c r="I539" s="33" t="s">
        <x:v>2292</x:v>
      </x:c>
      <x:c r="J539" s="33" t="s">
        <x:v>80</x:v>
      </x:c>
      <x:c r="K539" s="33" t="s">
        <x:v>62</x:v>
      </x:c>
      <x:c r="L539" s="33" t="s">
        <x:v>73</x:v>
      </x:c>
      <x:c r="M539" s="35">
        <x:v>74</x:v>
      </x:c>
      <x:c r="N539" s="35">
        <x:v>51362452</x:v>
      </x:c>
      <x:c r="O539" s="33" t="s">
        <x:v>98</x:v>
      </x:c>
      <x:c r="P539" s="33" t="s">
        <x:v>101</x:v>
      </x:c>
      <x:c r="Q539" s="33" t="s">
        <x:v>120</x:v>
      </x:c>
      <x:c r="R539" s="33" t="s">
        <x:v>73</x:v>
      </x:c>
      <x:c r="S539" s="31" t="s">
        <x:v>2432</x:v>
      </x:c>
      <x:c r="T539" s="31" t="s">
        <x:v>2433</x:v>
      </x:c>
      <x:c r="U539" s="31" t="s">
        <x:v>276</x:v>
      </x:c>
      <x:c r="V539" s="33" t="s">
        <x:v>365</x:v>
      </x:c>
      <x:c r="W539" s="33"/>
      <x:c r="X539" s="33" t="s">
        <x:v>238</x:v>
      </x:c>
      <x:c r="Y539" s="36"/>
      <x:c r="Z539" s="36">
        <x:v>46996</x:v>
      </x:c>
      <x:c r="AA539" s="33" t="s">
        <x:v>120</x:v>
      </x:c>
      <x:c r="AB539" s="37" t="n">
        <x:f>IFERROR(INDEX(Effort_Model!$J$6:$J$33,MATCH(K539&amp;"|"&amp;L539,Effort_Model!$B$6:$B$33,0)),"")</x:f>
        <x:v>74.4</x:v>
      </x:c>
      <x:c r="AC539" s="38">
        <x:v>447.9</x:v>
      </x:c>
      <x:c r="AD539" s="37">
        <x:f t="shared" si="8"/>
        <x:v>588.9</x:v>
      </x:c>
      <x:c r="AE539" s="37" t="n">
        <x:f>IFERROR(ROUND(IFERROR(INDEX(Scoring_Rules!$C$43:$C$44,MATCH(Q539,Scoring_Rules!$B$43:$B$44,0)),0)*Scoring_Rules!$C$6+IFERROR(INDEX(Scoring_Rules!$C$34:$C$40,MATCH(K539,Scoring_Rules!$B$34:$B$40,0)),0)*Scoring_Rules!$C$7+IFERROR(INDEX(Scoring_Rules!$C$16:$C$19,MATCH(P539,Scoring_Rules!$B$16:$B$19,0)),0)*Scoring_Rules!$C$8+IFERROR(INDEX(Scoring_Rules!$C$22:$C$25,MATCH(O539,Scoring_Rules!$B$22:$B$25,0)),0)*Scoring_Rules!$C$9+IFERROR(INDEX(Scoring_Rules!$C$47:$C$50,MATCH(X539,Scoring_Rules!$B$47:$B$50,0)),0)*Scoring_Rules!$C$10+IFERROR(INDEX(Scoring_Rules!$C$28:$C$31,MATCH(R539,Scoring_Rules!$B$28:$B$31,0)),0)*Scoring_Rules!$C$11,1),"")</x:f>
        <x:v>51.5</x:v>
      </x:c>
      <x:c r="AF539" s="35">
        <x:v>4</x:v>
      </x:c>
      <x:c r="AG539" s="33" t="s">
        <x:v>2298</x:v>
      </x:c>
      <x:c r="AH539" s="36">
        <x:v>46355</x:v>
      </x:c>
      <x:c r="AI539" s="33" t="s">
        <x:v>128</x:v>
      </x:c>
      <x:c r="AJ539" s="34" t="s">
        <x:v>312</x:v>
      </x:c>
    </x:row>
    <x:row r="540" ht="15" customHeight="1">
      <x:c r="A540" s="31" t="s">
        <x:v>2434</x:v>
      </x:c>
      <x:c r="B540" s="31" t="s">
        <x:v>2435</x:v>
      </x:c>
      <x:c r="C540" s="31" t="s">
        <x:v>2290</x:v>
      </x:c>
      <x:c r="D540" s="32" t="s">
        <x:v>1374</x:v>
      </x:c>
      <x:c r="E540" s="32" t="str">
        <x:v>Data Migration Only</x:v>
      </x:c>
      <x:c r="F540" s="33" t="s">
        <x:v>120</x:v>
      </x:c>
      <x:c r="G540" s="34" t="s">
        <x:v>2291</x:v>
      </x:c>
      <x:c r="H540" s="33" t="s">
        <x:v>87</x:v>
      </x:c>
      <x:c r="I540" s="33" t="s">
        <x:v>2292</x:v>
      </x:c>
      <x:c r="J540" s="33" t="s">
        <x:v>80</x:v>
      </x:c>
      <x:c r="K540" s="33" t="s">
        <x:v>60</x:v>
      </x:c>
      <x:c r="L540" s="33" t="s">
        <x:v>73</x:v>
      </x:c>
      <x:c r="M540" s="35">
        <x:v>41</x:v>
      </x:c>
      <x:c r="N540" s="35">
        <x:v>5255241</x:v>
      </x:c>
      <x:c r="O540" s="33" t="s">
        <x:v>103</x:v>
      </x:c>
      <x:c r="P540" s="33" t="s">
        <x:v>101</x:v>
      </x:c>
      <x:c r="Q540" s="33" t="s">
        <x:v>120</x:v>
      </x:c>
      <x:c r="R540" s="33" t="s">
        <x:v>101</x:v>
      </x:c>
      <x:c r="S540" s="31" t="s">
        <x:v>2436</x:v>
      </x:c>
      <x:c r="T540" s="31" t="s">
        <x:v>2437</x:v>
      </x:c>
      <x:c r="U540" s="31" t="s">
        <x:v>276</x:v>
      </x:c>
      <x:c r="V540" s="33" t="s">
        <x:v>444</x:v>
      </x:c>
      <x:c r="W540" s="33"/>
      <x:c r="X540" s="33" t="s">
        <x:v>238</x:v>
      </x:c>
      <x:c r="Y540" s="36"/>
      <x:c r="Z540" s="36"/>
      <x:c r="AA540" s="33" t="s">
        <x:v>120</x:v>
      </x:c>
      <x:c r="AB540" s="37" t="n">
        <x:f>IFERROR(INDEX(Effort_Model!$J$6:$J$33,MATCH(K540&amp;"|"&amp;L540,Effort_Model!$B$6:$B$33,0)),"")</x:f>
        <x:v>42.4</x:v>
      </x:c>
      <x:c r="AC540" s="38">
        <x:v>271.7</x:v>
      </x:c>
      <x:c r="AD540" s="37">
        <x:f t="shared" si="8"/>
        <x:v>348.7</x:v>
      </x:c>
      <x:c r="AE540" s="37" t="n">
        <x:f>IFERROR(ROUND(IFERROR(INDEX(Scoring_Rules!$C$43:$C$44,MATCH(Q540,Scoring_Rules!$B$43:$B$44,0)),0)*Scoring_Rules!$C$6+IFERROR(INDEX(Scoring_Rules!$C$34:$C$40,MATCH(K540,Scoring_Rules!$B$34:$B$40,0)),0)*Scoring_Rules!$C$7+IFERROR(INDEX(Scoring_Rules!$C$16:$C$19,MATCH(P540,Scoring_Rules!$B$16:$B$19,0)),0)*Scoring_Rules!$C$8+IFERROR(INDEX(Scoring_Rules!$C$22:$C$25,MATCH(O540,Scoring_Rules!$B$22:$B$25,0)),0)*Scoring_Rules!$C$9+IFERROR(INDEX(Scoring_Rules!$C$47:$C$50,MATCH(X540,Scoring_Rules!$B$47:$B$50,0)),0)*Scoring_Rules!$C$10+IFERROR(INDEX(Scoring_Rules!$C$28:$C$31,MATCH(R540,Scoring_Rules!$B$28:$B$31,0)),0)*Scoring_Rules!$C$11,1),"")</x:f>
        <x:v>38.8</x:v>
      </x:c>
      <x:c r="AF540" s="35">
        <x:v>5</x:v>
      </x:c>
      <x:c r="AG540" s="33" t="s">
        <x:v>2302</x:v>
      </x:c>
      <x:c r="AH540" s="36">
        <x:v>46317</x:v>
      </x:c>
      <x:c r="AI540" s="33" t="s">
        <x:v>127</x:v>
      </x:c>
      <x:c r="AJ540" s="34"/>
    </x:row>
    <x:row r="541" ht="15" customHeight="1">
      <x:c r="A541" s="31" t="s">
        <x:v>2438</x:v>
      </x:c>
      <x:c r="B541" s="31" t="s">
        <x:v>2439</x:v>
      </x:c>
      <x:c r="C541" s="31" t="s">
        <x:v>2290</x:v>
      </x:c>
      <x:c r="D541" s="32" t="s">
        <x:v>1374</x:v>
      </x:c>
      <x:c r="E541" s="32" t="str">
        <x:v>Data Migration Only</x:v>
      </x:c>
      <x:c r="F541" s="33" t="s">
        <x:v>118</x:v>
      </x:c>
      <x:c r="G541" s="34" t="s">
        <x:v>629</x:v>
      </x:c>
      <x:c r="H541" s="33" t="s">
        <x:v>89</x:v>
      </x:c>
      <x:c r="I541" s="33" t="s">
        <x:v>2292</x:v>
      </x:c>
      <x:c r="J541" s="33" t="s">
        <x:v>80</x:v>
      </x:c>
      <x:c r="K541" s="33" t="s">
        <x:v>56</x:v>
      </x:c>
      <x:c r="L541" s="33" t="s">
        <x:v>73</x:v>
      </x:c>
      <x:c r="M541" s="35">
        <x:v>6</x:v>
      </x:c>
      <x:c r="N541" s="35">
        <x:v>97049</x:v>
      </x:c>
      <x:c r="O541" s="33" t="s">
        <x:v>98</x:v>
      </x:c>
      <x:c r="P541" s="33" t="s">
        <x:v>73</x:v>
      </x:c>
      <x:c r="Q541" s="33" t="s">
        <x:v>120</x:v>
      </x:c>
      <x:c r="R541" s="33" t="s">
        <x:v>98</x:v>
      </x:c>
      <x:c r="S541" s="31" t="s">
        <x:v>1788</x:v>
      </x:c>
      <x:c r="T541" s="31" t="s">
        <x:v>2440</x:v>
      </x:c>
      <x:c r="U541" s="31" t="s">
        <x:v>477</x:v>
      </x:c>
      <x:c r="V541" s="33" t="s">
        <x:v>277</x:v>
      </x:c>
      <x:c r="W541" s="33"/>
      <x:c r="X541" s="33" t="s">
        <x:v>238</x:v>
      </x:c>
      <x:c r="Y541" s="36"/>
      <x:c r="Z541" s="36"/>
      <x:c r="AA541" s="33" t="s">
        <x:v>120</x:v>
      </x:c>
      <x:c r="AB541" s="37" t="n">
        <x:f>IFERROR(INDEX(Effort_Model!$J$6:$J$33,MATCH(K541&amp;"|"&amp;L541,Effort_Model!$B$6:$B$33,0)),"")</x:f>
        <x:v>18.4</x:v>
      </x:c>
      <x:c r="AC541" s="38">
        <x:v>72.599999999999994</x:v>
      </x:c>
      <x:c r="AD541" s="37">
        <x:f t="shared" si="8"/>
        <x:v>101.6</x:v>
      </x:c>
      <x:c r="AE541" s="37" t="n">
        <x:f>IFERROR(ROUND(IFERROR(INDEX(Scoring_Rules!$C$43:$C$44,MATCH(Q541,Scoring_Rules!$B$43:$B$44,0)),0)*Scoring_Rules!$C$6+IFERROR(INDEX(Scoring_Rules!$C$34:$C$40,MATCH(K541,Scoring_Rules!$B$34:$B$40,0)),0)*Scoring_Rules!$C$7+IFERROR(INDEX(Scoring_Rules!$C$16:$C$19,MATCH(P541,Scoring_Rules!$B$16:$B$19,0)),0)*Scoring_Rules!$C$8+IFERROR(INDEX(Scoring_Rules!$C$22:$C$25,MATCH(O541,Scoring_Rules!$B$22:$B$25,0)),0)*Scoring_Rules!$C$9+IFERROR(INDEX(Scoring_Rules!$C$47:$C$50,MATCH(X541,Scoring_Rules!$B$47:$B$50,0)),0)*Scoring_Rules!$C$10+IFERROR(INDEX(Scoring_Rules!$C$28:$C$31,MATCH(R541,Scoring_Rules!$B$28:$B$31,0)),0)*Scoring_Rules!$C$11,1),"")</x:f>
        <x:v>69</x:v>
      </x:c>
      <x:c r="AF541" s="35"/>
      <x:c r="AG541" s="33" t="s">
        <x:v>2305</x:v>
      </x:c>
      <x:c r="AH541" s="36">
        <x:v>46328</x:v>
      </x:c>
      <x:c r="AI541" s="33" t="s">
        <x:v>127</x:v>
      </x:c>
      <x:c r="AJ541" s="34"/>
    </x:row>
    <x:row r="542" ht="15" customHeight="1">
      <x:c r="A542" s="31" t="s">
        <x:v>2441</x:v>
      </x:c>
      <x:c r="B542" s="31" t="s">
        <x:v>2442</x:v>
      </x:c>
      <x:c r="C542" s="31" t="s">
        <x:v>2290</x:v>
      </x:c>
      <x:c r="D542" s="32" t="s">
        <x:v>320</x:v>
      </x:c>
      <x:c r="E542" s="32" t="str">
        <x:v>Functional Migration Only</x:v>
      </x:c>
      <x:c r="F542" s="33" t="s">
        <x:v>118</x:v>
      </x:c>
      <x:c r="G542" s="34" t="s">
        <x:v>2308</x:v>
      </x:c>
      <x:c r="H542" s="33" t="s">
        <x:v>87</x:v>
      </x:c>
      <x:c r="I542" s="33" t="s">
        <x:v>2292</x:v>
      </x:c>
      <x:c r="J542" s="33" t="s">
        <x:v>82</x:v>
      </x:c>
      <x:c r="K542" s="33" t="s">
        <x:v>64</x:v>
      </x:c>
      <x:c r="L542" s="33" t="s">
        <x:v>73</x:v>
      </x:c>
      <x:c r="M542" s="35">
        <x:v>129</x:v>
      </x:c>
      <x:c r="N542" s="35">
        <x:v>1084468385</x:v>
      </x:c>
      <x:c r="O542" s="33" t="s">
        <x:v>101</x:v>
      </x:c>
      <x:c r="P542" s="33" t="s">
        <x:v>98</x:v>
      </x:c>
      <x:c r="Q542" s="33" t="s">
        <x:v>120</x:v>
      </x:c>
      <x:c r="R542" s="33" t="s">
        <x:v>73</x:v>
      </x:c>
      <x:c r="S542" s="31" t="s">
        <x:v>800</x:v>
      </x:c>
      <x:c r="T542" s="31" t="s">
        <x:v>2443</x:v>
      </x:c>
      <x:c r="U542" s="31" t="s">
        <x:v>276</x:v>
      </x:c>
      <x:c r="V542" s="33" t="s">
        <x:v>329</x:v>
      </x:c>
      <x:c r="W542" s="33" t="s">
        <x:v>2434</x:v>
      </x:c>
      <x:c r="X542" s="33" t="s">
        <x:v>240</x:v>
      </x:c>
      <x:c r="Y542" s="36"/>
      <x:c r="Z542" s="36">
        <x:v>47102</x:v>
      </x:c>
      <x:c r="AA542" s="33" t="s">
        <x:v>120</x:v>
      </x:c>
      <x:c r="AB542" s="37" t="n">
        <x:f>IFERROR(INDEX(Effort_Model!$J$6:$J$33,MATCH(K542&amp;"|"&amp;L542,Effort_Model!$B$6:$B$33,0)),"")</x:f>
        <x:v>106.4</x:v>
      </x:c>
      <x:c r="AC542" s="38">
        <x:v>1234.9000000000001</x:v>
      </x:c>
      <x:c r="AD542" s="37">
        <x:f t="shared" si="8"/>
        <x:v>1439.9</x:v>
      </x:c>
      <x:c r="AE542" s="37" t="n">
        <x:f>IFERROR(ROUND(IFERROR(INDEX(Scoring_Rules!$C$43:$C$44,MATCH(Q542,Scoring_Rules!$B$43:$B$44,0)),0)*Scoring_Rules!$C$6+IFERROR(INDEX(Scoring_Rules!$C$34:$C$40,MATCH(K542,Scoring_Rules!$B$34:$B$40,0)),0)*Scoring_Rules!$C$7+IFERROR(INDEX(Scoring_Rules!$C$16:$C$19,MATCH(P542,Scoring_Rules!$B$16:$B$19,0)),0)*Scoring_Rules!$C$8+IFERROR(INDEX(Scoring_Rules!$C$22:$C$25,MATCH(O542,Scoring_Rules!$B$22:$B$25,0)),0)*Scoring_Rules!$C$9+IFERROR(INDEX(Scoring_Rules!$C$47:$C$50,MATCH(X542,Scoring_Rules!$B$47:$B$50,0)),0)*Scoring_Rules!$C$10+IFERROR(INDEX(Scoring_Rules!$C$28:$C$31,MATCH(R542,Scoring_Rules!$B$28:$B$31,0)),0)*Scoring_Rules!$C$11,1),"")</x:f>
        <x:v>40.3</x:v>
      </x:c>
      <x:c r="AF542" s="35">
        <x:v>4</x:v>
      </x:c>
      <x:c r="AG542" s="33" t="s">
        <x:v>2293</x:v>
      </x:c>
      <x:c r="AH542" s="36">
        <x:v>46342</x:v>
      </x:c>
      <x:c r="AI542" s="33" t="s">
        <x:v>126</x:v>
      </x:c>
      <x:c r="AJ542" s="34"/>
    </x:row>
    <x:row r="543" ht="15" customHeight="1">
      <x:c r="A543" s="31" t="s">
        <x:v>2444</x:v>
      </x:c>
      <x:c r="B543" s="31" t="s">
        <x:v>2445</x:v>
      </x:c>
      <x:c r="C543" s="31" t="s">
        <x:v>2290</x:v>
      </x:c>
      <x:c r="D543" s="32" t="s">
        <x:v>1374</x:v>
      </x:c>
      <x:c r="E543" s="32" t="str">
        <x:v>Data Migration Only</x:v>
      </x:c>
      <x:c r="F543" s="33" t="s">
        <x:v>118</x:v>
      </x:c>
      <x:c r="G543" s="34" t="s">
        <x:v>2301</x:v>
      </x:c>
      <x:c r="H543" s="33" t="s">
        <x:v>87</x:v>
      </x:c>
      <x:c r="I543" s="33" t="s">
        <x:v>2292</x:v>
      </x:c>
      <x:c r="J543" s="33" t="s">
        <x:v>80</x:v>
      </x:c>
      <x:c r="K543" s="33" t="s">
        <x:v>66</x:v>
      </x:c>
      <x:c r="L543" s="33" t="s">
        <x:v>75</x:v>
      </x:c>
      <x:c r="M543" s="35">
        <x:v>189</x:v>
      </x:c>
      <x:c r="N543" s="35">
        <x:v>11684969135</x:v>
      </x:c>
      <x:c r="O543" s="33" t="s">
        <x:v>73</x:v>
      </x:c>
      <x:c r="P543" s="33" t="s">
        <x:v>109</x:v>
      </x:c>
      <x:c r="Q543" s="33" t="s">
        <x:v>120</x:v>
      </x:c>
      <x:c r="R543" s="33" t="s">
        <x:v>101</x:v>
      </x:c>
      <x:c r="S543" s="31" t="s">
        <x:v>800</x:v>
      </x:c>
      <x:c r="T543" s="31" t="s">
        <x:v>2443</x:v>
      </x:c>
      <x:c r="U543" s="31" t="s">
        <x:v>276</x:v>
      </x:c>
      <x:c r="V543" s="33" t="s">
        <x:v>451</x:v>
      </x:c>
      <x:c r="W543" s="33" t="s">
        <x:v>2288</x:v>
      </x:c>
      <x:c r="X543" s="33" t="s">
        <x:v>239</x:v>
      </x:c>
      <x:c r="Y543" s="36">
        <x:v>46557</x:v>
      </x:c>
      <x:c r="Z543" s="36"/>
      <x:c r="AA543" s="33" t="s">
        <x:v>120</x:v>
      </x:c>
      <x:c r="AB543" s="37" t="n">
        <x:f>IFERROR(INDEX(Effort_Model!$J$6:$J$33,MATCH(K543&amp;"|"&amp;L543,Effort_Model!$B$6:$B$33,0)),"")</x:f>
        <x:v>138.4</x:v>
      </x:c>
      <x:c r="AC543" s="38">
        <x:v>1449.6</x:v>
      </x:c>
      <x:c r="AD543" s="37">
        <x:f t="shared" si="8"/>
        <x:v>1850.9332999999999</x:v>
      </x:c>
      <x:c r="AE543" s="37" t="n">
        <x:f>IFERROR(ROUND(IFERROR(INDEX(Scoring_Rules!$C$43:$C$44,MATCH(Q543,Scoring_Rules!$B$43:$B$44,0)),0)*Scoring_Rules!$C$6+IFERROR(INDEX(Scoring_Rules!$C$34:$C$40,MATCH(K543,Scoring_Rules!$B$34:$B$40,0)),0)*Scoring_Rules!$C$7+IFERROR(INDEX(Scoring_Rules!$C$16:$C$19,MATCH(P543,Scoring_Rules!$B$16:$B$19,0)),0)*Scoring_Rules!$C$8+IFERROR(INDEX(Scoring_Rules!$C$22:$C$25,MATCH(O543,Scoring_Rules!$B$22:$B$25,0)),0)*Scoring_Rules!$C$9+IFERROR(INDEX(Scoring_Rules!$C$47:$C$50,MATCH(X543,Scoring_Rules!$B$47:$B$50,0)),0)*Scoring_Rules!$C$10+IFERROR(INDEX(Scoring_Rules!$C$28:$C$31,MATCH(R543,Scoring_Rules!$B$28:$B$31,0)),0)*Scoring_Rules!$C$11,1),"")</x:f>
        <x:v>26.8</x:v>
      </x:c>
      <x:c r="AF543" s="35">
        <x:v>8</x:v>
      </x:c>
      <x:c r="AG543" s="33" t="s">
        <x:v>2298</x:v>
      </x:c>
      <x:c r="AH543" s="36">
        <x:v>46338</x:v>
      </x:c>
      <x:c r="AI543" s="33" t="s">
        <x:v>126</x:v>
      </x:c>
      <x:c r="AJ543" s="34"/>
    </x:row>
    <x:row r="544" ht="15" customHeight="1">
      <x:c r="A544" s="31" t="s">
        <x:v>2446</x:v>
      </x:c>
      <x:c r="B544" s="31" t="s">
        <x:v>2447</x:v>
      </x:c>
      <x:c r="C544" s="31" t="s">
        <x:v>2290</x:v>
      </x:c>
      <x:c r="D544" s="32" t="s">
        <x:v>824</x:v>
      </x:c>
      <x:c r="E544" s="32" t="str">
        <x:v>Functional Migration Only</x:v>
      </x:c>
      <x:c r="F544" s="33" t="s">
        <x:v>118</x:v>
      </x:c>
      <x:c r="G544" s="34" t="s">
        <x:v>2291</x:v>
      </x:c>
      <x:c r="H544" s="33" t="s">
        <x:v>87</x:v>
      </x:c>
      <x:c r="I544" s="33" t="s">
        <x:v>2292</x:v>
      </x:c>
      <x:c r="J544" s="33" t="s">
        <x:v>82</x:v>
      </x:c>
      <x:c r="K544" s="33" t="s">
        <x:v>58</x:v>
      </x:c>
      <x:c r="L544" s="33" t="s">
        <x:v>73</x:v>
      </x:c>
      <x:c r="M544" s="35">
        <x:v>22</x:v>
      </x:c>
      <x:c r="N544" s="35">
        <x:v>1206244</x:v>
      </x:c>
      <x:c r="O544" s="33" t="s">
        <x:v>73</x:v>
      </x:c>
      <x:c r="P544" s="33" t="s">
        <x:v>98</x:v>
      </x:c>
      <x:c r="Q544" s="33" t="s">
        <x:v>118</x:v>
      </x:c>
      <x:c r="R544" s="33" t="s">
        <x:v>73</x:v>
      </x:c>
      <x:c r="S544" s="31" t="s">
        <x:v>800</x:v>
      </x:c>
      <x:c r="T544" s="31" t="s">
        <x:v>2448</x:v>
      </x:c>
      <x:c r="U544" s="31" t="s">
        <x:v>477</x:v>
      </x:c>
      <x:c r="V544" s="33" t="s">
        <x:v>277</x:v>
      </x:c>
      <x:c r="W544" s="33"/>
      <x:c r="X544" s="33" t="s">
        <x:v>238</x:v>
      </x:c>
      <x:c r="Y544" s="36">
        <x:v>46519</x:v>
      </x:c>
      <x:c r="Z544" s="36"/>
      <x:c r="AA544" s="33" t="s">
        <x:v>120</x:v>
      </x:c>
      <x:c r="AB544" s="37" t="n">
        <x:f>IFERROR(INDEX(Effort_Model!$J$6:$J$33,MATCH(K544&amp;"|"&amp;L544,Effort_Model!$B$6:$B$33,0)),"")</x:f>
        <x:v>26.4</x:v>
      </x:c>
      <x:c r="AC544" s="38">
        <x:v>237</x:v>
      </x:c>
      <x:c r="AD544" s="37">
        <x:f t="shared" si="8"/>
        <x:v>282</x:v>
      </x:c>
      <x:c r="AE544" s="37" t="n">
        <x:f>IFERROR(ROUND(IFERROR(INDEX(Scoring_Rules!$C$43:$C$44,MATCH(Q544,Scoring_Rules!$B$43:$B$44,0)),0)*Scoring_Rules!$C$6+IFERROR(INDEX(Scoring_Rules!$C$34:$C$40,MATCH(K544,Scoring_Rules!$B$34:$B$40,0)),0)*Scoring_Rules!$C$7+IFERROR(INDEX(Scoring_Rules!$C$16:$C$19,MATCH(P544,Scoring_Rules!$B$16:$B$19,0)),0)*Scoring_Rules!$C$8+IFERROR(INDEX(Scoring_Rules!$C$22:$C$25,MATCH(O544,Scoring_Rules!$B$22:$B$25,0)),0)*Scoring_Rules!$C$9+IFERROR(INDEX(Scoring_Rules!$C$47:$C$50,MATCH(X544,Scoring_Rules!$B$47:$B$50,0)),0)*Scoring_Rules!$C$10+IFERROR(INDEX(Scoring_Rules!$C$28:$C$31,MATCH(R544,Scoring_Rules!$B$28:$B$31,0)),0)*Scoring_Rules!$C$11,1),"")</x:f>
        <x:v>92</x:v>
      </x:c>
      <x:c r="AF544" s="35">
        <x:v>1</x:v>
      </x:c>
      <x:c r="AG544" s="33" t="s">
        <x:v>2302</x:v>
      </x:c>
      <x:c r="AH544" s="36">
        <x:v>46387</x:v>
      </x:c>
      <x:c r="AI544" s="33" t="s">
        <x:v>127</x:v>
      </x:c>
      <x:c r="AJ544" s="34" t="s">
        <x:v>395</x:v>
      </x:c>
    </x:row>
    <x:row r="545" ht="15" customHeight="1">
      <x:c r="A545" s="31" t="s">
        <x:v>2449</x:v>
      </x:c>
      <x:c r="B545" s="31" t="s">
        <x:v>2450</x:v>
      </x:c>
      <x:c r="C545" s="31" t="s">
        <x:v>2290</x:v>
      </x:c>
      <x:c r="D545" s="32" t="s">
        <x:v>1374</x:v>
      </x:c>
      <x:c r="E545" s="32" t="str">
        <x:v>Data Migration Only</x:v>
      </x:c>
      <x:c r="F545" s="33" t="s">
        <x:v>118</x:v>
      </x:c>
      <x:c r="G545" s="34" t="s">
        <x:v>2301</x:v>
      </x:c>
      <x:c r="H545" s="33" t="s">
        <x:v>87</x:v>
      </x:c>
      <x:c r="I545" s="33" t="s">
        <x:v>2292</x:v>
      </x:c>
      <x:c r="J545" s="33" t="s">
        <x:v>80</x:v>
      </x:c>
      <x:c r="K545" s="33" t="s">
        <x:v>62</x:v>
      </x:c>
      <x:c r="L545" s="33" t="s">
        <x:v>71</x:v>
      </x:c>
      <x:c r="M545" s="35">
        <x:v>64</x:v>
      </x:c>
      <x:c r="N545" s="35">
        <x:v>127074478</x:v>
      </x:c>
      <x:c r="O545" s="33" t="s">
        <x:v>103</x:v>
      </x:c>
      <x:c r="P545" s="33" t="s">
        <x:v>73</x:v>
      </x:c>
      <x:c r="Q545" s="33" t="s">
        <x:v>120</x:v>
      </x:c>
      <x:c r="R545" s="33" t="s">
        <x:v>101</x:v>
      </x:c>
      <x:c r="S545" s="31" t="s">
        <x:v>800</x:v>
      </x:c>
      <x:c r="T545" s="31" t="s">
        <x:v>2443</x:v>
      </x:c>
      <x:c r="U545" s="31" t="s">
        <x:v>276</x:v>
      </x:c>
      <x:c r="V545" s="33" t="s">
        <x:v>277</x:v>
      </x:c>
      <x:c r="W545" s="33"/>
      <x:c r="X545" s="33" t="s">
        <x:v>238</x:v>
      </x:c>
      <x:c r="Y545" s="36"/>
      <x:c r="Z545" s="36"/>
      <x:c r="AA545" s="33" t="s">
        <x:v>120</x:v>
      </x:c>
      <x:c r="AB545" s="37" t="n">
        <x:f>IFERROR(INDEX(Effort_Model!$J$6:$J$33,MATCH(K545&amp;"|"&amp;L545,Effort_Model!$B$6:$B$33,0)),"")</x:f>
        <x:v>18.4</x:v>
      </x:c>
      <x:c r="AC545" s="38">
        <x:v>328.7</x:v>
      </x:c>
      <x:c r="AD545" s="37">
        <x:f t="shared" si="8"/>
        <x:v>403.1</x:v>
      </x:c>
      <x:c r="AE545" s="37" t="n">
        <x:f>IFERROR(ROUND(IFERROR(INDEX(Scoring_Rules!$C$43:$C$44,MATCH(Q545,Scoring_Rules!$B$43:$B$44,0)),0)*Scoring_Rules!$C$6+IFERROR(INDEX(Scoring_Rules!$C$34:$C$40,MATCH(K545,Scoring_Rules!$B$34:$B$40,0)),0)*Scoring_Rules!$C$7+IFERROR(INDEX(Scoring_Rules!$C$16:$C$19,MATCH(P545,Scoring_Rules!$B$16:$B$19,0)),0)*Scoring_Rules!$C$8+IFERROR(INDEX(Scoring_Rules!$C$22:$C$25,MATCH(O545,Scoring_Rules!$B$22:$B$25,0)),0)*Scoring_Rules!$C$9+IFERROR(INDEX(Scoring_Rules!$C$47:$C$50,MATCH(X545,Scoring_Rules!$B$47:$B$50,0)),0)*Scoring_Rules!$C$10+IFERROR(INDEX(Scoring_Rules!$C$28:$C$31,MATCH(R545,Scoring_Rules!$B$28:$B$31,0)),0)*Scoring_Rules!$C$11,1),"")</x:f>
        <x:v>41.8</x:v>
      </x:c>
      <x:c r="AF545" s="35">
        <x:v>3</x:v>
      </x:c>
      <x:c r="AG545" s="33" t="s">
        <x:v>2305</x:v>
      </x:c>
      <x:c r="AH545" s="36">
        <x:v>46375</x:v>
      </x:c>
      <x:c r="AI545" s="33" t="s">
        <x:v>127</x:v>
      </x:c>
      <x:c r="AJ545" s="34" t="s">
        <x:v>354</x:v>
      </x:c>
    </x:row>
    <x:row r="546" ht="15" customHeight="1">
      <x:c r="A546" s="31" t="s">
        <x:v>2451</x:v>
      </x:c>
      <x:c r="B546" s="31" t="s">
        <x:v>2452</x:v>
      </x:c>
      <x:c r="C546" s="31" t="s">
        <x:v>2453</x:v>
      </x:c>
      <x:c r="D546" s="32" t="s">
        <x:v>2454</x:v>
      </x:c>
      <x:c r="E546" s="32" t="str">
        <x:v>Data Migration Only</x:v>
      </x:c>
      <x:c r="F546" s="33" t="s">
        <x:v>120</x:v>
      </x:c>
      <x:c r="G546" s="34" t="s">
        <x:v>2455</x:v>
      </x:c>
      <x:c r="H546" s="33" t="s">
        <x:v>87</x:v>
      </x:c>
      <x:c r="I546" s="33" t="s">
        <x:v>2456</x:v>
      </x:c>
      <x:c r="J546" s="33" t="s">
        <x:v>80</x:v>
      </x:c>
      <x:c r="K546" s="33" t="s">
        <x:v>64</x:v>
      </x:c>
      <x:c r="L546" s="33" t="s">
        <x:v>77</x:v>
      </x:c>
      <x:c r="M546" s="35">
        <x:v>139</x:v>
      </x:c>
      <x:c r="N546" s="35">
        <x:v>1421563953</x:v>
      </x:c>
      <x:c r="O546" s="33" t="s">
        <x:v>98</x:v>
      </x:c>
      <x:c r="P546" s="33" t="s">
        <x:v>101</x:v>
      </x:c>
      <x:c r="Q546" s="33" t="s">
        <x:v>120</x:v>
      </x:c>
      <x:c r="R546" s="33" t="s">
        <x:v>73</x:v>
      </x:c>
      <x:c r="S546" s="31" t="s">
        <x:v>2457</x:v>
      </x:c>
      <x:c r="T546" s="31" t="s">
        <x:v>2458</x:v>
      </x:c>
      <x:c r="U546" s="31" t="s">
        <x:v>471</x:v>
      </x:c>
      <x:c r="V546" s="33" t="s">
        <x:v>323</x:v>
      </x:c>
      <x:c r="W546" s="33"/>
      <x:c r="X546" s="33" t="s">
        <x:v>238</x:v>
      </x:c>
      <x:c r="Y546" s="36"/>
      <x:c r="Z546" s="36"/>
      <x:c r="AA546" s="33" t="s">
        <x:v>120</x:v>
      </x:c>
      <x:c r="AB546" s="37" t="n">
        <x:f>IFERROR(INDEX(Effort_Model!$J$6:$J$33,MATCH(K546&amp;"|"&amp;L546,Effort_Model!$B$6:$B$33,0)),"")</x:f>
        <x:v>106.4</x:v>
      </x:c>
      <x:c r="AC546" s="38">
        <x:v>1387.9</x:v>
      </x:c>
      <x:c r="AD546" s="37">
        <x:f t="shared" si="8"/>
        <x:v>1789.2333000000001</x:v>
      </x:c>
      <x:c r="AE546" s="37" t="n">
        <x:f>IFERROR(ROUND(IFERROR(INDEX(Scoring_Rules!$C$43:$C$44,MATCH(Q546,Scoring_Rules!$B$43:$B$44,0)),0)*Scoring_Rules!$C$6+IFERROR(INDEX(Scoring_Rules!$C$34:$C$40,MATCH(K546,Scoring_Rules!$B$34:$B$40,0)),0)*Scoring_Rules!$C$7+IFERROR(INDEX(Scoring_Rules!$C$16:$C$19,MATCH(P546,Scoring_Rules!$B$16:$B$19,0)),0)*Scoring_Rules!$C$8+IFERROR(INDEX(Scoring_Rules!$C$22:$C$25,MATCH(O546,Scoring_Rules!$B$22:$B$25,0)),0)*Scoring_Rules!$C$9+IFERROR(INDEX(Scoring_Rules!$C$47:$C$50,MATCH(X546,Scoring_Rules!$B$47:$B$50,0)),0)*Scoring_Rules!$C$10+IFERROR(INDEX(Scoring_Rules!$C$28:$C$31,MATCH(R546,Scoring_Rules!$B$28:$B$31,0)),0)*Scoring_Rules!$C$11,1),"")</x:f>
        <x:v>47.5</x:v>
      </x:c>
      <x:c r="AF546" s="35">
        <x:v>7</x:v>
      </x:c>
      <x:c r="AG546" s="33" t="s">
        <x:v>2459</x:v>
      </x:c>
      <x:c r="AH546" s="36">
        <x:v>46360</x:v>
      </x:c>
      <x:c r="AI546" s="33" t="s">
        <x:v>128</x:v>
      </x:c>
      <x:c r="AJ546" s="34" t="s">
        <x:v>342</x:v>
      </x:c>
    </x:row>
    <x:row r="547" ht="15" customHeight="1">
      <x:c r="A547" s="31" t="s">
        <x:v>2460</x:v>
      </x:c>
      <x:c r="B547" s="31" t="s">
        <x:v>2461</x:v>
      </x:c>
      <x:c r="C547" s="31" t="s">
        <x:v>2453</x:v>
      </x:c>
      <x:c r="D547" s="32" t="s">
        <x:v>2454</x:v>
      </x:c>
      <x:c r="E547" s="32" t="str">
        <x:v>Data Migration Only</x:v>
      </x:c>
      <x:c r="F547" s="33" t="s">
        <x:v>118</x:v>
      </x:c>
      <x:c r="G547" s="34" t="s">
        <x:v>2462</x:v>
      </x:c>
      <x:c r="H547" s="33" t="s">
        <x:v>87</x:v>
      </x:c>
      <x:c r="I547" s="33" t="s">
        <x:v>2456</x:v>
      </x:c>
      <x:c r="J547" s="33" t="s">
        <x:v>80</x:v>
      </x:c>
      <x:c r="K547" s="33" t="s">
        <x:v>60</x:v>
      </x:c>
      <x:c r="L547" s="33" t="s">
        <x:v>73</x:v>
      </x:c>
      <x:c r="M547" s="35">
        <x:v>50</x:v>
      </x:c>
      <x:c r="N547" s="35">
        <x:v>6002345</x:v>
      </x:c>
      <x:c r="O547" s="33" t="s">
        <x:v>98</x:v>
      </x:c>
      <x:c r="P547" s="33" t="s">
        <x:v>101</x:v>
      </x:c>
      <x:c r="Q547" s="33" t="s">
        <x:v>120</x:v>
      </x:c>
      <x:c r="R547" s="33" t="s">
        <x:v>98</x:v>
      </x:c>
      <x:c r="S547" s="31" t="s">
        <x:v>2463</x:v>
      </x:c>
      <x:c r="T547" s="31" t="s">
        <x:v>2464</x:v>
      </x:c>
      <x:c r="U547" s="31" t="s">
        <x:v>276</x:v>
      </x:c>
      <x:c r="V547" s="33" t="s">
        <x:v>347</x:v>
      </x:c>
      <x:c r="W547" s="33"/>
      <x:c r="X547" s="33" t="s">
        <x:v>238</x:v>
      </x:c>
      <x:c r="Y547" s="36"/>
      <x:c r="Z547" s="36"/>
      <x:c r="AA547" s="33" t="s">
        <x:v>120</x:v>
      </x:c>
      <x:c r="AB547" s="37" t="n">
        <x:f>IFERROR(INDEX(Effort_Model!$J$6:$J$33,MATCH(K547&amp;"|"&amp;L547,Effort_Model!$B$6:$B$33,0)),"")</x:f>
        <x:v>42.4</x:v>
      </x:c>
      <x:c r="AC547" s="38">
        <x:v>229.2</x:v>
      </x:c>
      <x:c r="AD547" s="37">
        <x:f t="shared" si="8"/>
        <x:v>306.2</x:v>
      </x:c>
      <x:c r="AE547" s="37" t="n">
        <x:f>IFERROR(ROUND(IFERROR(INDEX(Scoring_Rules!$C$43:$C$44,MATCH(Q547,Scoring_Rules!$B$43:$B$44,0)),0)*Scoring_Rules!$C$6+IFERROR(INDEX(Scoring_Rules!$C$34:$C$40,MATCH(K547,Scoring_Rules!$B$34:$B$40,0)),0)*Scoring_Rules!$C$7+IFERROR(INDEX(Scoring_Rules!$C$16:$C$19,MATCH(P547,Scoring_Rules!$B$16:$B$19,0)),0)*Scoring_Rules!$C$8+IFERROR(INDEX(Scoring_Rules!$C$22:$C$25,MATCH(O547,Scoring_Rules!$B$22:$B$25,0)),0)*Scoring_Rules!$C$9+IFERROR(INDEX(Scoring_Rules!$C$47:$C$50,MATCH(X547,Scoring_Rules!$B$47:$B$50,0)),0)*Scoring_Rules!$C$10+IFERROR(INDEX(Scoring_Rules!$C$28:$C$31,MATCH(R547,Scoring_Rules!$B$28:$B$31,0)),0)*Scoring_Rules!$C$11,1),"")</x:f>
        <x:v>57</x:v>
      </x:c>
      <x:c r="AF547" s="35">
        <x:v>3</x:v>
      </x:c>
      <x:c r="AG547" s="33" t="s">
        <x:v>2465</x:v>
      </x:c>
      <x:c r="AH547" s="36">
        <x:v>46307</x:v>
      </x:c>
      <x:c r="AI547" s="33" t="s">
        <x:v>127</x:v>
      </x:c>
      <x:c r="AJ547" s="34" t="s">
        <x:v>336</x:v>
      </x:c>
    </x:row>
    <x:row r="548" ht="23.25" customHeight="1">
      <x:c r="A548" s="31" t="s">
        <x:v>2466</x:v>
      </x:c>
      <x:c r="B548" s="31" t="s">
        <x:v>2467</x:v>
      </x:c>
      <x:c r="C548" s="31" t="s">
        <x:v>2453</x:v>
      </x:c>
      <x:c r="D548" s="32" t="s">
        <x:v>2468</x:v>
      </x:c>
      <x:c r="E548" s="32" t="str">
        <x:v>Functional Migration Only</x:v>
      </x:c>
      <x:c r="F548" s="33" t="s">
        <x:v>118</x:v>
      </x:c>
      <x:c r="G548" s="34" t="s">
        <x:v>2469</x:v>
      </x:c>
      <x:c r="H548" s="33" t="s">
        <x:v>87</x:v>
      </x:c>
      <x:c r="I548" s="33" t="s">
        <x:v>2456</x:v>
      </x:c>
      <x:c r="J548" s="33" t="s">
        <x:v>82</x:v>
      </x:c>
      <x:c r="K548" s="33" t="s">
        <x:v>66</x:v>
      </x:c>
      <x:c r="L548" s="33" t="s">
        <x:v>71</x:v>
      </x:c>
      <x:c r="M548" s="35">
        <x:v>151</x:v>
      </x:c>
      <x:c r="N548" s="35">
        <x:v>8326649877</x:v>
      </x:c>
      <x:c r="O548" s="33" t="s">
        <x:v>103</x:v>
      </x:c>
      <x:c r="P548" s="33" t="s">
        <x:v>98</x:v>
      </x:c>
      <x:c r="Q548" s="33" t="s">
        <x:v>120</x:v>
      </x:c>
      <x:c r="R548" s="33" t="s">
        <x:v>115</x:v>
      </x:c>
      <x:c r="S548" s="31" t="s">
        <x:v>2470</x:v>
      </x:c>
      <x:c r="T548" s="31" t="s">
        <x:v>2471</x:v>
      </x:c>
      <x:c r="U548" s="31" t="s">
        <x:v>276</x:v>
      </x:c>
      <x:c r="V548" s="33" t="s">
        <x:v>323</x:v>
      </x:c>
      <x:c r="W548" s="33"/>
      <x:c r="X548" s="33" t="s">
        <x:v>238</x:v>
      </x:c>
      <x:c r="Y548" s="36"/>
      <x:c r="Z548" s="36"/>
      <x:c r="AA548" s="33" t="s">
        <x:v>118</x:v>
      </x:c>
      <x:c r="AB548" s="37" t="n">
        <x:f>IFERROR(INDEX(Effort_Model!$J$6:$J$33,MATCH(K548&amp;"|"&amp;L548,Effort_Model!$B$6:$B$33,0)),"")</x:f>
        <x:v>18.4</x:v>
      </x:c>
      <x:c r="AC548" s="38">
        <x:v>1364.8</x:v>
      </x:c>
      <x:c r="AD548" s="37">
        <x:f t="shared" si="8"/>
        <x:v>1503.2</x:v>
      </x:c>
      <x:c r="AE548" s="37" t="n">
        <x:f>IFERROR(ROUND(IFERROR(INDEX(Scoring_Rules!$C$43:$C$44,MATCH(Q548,Scoring_Rules!$B$43:$B$44,0)),0)*Scoring_Rules!$C$6+IFERROR(INDEX(Scoring_Rules!$C$34:$C$40,MATCH(K548,Scoring_Rules!$B$34:$B$40,0)),0)*Scoring_Rules!$C$7+IFERROR(INDEX(Scoring_Rules!$C$16:$C$19,MATCH(P548,Scoring_Rules!$B$16:$B$19,0)),0)*Scoring_Rules!$C$8+IFERROR(INDEX(Scoring_Rules!$C$22:$C$25,MATCH(O548,Scoring_Rules!$B$22:$B$25,0)),0)*Scoring_Rules!$C$9+IFERROR(INDEX(Scoring_Rules!$C$47:$C$50,MATCH(X548,Scoring_Rules!$B$47:$B$50,0)),0)*Scoring_Rules!$C$10+IFERROR(INDEX(Scoring_Rules!$C$28:$C$31,MATCH(R548,Scoring_Rules!$B$28:$B$31,0)),0)*Scoring_Rules!$C$11,1),"")</x:f>
        <x:v>39</x:v>
      </x:c>
      <x:c r="AF548" s="35"/>
      <x:c r="AG548" s="33" t="s">
        <x:v>2472</x:v>
      </x:c>
      <x:c r="AH548" s="36">
        <x:v>46324</x:v>
      </x:c>
      <x:c r="AI548" s="33" t="s">
        <x:v>125</x:v>
      </x:c>
      <x:c r="AJ548" s="34" t="s">
        <x:v>354</x:v>
      </x:c>
    </x:row>
    <x:row r="549" ht="34.5" customHeight="1">
      <x:c r="A549" s="31" t="s">
        <x:v>2473</x:v>
      </x:c>
      <x:c r="B549" s="31" t="s">
        <x:v>2474</x:v>
      </x:c>
      <x:c r="C549" s="31" t="s">
        <x:v>2453</x:v>
      </x:c>
      <x:c r="D549" s="32" t="s">
        <x:v>2475</x:v>
      </x:c>
      <x:c r="E549" s="32" t="str">
        <x:v>Data Migration Only</x:v>
      </x:c>
      <x:c r="F549" s="33" t="s">
        <x:v>120</x:v>
      </x:c>
      <x:c r="G549" s="34" t="s">
        <x:v>2476</x:v>
      </x:c>
      <x:c r="H549" s="33" t="s">
        <x:v>87</x:v>
      </x:c>
      <x:c r="I549" s="33" t="s">
        <x:v>2456</x:v>
      </x:c>
      <x:c r="J549" s="33" t="s">
        <x:v>80</x:v>
      </x:c>
      <x:c r="K549" s="33" t="s">
        <x:v>62</x:v>
      </x:c>
      <x:c r="L549" s="33" t="s">
        <x:v>71</x:v>
      </x:c>
      <x:c r="M549" s="35">
        <x:v>58</x:v>
      </x:c>
      <x:c r="N549" s="35">
        <x:v>110852902</x:v>
      </x:c>
      <x:c r="O549" s="33" t="s">
        <x:v>103</x:v>
      </x:c>
      <x:c r="P549" s="33" t="s">
        <x:v>73</x:v>
      </x:c>
      <x:c r="Q549" s="33" t="s">
        <x:v>120</x:v>
      </x:c>
      <x:c r="R549" s="33" t="s">
        <x:v>101</x:v>
      </x:c>
      <x:c r="S549" s="31" t="s">
        <x:v>2477</x:v>
      </x:c>
      <x:c r="T549" s="31" t="s">
        <x:v>2478</x:v>
      </x:c>
      <x:c r="U549" s="31" t="s">
        <x:v>276</x:v>
      </x:c>
      <x:c r="V549" s="33" t="s">
        <x:v>303</x:v>
      </x:c>
      <x:c r="W549" s="33"/>
      <x:c r="X549" s="33" t="s">
        <x:v>238</x:v>
      </x:c>
      <x:c r="Y549" s="36"/>
      <x:c r="Z549" s="36"/>
      <x:c r="AA549" s="33" t="s">
        <x:v>120</x:v>
      </x:c>
      <x:c r="AB549" s="37" t="n">
        <x:f>IFERROR(INDEX(Effort_Model!$J$6:$J$33,MATCH(K549&amp;"|"&amp;L549,Effort_Model!$B$6:$B$33,0)),"")</x:f>
        <x:v>18.4</x:v>
      </x:c>
      <x:c r="AC549" s="38">
        <x:v>306.2</x:v>
      </x:c>
      <x:c r="AD549" s="37">
        <x:f t="shared" si="8"/>
        <x:v>380.6</x:v>
      </x:c>
      <x:c r="AE549" s="37" t="n">
        <x:f>IFERROR(ROUND(IFERROR(INDEX(Scoring_Rules!$C$43:$C$44,MATCH(Q549,Scoring_Rules!$B$43:$B$44,0)),0)*Scoring_Rules!$C$6+IFERROR(INDEX(Scoring_Rules!$C$34:$C$40,MATCH(K549,Scoring_Rules!$B$34:$B$40,0)),0)*Scoring_Rules!$C$7+IFERROR(INDEX(Scoring_Rules!$C$16:$C$19,MATCH(P549,Scoring_Rules!$B$16:$B$19,0)),0)*Scoring_Rules!$C$8+IFERROR(INDEX(Scoring_Rules!$C$22:$C$25,MATCH(O549,Scoring_Rules!$B$22:$B$25,0)),0)*Scoring_Rules!$C$9+IFERROR(INDEX(Scoring_Rules!$C$47:$C$50,MATCH(X549,Scoring_Rules!$B$47:$B$50,0)),0)*Scoring_Rules!$C$10+IFERROR(INDEX(Scoring_Rules!$C$28:$C$31,MATCH(R549,Scoring_Rules!$B$28:$B$31,0)),0)*Scoring_Rules!$C$11,1),"")</x:f>
        <x:v>41.8</x:v>
      </x:c>
      <x:c r="AF549" s="35">
        <x:v>3</x:v>
      </x:c>
      <x:c r="AG549" s="33" t="s">
        <x:v>2479</x:v>
      </x:c>
      <x:c r="AH549" s="36">
        <x:v>46311</x:v>
      </x:c>
      <x:c r="AI549" s="33" t="s">
        <x:v>127</x:v>
      </x:c>
      <x:c r="AJ549" s="34" t="s">
        <x:v>336</x:v>
      </x:c>
    </x:row>
    <x:row r="550" ht="15" customHeight="1">
      <x:c r="A550" s="31" t="s">
        <x:v>2480</x:v>
      </x:c>
      <x:c r="B550" s="31" t="s">
        <x:v>2481</x:v>
      </x:c>
      <x:c r="C550" s="31" t="s">
        <x:v>2453</x:v>
      </x:c>
      <x:c r="D550" s="32" t="s">
        <x:v>284</x:v>
      </x:c>
      <x:c r="E550" s="32" t="str">
        <x:v>Functional Migration Only</x:v>
      </x:c>
      <x:c r="F550" s="33" t="s">
        <x:v>118</x:v>
      </x:c>
      <x:c r="G550" s="34" t="s">
        <x:v>2462</x:v>
      </x:c>
      <x:c r="H550" s="33" t="s">
        <x:v>87</x:v>
      </x:c>
      <x:c r="I550" s="33" t="s">
        <x:v>2456</x:v>
      </x:c>
      <x:c r="J550" s="33" t="s">
        <x:v>82</x:v>
      </x:c>
      <x:c r="K550" s="33" t="s">
        <x:v>58</x:v>
      </x:c>
      <x:c r="L550" s="33" t="s">
        <x:v>71</x:v>
      </x:c>
      <x:c r="M550" s="35">
        <x:v>30</x:v>
      </x:c>
      <x:c r="N550" s="35">
        <x:v>1465765</x:v>
      </x:c>
      <x:c r="O550" s="33" t="s">
        <x:v>98</x:v>
      </x:c>
      <x:c r="P550" s="33" t="s">
        <x:v>98</x:v>
      </x:c>
      <x:c r="Q550" s="33" t="s">
        <x:v>120</x:v>
      </x:c>
      <x:c r="R550" s="33" t="s">
        <x:v>73</x:v>
      </x:c>
      <x:c r="S550" s="31" t="s">
        <x:v>1454</x:v>
      </x:c>
      <x:c r="T550" s="31" t="s">
        <x:v>2482</x:v>
      </x:c>
      <x:c r="U550" s="31" t="s">
        <x:v>276</x:v>
      </x:c>
      <x:c r="V550" s="33" t="s">
        <x:v>303</x:v>
      </x:c>
      <x:c r="W550" s="33"/>
      <x:c r="X550" s="33" t="s">
        <x:v>238</x:v>
      </x:c>
      <x:c r="Y550" s="36"/>
      <x:c r="Z550" s="36"/>
      <x:c r="AA550" s="33" t="s">
        <x:v>120</x:v>
      </x:c>
      <x:c r="AB550" s="37" t="n">
        <x:f>IFERROR(INDEX(Effort_Model!$J$6:$J$33,MATCH(K550&amp;"|"&amp;L550,Effort_Model!$B$6:$B$33,0)),"")</x:f>
        <x:v>18.4</x:v>
      </x:c>
      <x:c r="AC550" s="38">
        <x:v>186.8</x:v>
      </x:c>
      <x:c r="AD550" s="37">
        <x:f t="shared" si="8"/>
        <x:v>213.20000000000002</x:v>
      </x:c>
      <x:c r="AE550" s="37" t="n">
        <x:f>IFERROR(ROUND(IFERROR(INDEX(Scoring_Rules!$C$43:$C$44,MATCH(Q550,Scoring_Rules!$B$43:$B$44,0)),0)*Scoring_Rules!$C$6+IFERROR(INDEX(Scoring_Rules!$C$34:$C$40,MATCH(K550,Scoring_Rules!$B$34:$B$40,0)),0)*Scoring_Rules!$C$7+IFERROR(INDEX(Scoring_Rules!$C$16:$C$19,MATCH(P550,Scoring_Rules!$B$16:$B$19,0)),0)*Scoring_Rules!$C$8+IFERROR(INDEX(Scoring_Rules!$C$22:$C$25,MATCH(O550,Scoring_Rules!$B$22:$B$25,0)),0)*Scoring_Rules!$C$9+IFERROR(INDEX(Scoring_Rules!$C$47:$C$50,MATCH(X550,Scoring_Rules!$B$47:$B$50,0)),0)*Scoring_Rules!$C$10+IFERROR(INDEX(Scoring_Rules!$C$28:$C$31,MATCH(R550,Scoring_Rules!$B$28:$B$31,0)),0)*Scoring_Rules!$C$11,1),"")</x:f>
        <x:v>71.5</x:v>
      </x:c>
      <x:c r="AF550" s="35">
        <x:v>2</x:v>
      </x:c>
      <x:c r="AG550" s="33" t="s">
        <x:v>2459</x:v>
      </x:c>
      <x:c r="AH550" s="36">
        <x:v>46306</x:v>
      </x:c>
      <x:c r="AI550" s="33" t="s">
        <x:v>127</x:v>
      </x:c>
      <x:c r="AJ550" s="34" t="s">
        <x:v>445</x:v>
      </x:c>
    </x:row>
    <x:row r="551" ht="23.25" customHeight="1">
      <x:c r="A551" s="31" t="s">
        <x:v>2483</x:v>
      </x:c>
      <x:c r="B551" s="31" t="s">
        <x:v>2484</x:v>
      </x:c>
      <x:c r="C551" s="31" t="s">
        <x:v>2453</x:v>
      </x:c>
      <x:c r="D551" s="32" t="s">
        <x:v>2468</x:v>
      </x:c>
      <x:c r="E551" s="32" t="str">
        <x:v>Data Migration Only</x:v>
      </x:c>
      <x:c r="F551" s="33" t="s">
        <x:v>118</x:v>
      </x:c>
      <x:c r="G551" s="34" t="s">
        <x:v>2469</x:v>
      </x:c>
      <x:c r="H551" s="33" t="s">
        <x:v>87</x:v>
      </x:c>
      <x:c r="I551" s="33" t="s">
        <x:v>2456</x:v>
      </x:c>
      <x:c r="J551" s="33" t="s">
        <x:v>80</x:v>
      </x:c>
      <x:c r="K551" s="33" t="s">
        <x:v>58</x:v>
      </x:c>
      <x:c r="L551" s="33" t="s">
        <x:v>71</x:v>
      </x:c>
      <x:c r="M551" s="35">
        <x:v>17</x:v>
      </x:c>
      <x:c r="N551" s="35">
        <x:v>1335275</x:v>
      </x:c>
      <x:c r="O551" s="33" t="s">
        <x:v>73</x:v>
      </x:c>
      <x:c r="P551" s="33" t="s">
        <x:v>73</x:v>
      </x:c>
      <x:c r="Q551" s="33" t="s">
        <x:v>118</x:v>
      </x:c>
      <x:c r="R551" s="33" t="s">
        <x:v>115</x:v>
      </x:c>
      <x:c r="S551" s="31" t="s">
        <x:v>2485</x:v>
      </x:c>
      <x:c r="T551" s="31" t="s">
        <x:v>2486</x:v>
      </x:c>
      <x:c r="U551" s="31" t="s">
        <x:v>276</x:v>
      </x:c>
      <x:c r="V551" s="33" t="s">
        <x:v>444</x:v>
      </x:c>
      <x:c r="W551" s="33"/>
      <x:c r="X551" s="33" t="s">
        <x:v>238</x:v>
      </x:c>
      <x:c r="Y551" s="36"/>
      <x:c r="Z551" s="36"/>
      <x:c r="AA551" s="33" t="s">
        <x:v>120</x:v>
      </x:c>
      <x:c r="AB551" s="37" t="n">
        <x:f>IFERROR(INDEX(Effort_Model!$J$6:$J$33,MATCH(K551&amp;"|"&amp;L551,Effort_Model!$B$6:$B$33,0)),"")</x:f>
        <x:v>18.4</x:v>
      </x:c>
      <x:c r="AC551" s="38">
        <x:v>114.9</x:v>
      </x:c>
      <x:c r="AD551" s="37">
        <x:f t="shared" si="8"/>
        <x:v>141.30000000000001</x:v>
      </x:c>
      <x:c r="AE551" s="37" t="n">
        <x:f>IFERROR(ROUND(IFERROR(INDEX(Scoring_Rules!$C$43:$C$44,MATCH(Q551,Scoring_Rules!$B$43:$B$44,0)),0)*Scoring_Rules!$C$6+IFERROR(INDEX(Scoring_Rules!$C$34:$C$40,MATCH(K551,Scoring_Rules!$B$34:$B$40,0)),0)*Scoring_Rules!$C$7+IFERROR(INDEX(Scoring_Rules!$C$16:$C$19,MATCH(P551,Scoring_Rules!$B$16:$B$19,0)),0)*Scoring_Rules!$C$8+IFERROR(INDEX(Scoring_Rules!$C$22:$C$25,MATCH(O551,Scoring_Rules!$B$22:$B$25,0)),0)*Scoring_Rules!$C$9+IFERROR(INDEX(Scoring_Rules!$C$47:$C$50,MATCH(X551,Scoring_Rules!$B$47:$B$50,0)),0)*Scoring_Rules!$C$10+IFERROR(INDEX(Scoring_Rules!$C$28:$C$31,MATCH(R551,Scoring_Rules!$B$28:$B$31,0)),0)*Scoring_Rules!$C$11,1),"")</x:f>
        <x:v>82.5</x:v>
      </x:c>
      <x:c r="AF551" s="35">
        <x:v>1</x:v>
      </x:c>
      <x:c r="AG551" s="33" t="s">
        <x:v>2465</x:v>
      </x:c>
      <x:c r="AH551" s="36">
        <x:v>46406</x:v>
      </x:c>
      <x:c r="AI551" s="33" t="s">
        <x:v>126</x:v>
      </x:c>
      <x:c r="AJ551" s="34"/>
    </x:row>
    <x:row r="552" ht="23.25" customHeight="1">
      <x:c r="A552" s="31" t="s">
        <x:v>2487</x:v>
      </x:c>
      <x:c r="B552" s="31" t="s">
        <x:v>2488</x:v>
      </x:c>
      <x:c r="C552" s="31" t="s">
        <x:v>2453</x:v>
      </x:c>
      <x:c r="D552" s="32" t="s">
        <x:v>2468</x:v>
      </x:c>
      <x:c r="E552" s="32" t="str">
        <x:v>Data Migration Only</x:v>
      </x:c>
      <x:c r="F552" s="33" t="s">
        <x:v>118</x:v>
      </x:c>
      <x:c r="G552" s="34" t="s">
        <x:v>2462</x:v>
      </x:c>
      <x:c r="H552" s="33" t="s">
        <x:v>87</x:v>
      </x:c>
      <x:c r="I552" s="33" t="s">
        <x:v>2456</x:v>
      </x:c>
      <x:c r="J552" s="33" t="s">
        <x:v>80</x:v>
      </x:c>
      <x:c r="K552" s="33" t="s">
        <x:v>60</x:v>
      </x:c>
      <x:c r="L552" s="33" t="s">
        <x:v>71</x:v>
      </x:c>
      <x:c r="M552" s="35">
        <x:v>41</x:v>
      </x:c>
      <x:c r="N552" s="35">
        <x:v>5584031</x:v>
      </x:c>
      <x:c r="O552" s="33" t="s">
        <x:v>73</x:v>
      </x:c>
      <x:c r="P552" s="33" t="s">
        <x:v>101</x:v>
      </x:c>
      <x:c r="Q552" s="33" t="s">
        <x:v>120</x:v>
      </x:c>
      <x:c r="R552" s="33" t="s">
        <x:v>101</x:v>
      </x:c>
      <x:c r="S552" s="31" t="s">
        <x:v>2489</x:v>
      </x:c>
      <x:c r="T552" s="31" t="s">
        <x:v>2490</x:v>
      </x:c>
      <x:c r="U552" s="31" t="s">
        <x:v>276</x:v>
      </x:c>
      <x:c r="V552" s="33" t="s">
        <x:v>347</x:v>
      </x:c>
      <x:c r="W552" s="33" t="s">
        <x:v>2460</x:v>
      </x:c>
      <x:c r="X552" s="33" t="s">
        <x:v>240</x:v>
      </x:c>
      <x:c r="Y552" s="36">
        <x:v>46355</x:v>
      </x:c>
      <x:c r="Z552" s="36"/>
      <x:c r="AA552" s="33" t="s">
        <x:v>120</x:v>
      </x:c>
      <x:c r="AB552" s="37" t="n">
        <x:f>IFERROR(INDEX(Effort_Model!$J$6:$J$33,MATCH(K552&amp;"|"&amp;L552,Effort_Model!$B$6:$B$33,0)),"")</x:f>
        <x:v>18.4</x:v>
      </x:c>
      <x:c r="AC552" s="38">
        <x:v>196</x:v>
      </x:c>
      <x:c r="AD552" s="37">
        <x:f t="shared" si="8"/>
        <x:v>238.4</x:v>
      </x:c>
      <x:c r="AE552" s="37" t="n">
        <x:f>IFERROR(ROUND(IFERROR(INDEX(Scoring_Rules!$C$43:$C$44,MATCH(Q552,Scoring_Rules!$B$43:$B$44,0)),0)*Scoring_Rules!$C$6+IFERROR(INDEX(Scoring_Rules!$C$34:$C$40,MATCH(K552,Scoring_Rules!$B$34:$B$40,0)),0)*Scoring_Rules!$C$7+IFERROR(INDEX(Scoring_Rules!$C$16:$C$19,MATCH(P552,Scoring_Rules!$B$16:$B$19,0)),0)*Scoring_Rules!$C$8+IFERROR(INDEX(Scoring_Rules!$C$22:$C$25,MATCH(O552,Scoring_Rules!$B$22:$B$25,0)),0)*Scoring_Rules!$C$9+IFERROR(INDEX(Scoring_Rules!$C$47:$C$50,MATCH(X552,Scoring_Rules!$B$47:$B$50,0)),0)*Scoring_Rules!$C$10+IFERROR(INDEX(Scoring_Rules!$C$28:$C$31,MATCH(R552,Scoring_Rules!$B$28:$B$31,0)),0)*Scoring_Rules!$C$11,1),"")</x:f>
        <x:v>38.8</x:v>
      </x:c>
      <x:c r="AF552" s="35">
        <x:v>3</x:v>
      </x:c>
      <x:c r="AG552" s="33" t="s">
        <x:v>2472</x:v>
      </x:c>
      <x:c r="AH552" s="36">
        <x:v>46359</x:v>
      </x:c>
      <x:c r="AI552" s="33" t="s">
        <x:v>126</x:v>
      </x:c>
      <x:c r="AJ552" s="34"/>
    </x:row>
    <x:row r="553" ht="34.5" customHeight="1">
      <x:c r="A553" s="31" t="s">
        <x:v>2491</x:v>
      </x:c>
      <x:c r="B553" s="31" t="s">
        <x:v>2492</x:v>
      </x:c>
      <x:c r="C553" s="31" t="s">
        <x:v>2493</x:v>
      </x:c>
      <x:c r="D553" s="32" t="s">
        <x:v>2494</x:v>
      </x:c>
      <x:c r="E553" s="32" t="str">
        <x:v>Functional Migration Only</x:v>
      </x:c>
      <x:c r="F553" s="33" t="s">
        <x:v>118</x:v>
      </x:c>
      <x:c r="G553" s="34" t="s">
        <x:v>2495</x:v>
      </x:c>
      <x:c r="H553" s="33" t="s">
        <x:v>87</x:v>
      </x:c>
      <x:c r="I553" s="33" t="s">
        <x:v>2496</x:v>
      </x:c>
      <x:c r="J553" s="33" t="s">
        <x:v>82</x:v>
      </x:c>
      <x:c r="K553" s="33" t="s">
        <x:v>60</x:v>
      </x:c>
      <x:c r="L553" s="33" t="s">
        <x:v>75</x:v>
      </x:c>
      <x:c r="M553" s="35">
        <x:v>31</x:v>
      </x:c>
      <x:c r="N553" s="35">
        <x:v>4289488</x:v>
      </x:c>
      <x:c r="O553" s="33" t="s">
        <x:v>73</x:v>
      </x:c>
      <x:c r="P553" s="33" t="s">
        <x:v>73</x:v>
      </x:c>
      <x:c r="Q553" s="33" t="s">
        <x:v>120</x:v>
      </x:c>
      <x:c r="R553" s="33" t="s">
        <x:v>101</x:v>
      </x:c>
      <x:c r="S553" s="31" t="s">
        <x:v>2497</x:v>
      </x:c>
      <x:c r="T553" s="31" t="s">
        <x:v>2498</x:v>
      </x:c>
      <x:c r="U553" s="31" t="s">
        <x:v>522</x:v>
      </x:c>
      <x:c r="V553" s="33" t="s">
        <x:v>303</x:v>
      </x:c>
      <x:c r="W553" s="33"/>
      <x:c r="X553" s="33" t="s">
        <x:v>238</x:v>
      </x:c>
      <x:c r="Y553" s="36"/>
      <x:c r="Z553" s="36"/>
      <x:c r="AA553" s="33" t="s">
        <x:v>120</x:v>
      </x:c>
      <x:c r="AB553" s="37" t="n">
        <x:f>IFERROR(INDEX(Effort_Model!$J$6:$J$33,MATCH(K553&amp;"|"&amp;L553,Effort_Model!$B$6:$B$33,0)),"")</x:f>
        <x:v>42.4</x:v>
      </x:c>
      <x:c r="AC553" s="38">
        <x:v>502.9</x:v>
      </x:c>
      <x:c r="AD553" s="37">
        <x:f t="shared" si="8"/>
        <x:v>616.23329999999999</x:v>
      </x:c>
      <x:c r="AE553" s="37" t="n">
        <x:f>IFERROR(ROUND(IFERROR(INDEX(Scoring_Rules!$C$43:$C$44,MATCH(Q553,Scoring_Rules!$B$43:$B$44,0)),0)*Scoring_Rules!$C$6+IFERROR(INDEX(Scoring_Rules!$C$34:$C$40,MATCH(K553,Scoring_Rules!$B$34:$B$40,0)),0)*Scoring_Rules!$C$7+IFERROR(INDEX(Scoring_Rules!$C$16:$C$19,MATCH(P553,Scoring_Rules!$B$16:$B$19,0)),0)*Scoring_Rules!$C$8+IFERROR(INDEX(Scoring_Rules!$C$22:$C$25,MATCH(O553,Scoring_Rules!$B$22:$B$25,0)),0)*Scoring_Rules!$C$9+IFERROR(INDEX(Scoring_Rules!$C$47:$C$50,MATCH(X553,Scoring_Rules!$B$47:$B$50,0)),0)*Scoring_Rules!$C$10+IFERROR(INDEX(Scoring_Rules!$C$28:$C$31,MATCH(R553,Scoring_Rules!$B$28:$B$31,0)),0)*Scoring_Rules!$C$11,1),"")</x:f>
        <x:v>56.3</x:v>
      </x:c>
      <x:c r="AF553" s="35">
        <x:v>5</x:v>
      </x:c>
      <x:c r="AG553" s="33" t="s">
        <x:v>2499</x:v>
      </x:c>
      <x:c r="AH553" s="36">
        <x:v>46396</x:v>
      </x:c>
      <x:c r="AI553" s="33" t="s">
        <x:v>127</x:v>
      </x:c>
      <x:c r="AJ553" s="34"/>
    </x:row>
    <x:row r="554" ht="15" customHeight="1">
      <x:c r="A554" s="31" t="s">
        <x:v>2500</x:v>
      </x:c>
      <x:c r="B554" s="31" t="s">
        <x:v>2501</x:v>
      </x:c>
      <x:c r="C554" s="31" t="s">
        <x:v>2502</x:v>
      </x:c>
      <x:c r="D554" s="32" t="s">
        <x:v>2198</x:v>
      </x:c>
      <x:c r="E554" s="32" t="str">
        <x:v>Data Migration Only</x:v>
      </x:c>
      <x:c r="F554" s="33" t="s">
        <x:v>118</x:v>
      </x:c>
      <x:c r="G554" s="34" t="s">
        <x:v>2503</x:v>
      </x:c>
      <x:c r="H554" s="33" t="s">
        <x:v>87</x:v>
      </x:c>
      <x:c r="I554" s="33" t="s">
        <x:v>2504</x:v>
      </x:c>
      <x:c r="J554" s="33" t="s">
        <x:v>80</x:v>
      </x:c>
      <x:c r="K554" s="33" t="s">
        <x:v>62</x:v>
      </x:c>
      <x:c r="L554" s="33" t="s">
        <x:v>75</x:v>
      </x:c>
      <x:c r="M554" s="35">
        <x:v>73</x:v>
      </x:c>
      <x:c r="N554" s="35">
        <x:v>89933348</x:v>
      </x:c>
      <x:c r="O554" s="33" t="s">
        <x:v>101</x:v>
      </x:c>
      <x:c r="P554" s="33" t="s">
        <x:v>73</x:v>
      </x:c>
      <x:c r="Q554" s="33" t="s">
        <x:v>120</x:v>
      </x:c>
      <x:c r="R554" s="33" t="s">
        <x:v>101</x:v>
      </x:c>
      <x:c r="S554" s="31" t="s">
        <x:v>2505</x:v>
      </x:c>
      <x:c r="T554" s="31" t="s">
        <x:v>2506</x:v>
      </x:c>
      <x:c r="U554" s="31" t="s">
        <x:v>276</x:v>
      </x:c>
      <x:c r="V554" s="33" t="s">
        <x:v>303</x:v>
      </x:c>
      <x:c r="W554" s="33"/>
      <x:c r="X554" s="33" t="s">
        <x:v>238</x:v>
      </x:c>
      <x:c r="Y554" s="36"/>
      <x:c r="Z554" s="36"/>
      <x:c r="AA554" s="33" t="s">
        <x:v>120</x:v>
      </x:c>
      <x:c r="AB554" s="37" t="n">
        <x:f>IFERROR(INDEX(Effort_Model!$J$6:$J$33,MATCH(K554&amp;"|"&amp;L554,Effort_Model!$B$6:$B$33,0)),"")</x:f>
        <x:v>74.4</x:v>
      </x:c>
      <x:c r="AC554" s="38">
        <x:v>670.9</x:v>
      </x:c>
      <x:c r="AD554" s="37">
        <x:f t="shared" si="8"/>
        <x:v>880.23329999999999</x:v>
      </x:c>
      <x:c r="AE554" s="37" t="n">
        <x:f>IFERROR(ROUND(IFERROR(INDEX(Scoring_Rules!$C$43:$C$44,MATCH(Q554,Scoring_Rules!$B$43:$B$44,0)),0)*Scoring_Rules!$C$6+IFERROR(INDEX(Scoring_Rules!$C$34:$C$40,MATCH(K554,Scoring_Rules!$B$34:$B$40,0)),0)*Scoring_Rules!$C$7+IFERROR(INDEX(Scoring_Rules!$C$16:$C$19,MATCH(P554,Scoring_Rules!$B$16:$B$19,0)),0)*Scoring_Rules!$C$8+IFERROR(INDEX(Scoring_Rules!$C$22:$C$25,MATCH(O554,Scoring_Rules!$B$22:$B$25,0)),0)*Scoring_Rules!$C$9+IFERROR(INDEX(Scoring_Rules!$C$47:$C$50,MATCH(X554,Scoring_Rules!$B$47:$B$50,0)),0)*Scoring_Rules!$C$10+IFERROR(INDEX(Scoring_Rules!$C$28:$C$31,MATCH(R554,Scoring_Rules!$B$28:$B$31,0)),0)*Scoring_Rules!$C$11,1),"")</x:f>
        <x:v>47</x:v>
      </x:c>
      <x:c r="AF554" s="35">
        <x:v>6</x:v>
      </x:c>
      <x:c r="AG554" s="33" t="s">
        <x:v>2507</x:v>
      </x:c>
      <x:c r="AH554" s="36">
        <x:v>46353</x:v>
      </x:c>
      <x:c r="AI554" s="33" t="s">
        <x:v>127</x:v>
      </x:c>
      <x:c r="AJ554" s="34" t="s">
        <x:v>312</x:v>
      </x:c>
    </x:row>
    <x:row r="555" ht="15" customHeight="1">
      <x:c r="A555" s="31" t="s">
        <x:v>2508</x:v>
      </x:c>
      <x:c r="B555" s="31" t="s">
        <x:v>2509</x:v>
      </x:c>
      <x:c r="C555" s="31" t="s">
        <x:v>2502</x:v>
      </x:c>
      <x:c r="D555" s="32" t="s">
        <x:v>2198</x:v>
      </x:c>
      <x:c r="E555" s="32" t="str">
        <x:v>Data Migration Only</x:v>
      </x:c>
      <x:c r="F555" s="33" t="s">
        <x:v>118</x:v>
      </x:c>
      <x:c r="G555" s="34" t="s">
        <x:v>2503</x:v>
      </x:c>
      <x:c r="H555" s="33" t="s">
        <x:v>87</x:v>
      </x:c>
      <x:c r="I555" s="33" t="s">
        <x:v>2504</x:v>
      </x:c>
      <x:c r="J555" s="33" t="s">
        <x:v>80</x:v>
      </x:c>
      <x:c r="K555" s="33" t="s">
        <x:v>66</x:v>
      </x:c>
      <x:c r="L555" s="33" t="s">
        <x:v>73</x:v>
      </x:c>
      <x:c r="M555" s="35">
        <x:v>151</x:v>
      </x:c>
      <x:c r="N555" s="35">
        <x:v>6640259661</x:v>
      </x:c>
      <x:c r="O555" s="33" t="s">
        <x:v>101</x:v>
      </x:c>
      <x:c r="P555" s="33" t="s">
        <x:v>73</x:v>
      </x:c>
      <x:c r="Q555" s="33" t="s">
        <x:v>120</x:v>
      </x:c>
      <x:c r="R555" s="33" t="s">
        <x:v>101</x:v>
      </x:c>
      <x:c r="S555" s="31" t="s">
        <x:v>835</x:v>
      </x:c>
      <x:c r="T555" s="31" t="s">
        <x:v>2510</x:v>
      </x:c>
      <x:c r="U555" s="31" t="s">
        <x:v>522</x:v>
      </x:c>
      <x:c r="V555" s="33" t="s">
        <x:v>365</x:v>
      </x:c>
      <x:c r="W555" s="33"/>
      <x:c r="X555" s="33" t="s">
        <x:v>238</x:v>
      </x:c>
      <x:c r="Y555" s="36"/>
      <x:c r="Z555" s="36"/>
      <x:c r="AA555" s="33" t="s">
        <x:v>120</x:v>
      </x:c>
      <x:c r="AB555" s="37" t="n">
        <x:f>IFERROR(INDEX(Effort_Model!$J$6:$J$33,MATCH(K555&amp;"|"&amp;L555,Effort_Model!$B$6:$B$33,0)),"")</x:f>
        <x:v>138.4</x:v>
      </x:c>
      <x:c r="AC555" s="38">
        <x:v>988.5</x:v>
      </x:c>
      <x:c r="AD555" s="37">
        <x:f t="shared" si="8"/>
        <x:v>1257.5</x:v>
      </x:c>
      <x:c r="AE555" s="37" t="n">
        <x:f>IFERROR(ROUND(IFERROR(INDEX(Scoring_Rules!$C$43:$C$44,MATCH(Q555,Scoring_Rules!$B$43:$B$44,0)),0)*Scoring_Rules!$C$6+IFERROR(INDEX(Scoring_Rules!$C$34:$C$40,MATCH(K555,Scoring_Rules!$B$34:$B$40,0)),0)*Scoring_Rules!$C$7+IFERROR(INDEX(Scoring_Rules!$C$16:$C$19,MATCH(P555,Scoring_Rules!$B$16:$B$19,0)),0)*Scoring_Rules!$C$8+IFERROR(INDEX(Scoring_Rules!$C$22:$C$25,MATCH(O555,Scoring_Rules!$B$22:$B$25,0)),0)*Scoring_Rules!$C$9+IFERROR(INDEX(Scoring_Rules!$C$47:$C$50,MATCH(X555,Scoring_Rules!$B$47:$B$50,0)),0)*Scoring_Rules!$C$10+IFERROR(INDEX(Scoring_Rules!$C$28:$C$31,MATCH(R555,Scoring_Rules!$B$28:$B$31,0)),0)*Scoring_Rules!$C$11,1),"")</x:f>
        <x:v>40</x:v>
      </x:c>
      <x:c r="AF555" s="35">
        <x:v>5</x:v>
      </x:c>
      <x:c r="AG555" s="33" t="s">
        <x:v>2511</x:v>
      </x:c>
      <x:c r="AH555" s="36">
        <x:v>46401</x:v>
      </x:c>
      <x:c r="AI555" s="33" t="s">
        <x:v>125</x:v>
      </x:c>
      <x:c r="AJ555" s="34" t="s">
        <x:v>336</x:v>
      </x:c>
    </x:row>
    <x:row r="556" ht="15" customHeight="1">
      <x:c r="A556" s="31" t="s">
        <x:v>2512</x:v>
      </x:c>
      <x:c r="B556" s="31" t="s">
        <x:v>2513</x:v>
      </x:c>
      <x:c r="C556" s="31" t="s">
        <x:v>2502</x:v>
      </x:c>
      <x:c r="D556" s="32" t="s">
        <x:v>2198</x:v>
      </x:c>
      <x:c r="E556" s="32" t="str">
        <x:v>Data Migration Only</x:v>
      </x:c>
      <x:c r="F556" s="33" t="s">
        <x:v>120</x:v>
      </x:c>
      <x:c r="G556" s="34" t="s">
        <x:v>2514</x:v>
      </x:c>
      <x:c r="H556" s="33" t="s">
        <x:v>87</x:v>
      </x:c>
      <x:c r="I556" s="33" t="s">
        <x:v>2504</x:v>
      </x:c>
      <x:c r="J556" s="33" t="s">
        <x:v>80</x:v>
      </x:c>
      <x:c r="K556" s="33" t="s">
        <x:v>60</x:v>
      </x:c>
      <x:c r="L556" s="33" t="s">
        <x:v>73</x:v>
      </x:c>
      <x:c r="M556" s="35">
        <x:v>30</x:v>
      </x:c>
      <x:c r="N556" s="35">
        <x:v>5634434</x:v>
      </x:c>
      <x:c r="O556" s="33" t="s">
        <x:v>101</x:v>
      </x:c>
      <x:c r="P556" s="33" t="s">
        <x:v>98</x:v>
      </x:c>
      <x:c r="Q556" s="33" t="s">
        <x:v>118</x:v>
      </x:c>
      <x:c r="R556" s="33" t="s">
        <x:v>73</x:v>
      </x:c>
      <x:c r="S556" s="31" t="s">
        <x:v>488</x:v>
      </x:c>
      <x:c r="T556" s="31" t="s">
        <x:v>2159</x:v>
      </x:c>
      <x:c r="U556" s="31" t="s">
        <x:v>276</x:v>
      </x:c>
      <x:c r="V556" s="33" t="s">
        <x:v>323</x:v>
      </x:c>
      <x:c r="W556" s="33" t="s">
        <x:v>2508</x:v>
      </x:c>
      <x:c r="X556" s="33" t="s">
        <x:v>240</x:v>
      </x:c>
      <x:c r="Y556" s="36">
        <x:v>46577</x:v>
      </x:c>
      <x:c r="Z556" s="36"/>
      <x:c r="AA556" s="33" t="s">
        <x:v>120</x:v>
      </x:c>
      <x:c r="AB556" s="37" t="n">
        <x:f>IFERROR(INDEX(Effort_Model!$J$6:$J$33,MATCH(K556&amp;"|"&amp;L556,Effort_Model!$B$6:$B$33,0)),"")</x:f>
        <x:v>42.4</x:v>
      </x:c>
      <x:c r="AC556" s="38">
        <x:v>268.7</x:v>
      </x:c>
      <x:c r="AD556" s="37">
        <x:f t="shared" si="8"/>
        <x:v>345.7</x:v>
      </x:c>
      <x:c r="AE556" s="37" t="n">
        <x:f>IFERROR(ROUND(IFERROR(INDEX(Scoring_Rules!$C$43:$C$44,MATCH(Q556,Scoring_Rules!$B$43:$B$44,0)),0)*Scoring_Rules!$C$6+IFERROR(INDEX(Scoring_Rules!$C$34:$C$40,MATCH(K556,Scoring_Rules!$B$34:$B$40,0)),0)*Scoring_Rules!$C$7+IFERROR(INDEX(Scoring_Rules!$C$16:$C$19,MATCH(P556,Scoring_Rules!$B$16:$B$19,0)),0)*Scoring_Rules!$C$8+IFERROR(INDEX(Scoring_Rules!$C$22:$C$25,MATCH(O556,Scoring_Rules!$B$22:$B$25,0)),0)*Scoring_Rules!$C$9+IFERROR(INDEX(Scoring_Rules!$C$47:$C$50,MATCH(X556,Scoring_Rules!$B$47:$B$50,0)),0)*Scoring_Rules!$C$10+IFERROR(INDEX(Scoring_Rules!$C$28:$C$31,MATCH(R556,Scoring_Rules!$B$28:$B$31,0)),0)*Scoring_Rules!$C$11,1),"")</x:f>
        <x:v>73.3</x:v>
      </x:c>
      <x:c r="AF556" s="35">
        <x:v>1</x:v>
      </x:c>
      <x:c r="AG556" s="33" t="s">
        <x:v>2515</x:v>
      </x:c>
      <x:c r="AH556" s="36">
        <x:v>46385</x:v>
      </x:c>
      <x:c r="AI556" s="33" t="s">
        <x:v>127</x:v>
      </x:c>
      <x:c r="AJ556" s="34" t="s">
        <x:v>395</x:v>
      </x:c>
    </x:row>
    <x:row r="557" ht="15" customHeight="1">
      <x:c r="A557" s="31" t="s">
        <x:v>2516</x:v>
      </x:c>
      <x:c r="B557" s="31" t="s">
        <x:v>2517</x:v>
      </x:c>
      <x:c r="C557" s="31" t="s">
        <x:v>2502</x:v>
      </x:c>
      <x:c r="D557" s="32" t="s">
        <x:v>320</x:v>
      </x:c>
      <x:c r="E557" s="32" t="str">
        <x:v>Functional Migration Only</x:v>
      </x:c>
      <x:c r="F557" s="33" t="s">
        <x:v>120</x:v>
      </x:c>
      <x:c r="G557" s="34" t="s">
        <x:v>2518</x:v>
      </x:c>
      <x:c r="H557" s="33" t="s">
        <x:v>87</x:v>
      </x:c>
      <x:c r="I557" s="33" t="s">
        <x:v>2504</x:v>
      </x:c>
      <x:c r="J557" s="33" t="s">
        <x:v>82</x:v>
      </x:c>
      <x:c r="K557" s="33" t="s">
        <x:v>62</x:v>
      </x:c>
      <x:c r="L557" s="33" t="s">
        <x:v>75</x:v>
      </x:c>
      <x:c r="M557" s="35">
        <x:v>53</x:v>
      </x:c>
      <x:c r="N557" s="35">
        <x:v>88757391</x:v>
      </x:c>
      <x:c r="O557" s="33" t="s">
        <x:v>73</x:v>
      </x:c>
      <x:c r="P557" s="33" t="s">
        <x:v>73</x:v>
      </x:c>
      <x:c r="Q557" s="33" t="s">
        <x:v>120</x:v>
      </x:c>
      <x:c r="R557" s="33" t="s">
        <x:v>101</x:v>
      </x:c>
      <x:c r="S557" s="31" t="s">
        <x:v>363</x:v>
      </x:c>
      <x:c r="T557" s="31" t="s">
        <x:v>364</x:v>
      </x:c>
      <x:c r="U557" s="31" t="s">
        <x:v>276</x:v>
      </x:c>
      <x:c r="V557" s="33" t="s">
        <x:v>323</x:v>
      </x:c>
      <x:c r="W557" s="33"/>
      <x:c r="X557" s="33" t="s">
        <x:v>238</x:v>
      </x:c>
      <x:c r="Y557" s="36"/>
      <x:c r="Z557" s="36"/>
      <x:c r="AA557" s="33" t="s">
        <x:v>120</x:v>
      </x:c>
      <x:c r="AB557" s="37" t="n">
        <x:f>IFERROR(INDEX(Effort_Model!$J$6:$J$33,MATCH(K557&amp;"|"&amp;L557,Effort_Model!$B$6:$B$33,0)),"")</x:f>
        <x:v>74.4</x:v>
      </x:c>
      <x:c r="AC557" s="38">
        <x:v>1019.1</x:v>
      </x:c>
      <x:c r="AD557" s="37">
        <x:f t="shared" si="8"/>
        <x:v>1228.4333000000001</x:v>
      </x:c>
      <x:c r="AE557" s="37" t="n">
        <x:f>IFERROR(ROUND(IFERROR(INDEX(Scoring_Rules!$C$43:$C$44,MATCH(Q557,Scoring_Rules!$B$43:$B$44,0)),0)*Scoring_Rules!$C$6+IFERROR(INDEX(Scoring_Rules!$C$34:$C$40,MATCH(K557,Scoring_Rules!$B$34:$B$40,0)),0)*Scoring_Rules!$C$7+IFERROR(INDEX(Scoring_Rules!$C$16:$C$19,MATCH(P557,Scoring_Rules!$B$16:$B$19,0)),0)*Scoring_Rules!$C$8+IFERROR(INDEX(Scoring_Rules!$C$22:$C$25,MATCH(O557,Scoring_Rules!$B$22:$B$25,0)),0)*Scoring_Rules!$C$9+IFERROR(INDEX(Scoring_Rules!$C$47:$C$50,MATCH(X557,Scoring_Rules!$B$47:$B$50,0)),0)*Scoring_Rules!$C$10+IFERROR(INDEX(Scoring_Rules!$C$28:$C$31,MATCH(R557,Scoring_Rules!$B$28:$B$31,0)),0)*Scoring_Rules!$C$11,1),"")</x:f>
        <x:v>52.3</x:v>
      </x:c>
      <x:c r="AF557" s="35">
        <x:v>5</x:v>
      </x:c>
      <x:c r="AG557" s="33" t="s">
        <x:v>2519</x:v>
      </x:c>
      <x:c r="AH557" s="36">
        <x:v>46303</x:v>
      </x:c>
      <x:c r="AI557" s="33" t="s">
        <x:v>127</x:v>
      </x:c>
      <x:c r="AJ557" s="34"/>
    </x:row>
    <x:row r="558" ht="15" customHeight="1">
      <x:c r="A558" s="31" t="s">
        <x:v>2520</x:v>
      </x:c>
      <x:c r="B558" s="31" t="s">
        <x:v>2521</x:v>
      </x:c>
      <x:c r="C558" s="31" t="s">
        <x:v>2502</x:v>
      </x:c>
      <x:c r="D558" s="32" t="s">
        <x:v>2198</x:v>
      </x:c>
      <x:c r="E558" s="32" t="str">
        <x:v>Functional Migration Only</x:v>
      </x:c>
      <x:c r="F558" s="33" t="s">
        <x:v>118</x:v>
      </x:c>
      <x:c r="G558" s="34" t="s">
        <x:v>2514</x:v>
      </x:c>
      <x:c r="H558" s="33" t="s">
        <x:v>87</x:v>
      </x:c>
      <x:c r="I558" s="33" t="s">
        <x:v>2504</x:v>
      </x:c>
      <x:c r="J558" s="33" t="s">
        <x:v>82</x:v>
      </x:c>
      <x:c r="K558" s="33" t="s">
        <x:v>62</x:v>
      </x:c>
      <x:c r="L558" s="33" t="s">
        <x:v>73</x:v>
      </x:c>
      <x:c r="M558" s="35">
        <x:v>60</x:v>
      </x:c>
      <x:c r="N558" s="35">
        <x:v>100145593</x:v>
      </x:c>
      <x:c r="O558" s="33" t="s">
        <x:v>73</x:v>
      </x:c>
      <x:c r="P558" s="33" t="s">
        <x:v>98</x:v>
      </x:c>
      <x:c r="Q558" s="33" t="s">
        <x:v>120</x:v>
      </x:c>
      <x:c r="R558" s="33" t="s">
        <x:v>101</x:v>
      </x:c>
      <x:c r="S558" s="31" t="s">
        <x:v>2522</x:v>
      </x:c>
      <x:c r="T558" s="31" t="s">
        <x:v>2523</x:v>
      </x:c>
      <x:c r="U558" s="31" t="s">
        <x:v>522</x:v>
      </x:c>
      <x:c r="V558" s="33" t="s">
        <x:v>379</x:v>
      </x:c>
      <x:c r="W558" s="33" t="s">
        <x:v>2500</x:v>
      </x:c>
      <x:c r="X558" s="33" t="s">
        <x:v>240</x:v>
      </x:c>
      <x:c r="Y558" s="36"/>
      <x:c r="Z558" s="36"/>
      <x:c r="AA558" s="33" t="s">
        <x:v>120</x:v>
      </x:c>
      <x:c r="AB558" s="37" t="n">
        <x:f>IFERROR(INDEX(Effort_Model!$J$6:$J$33,MATCH(K558&amp;"|"&amp;L558,Effort_Model!$B$6:$B$33,0)),"")</x:f>
        <x:v>74.4</x:v>
      </x:c>
      <x:c r="AC558" s="38">
        <x:v>714.5</x:v>
      </x:c>
      <x:c r="AD558" s="37">
        <x:f t="shared" si="8"/>
        <x:v>855.5</x:v>
      </x:c>
      <x:c r="AE558" s="37" t="n">
        <x:f>IFERROR(ROUND(IFERROR(INDEX(Scoring_Rules!$C$43:$C$44,MATCH(Q558,Scoring_Rules!$B$43:$B$44,0)),0)*Scoring_Rules!$C$6+IFERROR(INDEX(Scoring_Rules!$C$34:$C$40,MATCH(K558,Scoring_Rules!$B$34:$B$40,0)),0)*Scoring_Rules!$C$7+IFERROR(INDEX(Scoring_Rules!$C$16:$C$19,MATCH(P558,Scoring_Rules!$B$16:$B$19,0)),0)*Scoring_Rules!$C$8+IFERROR(INDEX(Scoring_Rules!$C$22:$C$25,MATCH(O558,Scoring_Rules!$B$22:$B$25,0)),0)*Scoring_Rules!$C$9+IFERROR(INDEX(Scoring_Rules!$C$47:$C$50,MATCH(X558,Scoring_Rules!$B$47:$B$50,0)),0)*Scoring_Rules!$C$10+IFERROR(INDEX(Scoring_Rules!$C$28:$C$31,MATCH(R558,Scoring_Rules!$B$28:$B$31,0)),0)*Scoring_Rules!$C$11,1),"")</x:f>
        <x:v>47.8</x:v>
      </x:c>
      <x:c r="AF558" s="35">
        <x:v>3</x:v>
      </x:c>
      <x:c r="AG558" s="33" t="s">
        <x:v>2507</x:v>
      </x:c>
      <x:c r="AH558" s="36">
        <x:v>46304</x:v>
      </x:c>
      <x:c r="AI558" s="33" t="s">
        <x:v>127</x:v>
      </x:c>
      <x:c r="AJ558" s="34" t="s">
        <x:v>312</x:v>
      </x:c>
    </x:row>
    <x:row r="559" ht="15" customHeight="1">
      <x:c r="A559" s="31" t="s">
        <x:v>2524</x:v>
      </x:c>
      <x:c r="B559" s="31" t="s">
        <x:v>2525</x:v>
      </x:c>
      <x:c r="C559" s="31" t="s">
        <x:v>2502</x:v>
      </x:c>
      <x:c r="D559" s="32" t="s">
        <x:v>2198</x:v>
      </x:c>
      <x:c r="E559" s="32" t="str">
        <x:v>Data Migration Only</x:v>
      </x:c>
      <x:c r="F559" s="33" t="s">
        <x:v>118</x:v>
      </x:c>
      <x:c r="G559" s="34" t="s">
        <x:v>2526</x:v>
      </x:c>
      <x:c r="H559" s="33" t="s">
        <x:v>87</x:v>
      </x:c>
      <x:c r="I559" s="33" t="s">
        <x:v>2504</x:v>
      </x:c>
      <x:c r="J559" s="33" t="s">
        <x:v>80</x:v>
      </x:c>
      <x:c r="K559" s="33" t="s">
        <x:v>58</x:v>
      </x:c>
      <x:c r="L559" s="33" t="s">
        <x:v>73</x:v>
      </x:c>
      <x:c r="M559" s="35">
        <x:v>26</x:v>
      </x:c>
      <x:c r="N559" s="35">
        <x:v>1334232</x:v>
      </x:c>
      <x:c r="O559" s="33" t="s">
        <x:v>101</x:v>
      </x:c>
      <x:c r="P559" s="33" t="s">
        <x:v>98</x:v>
      </x:c>
      <x:c r="Q559" s="33" t="s">
        <x:v>120</x:v>
      </x:c>
      <x:c r="R559" s="33" t="s">
        <x:v>101</x:v>
      </x:c>
      <x:c r="S559" s="31" t="s">
        <x:v>2256</x:v>
      </x:c>
      <x:c r="T559" s="31" t="s">
        <x:v>2527</x:v>
      </x:c>
      <x:c r="U559" s="31" t="s">
        <x:v>276</x:v>
      </x:c>
      <x:c r="V559" s="33" t="s">
        <x:v>277</x:v>
      </x:c>
      <x:c r="W559" s="33" t="s">
        <x:v>2516</x:v>
      </x:c>
      <x:c r="X559" s="33" t="s">
        <x:v>239</x:v>
      </x:c>
      <x:c r="Y559" s="36"/>
      <x:c r="Z559" s="36"/>
      <x:c r="AA559" s="33" t="s">
        <x:v>118</x:v>
      </x:c>
      <x:c r="AB559" s="37" t="n">
        <x:f>IFERROR(INDEX(Effort_Model!$J$6:$J$33,MATCH(K559&amp;"|"&amp;L559,Effort_Model!$B$6:$B$33,0)),"")</x:f>
        <x:v>26.4</x:v>
      </x:c>
      <x:c r="AC559" s="38">
        <x:v>145.69999999999999</x:v>
      </x:c>
      <x:c r="AD559" s="37">
        <x:f t="shared" si="8"/>
        <x:v>190.7</x:v>
      </x:c>
      <x:c r="AE559" s="37" t="n">
        <x:f>IFERROR(ROUND(IFERROR(INDEX(Scoring_Rules!$C$43:$C$44,MATCH(Q559,Scoring_Rules!$B$43:$B$44,0)),0)*Scoring_Rules!$C$6+IFERROR(INDEX(Scoring_Rules!$C$34:$C$40,MATCH(K559,Scoring_Rules!$B$34:$B$40,0)),0)*Scoring_Rules!$C$7+IFERROR(INDEX(Scoring_Rules!$C$16:$C$19,MATCH(P559,Scoring_Rules!$B$16:$B$19,0)),0)*Scoring_Rules!$C$8+IFERROR(INDEX(Scoring_Rules!$C$22:$C$25,MATCH(O559,Scoring_Rules!$B$22:$B$25,0)),0)*Scoring_Rules!$C$9+IFERROR(INDEX(Scoring_Rules!$C$47:$C$50,MATCH(X559,Scoring_Rules!$B$47:$B$50,0)),0)*Scoring_Rules!$C$10+IFERROR(INDEX(Scoring_Rules!$C$28:$C$31,MATCH(R559,Scoring_Rules!$B$28:$B$31,0)),0)*Scoring_Rules!$C$11,1),"")</x:f>
        <x:v>55.5</x:v>
      </x:c>
      <x:c r="AF559" s="35"/>
      <x:c r="AG559" s="33" t="s">
        <x:v>2511</x:v>
      </x:c>
      <x:c r="AH559" s="36">
        <x:v>46354</x:v>
      </x:c>
      <x:c r="AI559" s="33" t="s">
        <x:v>127</x:v>
      </x:c>
      <x:c r="AJ559" s="34"/>
    </x:row>
    <x:row r="560" ht="15" customHeight="1">
      <x:c r="A560" s="31" t="s">
        <x:v>2528</x:v>
      </x:c>
      <x:c r="B560" s="31" t="s">
        <x:v>2529</x:v>
      </x:c>
      <x:c r="C560" s="31" t="s">
        <x:v>2502</x:v>
      </x:c>
      <x:c r="D560" s="32" t="s">
        <x:v>493</x:v>
      </x:c>
      <x:c r="E560" s="32" t="str">
        <x:v>Functional Migration Only</x:v>
      </x:c>
      <x:c r="F560" s="33" t="s">
        <x:v>120</x:v>
      </x:c>
      <x:c r="G560" s="34" t="s">
        <x:v>2514</x:v>
      </x:c>
      <x:c r="H560" s="33" t="s">
        <x:v>87</x:v>
      </x:c>
      <x:c r="I560" s="33" t="s">
        <x:v>2504</x:v>
      </x:c>
      <x:c r="J560" s="33" t="s">
        <x:v>82</x:v>
      </x:c>
      <x:c r="K560" s="33" t="s">
        <x:v>62</x:v>
      </x:c>
      <x:c r="L560" s="33" t="s">
        <x:v>75</x:v>
      </x:c>
      <x:c r="M560" s="35">
        <x:v>64</x:v>
      </x:c>
      <x:c r="N560" s="35">
        <x:v>100206158</x:v>
      </x:c>
      <x:c r="O560" s="33" t="s">
        <x:v>73</x:v>
      </x:c>
      <x:c r="P560" s="33" t="s">
        <x:v>109</x:v>
      </x:c>
      <x:c r="Q560" s="33" t="s">
        <x:v>120</x:v>
      </x:c>
      <x:c r="R560" s="33" t="s">
        <x:v>115</x:v>
      </x:c>
      <x:c r="S560" s="31" t="s">
        <x:v>604</x:v>
      </x:c>
      <x:c r="T560" s="31" t="s">
        <x:v>2201</x:v>
      </x:c>
      <x:c r="U560" s="31" t="s">
        <x:v>276</x:v>
      </x:c>
      <x:c r="V560" s="33" t="s">
        <x:v>277</x:v>
      </x:c>
      <x:c r="W560" s="33"/>
      <x:c r="X560" s="33" t="s">
        <x:v>238</x:v>
      </x:c>
      <x:c r="Y560" s="36"/>
      <x:c r="Z560" s="36">
        <x:v>46575</x:v>
      </x:c>
      <x:c r="AA560" s="33" t="s">
        <x:v>120</x:v>
      </x:c>
      <x:c r="AB560" s="37" t="n">
        <x:f>IFERROR(INDEX(Effort_Model!$J$6:$J$33,MATCH(K560&amp;"|"&amp;L560,Effort_Model!$B$6:$B$33,0)),"")</x:f>
        <x:v>74.4</x:v>
      </x:c>
      <x:c r="AC560" s="38">
        <x:v>940.9</x:v>
      </x:c>
      <x:c r="AD560" s="37">
        <x:f t="shared" si="8"/>
        <x:v>1150.2332999999999</x:v>
      </x:c>
      <x:c r="AE560" s="37" t="n">
        <x:f>IFERROR(ROUND(IFERROR(INDEX(Scoring_Rules!$C$43:$C$44,MATCH(Q560,Scoring_Rules!$B$43:$B$44,0)),0)*Scoring_Rules!$C$6+IFERROR(INDEX(Scoring_Rules!$C$34:$C$40,MATCH(K560,Scoring_Rules!$B$34:$B$40,0)),0)*Scoring_Rules!$C$7+IFERROR(INDEX(Scoring_Rules!$C$16:$C$19,MATCH(P560,Scoring_Rules!$B$16:$B$19,0)),0)*Scoring_Rules!$C$8+IFERROR(INDEX(Scoring_Rules!$C$22:$C$25,MATCH(O560,Scoring_Rules!$B$22:$B$25,0)),0)*Scoring_Rules!$C$9+IFERROR(INDEX(Scoring_Rules!$C$47:$C$50,MATCH(X560,Scoring_Rules!$B$47:$B$50,0)),0)*Scoring_Rules!$C$10+IFERROR(INDEX(Scoring_Rules!$C$28:$C$31,MATCH(R560,Scoring_Rules!$B$28:$B$31,0)),0)*Scoring_Rules!$C$11,1),"")</x:f>
        <x:v>36.5</x:v>
      </x:c>
      <x:c r="AF560" s="35">
        <x:v>7</x:v>
      </x:c>
      <x:c r="AG560" s="33" t="s">
        <x:v>2515</x:v>
      </x:c>
      <x:c r="AH560" s="36">
        <x:v>46375</x:v>
      </x:c>
      <x:c r="AI560" s="33" t="s">
        <x:v>127</x:v>
      </x:c>
      <x:c r="AJ560" s="34" t="s">
        <x:v>395</x:v>
      </x:c>
    </x:row>
    <x:row r="561" ht="23.25" customHeight="1">
      <x:c r="A561" s="31" t="s">
        <x:v>2530</x:v>
      </x:c>
      <x:c r="B561" s="31" t="s">
        <x:v>2531</x:v>
      </x:c>
      <x:c r="C561" s="31" t="s">
        <x:v>2502</x:v>
      </x:c>
      <x:c r="D561" s="32" t="s">
        <x:v>2532</x:v>
      </x:c>
      <x:c r="E561" s="32" t="str">
        <x:v>Data Migration Only</x:v>
      </x:c>
      <x:c r="F561" s="33" t="s">
        <x:v>118</x:v>
      </x:c>
      <x:c r="G561" s="34" t="s">
        <x:v>2514</x:v>
      </x:c>
      <x:c r="H561" s="33" t="s">
        <x:v>87</x:v>
      </x:c>
      <x:c r="I561" s="33" t="s">
        <x:v>2504</x:v>
      </x:c>
      <x:c r="J561" s="33" t="s">
        <x:v>80</x:v>
      </x:c>
      <x:c r="K561" s="33" t="s">
        <x:v>60</x:v>
      </x:c>
      <x:c r="L561" s="33" t="s">
        <x:v>73</x:v>
      </x:c>
      <x:c r="M561" s="35">
        <x:v>31</x:v>
      </x:c>
      <x:c r="N561" s="35">
        <x:v>3486205</x:v>
      </x:c>
      <x:c r="O561" s="33" t="s">
        <x:v>73</x:v>
      </x:c>
      <x:c r="P561" s="33" t="s">
        <x:v>101</x:v>
      </x:c>
      <x:c r="Q561" s="33" t="s">
        <x:v>120</x:v>
      </x:c>
      <x:c r="R561" s="33" t="s">
        <x:v>115</x:v>
      </x:c>
      <x:c r="S561" s="31" t="s">
        <x:v>2533</x:v>
      </x:c>
      <x:c r="T561" s="31" t="s">
        <x:v>2534</x:v>
      </x:c>
      <x:c r="U561" s="31" t="s">
        <x:v>276</x:v>
      </x:c>
      <x:c r="V561" s="33" t="s">
        <x:v>303</x:v>
      </x:c>
      <x:c r="W561" s="33" t="s">
        <x:v>2535</x:v>
      </x:c>
      <x:c r="X561" s="33" t="s">
        <x:v>239</x:v>
      </x:c>
      <x:c r="Y561" s="36">
        <x:v>46462</x:v>
      </x:c>
      <x:c r="Z561" s="36"/>
      <x:c r="AA561" s="33" t="s">
        <x:v>120</x:v>
      </x:c>
      <x:c r="AB561" s="37" t="n">
        <x:f>IFERROR(INDEX(Effort_Model!$J$6:$J$33,MATCH(K561&amp;"|"&amp;L561,Effort_Model!$B$6:$B$33,0)),"")</x:f>
        <x:v>42.4</x:v>
      </x:c>
      <x:c r="AC561" s="38">
        <x:v>227.9</x:v>
      </x:c>
      <x:c r="AD561" s="37">
        <x:f t="shared" si="8"/>
        <x:v>304.89999999999998</x:v>
      </x:c>
      <x:c r="AE561" s="37" t="n">
        <x:f>IFERROR(ROUND(IFERROR(INDEX(Scoring_Rules!$C$43:$C$44,MATCH(Q561,Scoring_Rules!$B$43:$B$44,0)),0)*Scoring_Rules!$C$6+IFERROR(INDEX(Scoring_Rules!$C$34:$C$40,MATCH(K561,Scoring_Rules!$B$34:$B$40,0)),0)*Scoring_Rules!$C$7+IFERROR(INDEX(Scoring_Rules!$C$16:$C$19,MATCH(P561,Scoring_Rules!$B$16:$B$19,0)),0)*Scoring_Rules!$C$8+IFERROR(INDEX(Scoring_Rules!$C$22:$C$25,MATCH(O561,Scoring_Rules!$B$22:$B$25,0)),0)*Scoring_Rules!$C$9+IFERROR(INDEX(Scoring_Rules!$C$47:$C$50,MATCH(X561,Scoring_Rules!$B$47:$B$50,0)),0)*Scoring_Rules!$C$10+IFERROR(INDEX(Scoring_Rules!$C$28:$C$31,MATCH(R561,Scoring_Rules!$B$28:$B$31,0)),0)*Scoring_Rules!$C$11,1),"")</x:f>
        <x:v>43</x:v>
      </x:c>
      <x:c r="AF561" s="35">
        <x:v>4</x:v>
      </x:c>
      <x:c r="AG561" s="33" t="s">
        <x:v>2519</x:v>
      </x:c>
      <x:c r="AH561" s="36">
        <x:v>46393</x:v>
      </x:c>
      <x:c r="AI561" s="33" t="s">
        <x:v>127</x:v>
      </x:c>
      <x:c r="AJ561" s="34"/>
    </x:row>
    <x:row r="562" ht="15" customHeight="1">
      <x:c r="A562" s="31" t="s">
        <x:v>2536</x:v>
      </x:c>
      <x:c r="B562" s="31" t="s">
        <x:v>2537</x:v>
      </x:c>
      <x:c r="C562" s="31" t="s">
        <x:v>2502</x:v>
      </x:c>
      <x:c r="D562" s="32" t="s">
        <x:v>2198</x:v>
      </x:c>
      <x:c r="E562" s="32" t="str">
        <x:v>Data Migration Only</x:v>
      </x:c>
      <x:c r="F562" s="33" t="s">
        <x:v>118</x:v>
      </x:c>
      <x:c r="G562" s="34" t="s">
        <x:v>2526</x:v>
      </x:c>
      <x:c r="H562" s="33" t="s">
        <x:v>87</x:v>
      </x:c>
      <x:c r="I562" s="33" t="s">
        <x:v>2504</x:v>
      </x:c>
      <x:c r="J562" s="33" t="s">
        <x:v>80</x:v>
      </x:c>
      <x:c r="K562" s="33" t="s">
        <x:v>60</x:v>
      </x:c>
      <x:c r="L562" s="33" t="s">
        <x:v>73</x:v>
      </x:c>
      <x:c r="M562" s="35">
        <x:v>34</x:v>
      </x:c>
      <x:c r="N562" s="35">
        <x:v>5531680</x:v>
      </x:c>
      <x:c r="O562" s="33" t="s">
        <x:v>73</x:v>
      </x:c>
      <x:c r="P562" s="33" t="s">
        <x:v>101</x:v>
      </x:c>
      <x:c r="Q562" s="33" t="s">
        <x:v>120</x:v>
      </x:c>
      <x:c r="R562" s="33" t="s">
        <x:v>115</x:v>
      </x:c>
      <x:c r="S562" s="31" t="s">
        <x:v>2538</x:v>
      </x:c>
      <x:c r="T562" s="31" t="s">
        <x:v>2539</x:v>
      </x:c>
      <x:c r="U562" s="31" t="s">
        <x:v>276</x:v>
      </x:c>
      <x:c r="V562" s="33" t="s">
        <x:v>451</x:v>
      </x:c>
      <x:c r="W562" s="33"/>
      <x:c r="X562" s="33" t="s">
        <x:v>238</x:v>
      </x:c>
      <x:c r="Y562" s="36"/>
      <x:c r="Z562" s="36"/>
      <x:c r="AA562" s="33" t="s">
        <x:v>120</x:v>
      </x:c>
      <x:c r="AB562" s="37" t="n">
        <x:f>IFERROR(INDEX(Effort_Model!$J$6:$J$33,MATCH(K562&amp;"|"&amp;L562,Effort_Model!$B$6:$B$33,0)),"")</x:f>
        <x:v>42.4</x:v>
      </x:c>
      <x:c r="AC562" s="38">
        <x:v>230.4</x:v>
      </x:c>
      <x:c r="AD562" s="37">
        <x:f t="shared" si="8"/>
        <x:v>307.39999999999998</x:v>
      </x:c>
      <x:c r="AE562" s="37" t="n">
        <x:f>IFERROR(ROUND(IFERROR(INDEX(Scoring_Rules!$C$43:$C$44,MATCH(Q562,Scoring_Rules!$B$43:$B$44,0)),0)*Scoring_Rules!$C$6+IFERROR(INDEX(Scoring_Rules!$C$34:$C$40,MATCH(K562,Scoring_Rules!$B$34:$B$40,0)),0)*Scoring_Rules!$C$7+IFERROR(INDEX(Scoring_Rules!$C$16:$C$19,MATCH(P562,Scoring_Rules!$B$16:$B$19,0)),0)*Scoring_Rules!$C$8+IFERROR(INDEX(Scoring_Rules!$C$22:$C$25,MATCH(O562,Scoring_Rules!$B$22:$B$25,0)),0)*Scoring_Rules!$C$9+IFERROR(INDEX(Scoring_Rules!$C$47:$C$50,MATCH(X562,Scoring_Rules!$B$47:$B$50,0)),0)*Scoring_Rules!$C$10+IFERROR(INDEX(Scoring_Rules!$C$28:$C$31,MATCH(R562,Scoring_Rules!$B$28:$B$31,0)),0)*Scoring_Rules!$C$11,1),"")</x:f>
        <x:v>47.5</x:v>
      </x:c>
      <x:c r="AF562" s="35">
        <x:v>4</x:v>
      </x:c>
      <x:c r="AG562" s="33" t="s">
        <x:v>2507</x:v>
      </x:c>
      <x:c r="AH562" s="36">
        <x:v>46318</x:v>
      </x:c>
      <x:c r="AI562" s="33" t="s">
        <x:v>126</x:v>
      </x:c>
      <x:c r="AJ562" s="34"/>
    </x:row>
    <x:row r="563" ht="45.75" customHeight="1">
      <x:c r="A563" s="31" t="s">
        <x:v>2540</x:v>
      </x:c>
      <x:c r="B563" s="31" t="s">
        <x:v>2541</x:v>
      </x:c>
      <x:c r="C563" s="31" t="s">
        <x:v>2502</x:v>
      </x:c>
      <x:c r="D563" s="32" t="s">
        <x:v>2212</x:v>
      </x:c>
      <x:c r="E563" s="32" t="str">
        <x:v>Data Migration Only</x:v>
      </x:c>
      <x:c r="F563" s="33" t="s">
        <x:v>118</x:v>
      </x:c>
      <x:c r="G563" s="34" t="s">
        <x:v>2518</x:v>
      </x:c>
      <x:c r="H563" s="33" t="s">
        <x:v>87</x:v>
      </x:c>
      <x:c r="I563" s="33" t="s">
        <x:v>2504</x:v>
      </x:c>
      <x:c r="J563" s="33" t="s">
        <x:v>80</x:v>
      </x:c>
      <x:c r="K563" s="33" t="s">
        <x:v>60</x:v>
      </x:c>
      <x:c r="L563" s="33" t="s">
        <x:v>77</x:v>
      </x:c>
      <x:c r="M563" s="35">
        <x:v>32</x:v>
      </x:c>
      <x:c r="N563" s="35">
        <x:v>4351090</x:v>
      </x:c>
      <x:c r="O563" s="33" t="s">
        <x:v>101</x:v>
      </x:c>
      <x:c r="P563" s="33" t="s">
        <x:v>73</x:v>
      </x:c>
      <x:c r="Q563" s="33" t="s">
        <x:v>120</x:v>
      </x:c>
      <x:c r="R563" s="33" t="s">
        <x:v>101</x:v>
      </x:c>
      <x:c r="S563" s="31" t="s">
        <x:v>2249</x:v>
      </x:c>
      <x:c r="T563" s="31" t="s">
        <x:v>2542</x:v>
      </x:c>
      <x:c r="U563" s="31" t="s">
        <x:v>276</x:v>
      </x:c>
      <x:c r="V563" s="33" t="s">
        <x:v>323</x:v>
      </x:c>
      <x:c r="W563" s="33"/>
      <x:c r="X563" s="33" t="s">
        <x:v>238</x:v>
      </x:c>
      <x:c r="Y563" s="36"/>
      <x:c r="Z563" s="36"/>
      <x:c r="AA563" s="33" t="s">
        <x:v>120</x:v>
      </x:c>
      <x:c r="AB563" s="37" t="n">
        <x:f>IFERROR(INDEX(Effort_Model!$J$6:$J$33,MATCH(K563&amp;"|"&amp;L563,Effort_Model!$B$6:$B$33,0)),"")</x:f>
        <x:v>42.4</x:v>
      </x:c>
      <x:c r="AC563" s="38">
        <x:v>467.8</x:v>
      </x:c>
      <x:c r="AD563" s="37">
        <x:f t="shared" si="8"/>
        <x:v>613.13329999999996</x:v>
      </x:c>
      <x:c r="AE563" s="37" t="n">
        <x:f>IFERROR(ROUND(IFERROR(INDEX(Scoring_Rules!$C$43:$C$44,MATCH(Q563,Scoring_Rules!$B$43:$B$44,0)),0)*Scoring_Rules!$C$6+IFERROR(INDEX(Scoring_Rules!$C$34:$C$40,MATCH(K563,Scoring_Rules!$B$34:$B$40,0)),0)*Scoring_Rules!$C$7+IFERROR(INDEX(Scoring_Rules!$C$16:$C$19,MATCH(P563,Scoring_Rules!$B$16:$B$19,0)),0)*Scoring_Rules!$C$8+IFERROR(INDEX(Scoring_Rules!$C$22:$C$25,MATCH(O563,Scoring_Rules!$B$22:$B$25,0)),0)*Scoring_Rules!$C$9+IFERROR(INDEX(Scoring_Rules!$C$47:$C$50,MATCH(X563,Scoring_Rules!$B$47:$B$50,0)),0)*Scoring_Rules!$C$10+IFERROR(INDEX(Scoring_Rules!$C$28:$C$31,MATCH(R563,Scoring_Rules!$B$28:$B$31,0)),0)*Scoring_Rules!$C$11,1),"")</x:f>
        <x:v>51</x:v>
      </x:c>
      <x:c r="AF563" s="35">
        <x:v>7</x:v>
      </x:c>
      <x:c r="AG563" s="33" t="s">
        <x:v>2511</x:v>
      </x:c>
      <x:c r="AH563" s="36">
        <x:v>46338</x:v>
      </x:c>
      <x:c r="AI563" s="33" t="s">
        <x:v>126</x:v>
      </x:c>
      <x:c r="AJ563" s="34" t="s">
        <x:v>445</x:v>
      </x:c>
    </x:row>
    <x:row r="564" ht="15" customHeight="1">
      <x:c r="A564" s="31" t="s">
        <x:v>2543</x:v>
      </x:c>
      <x:c r="B564" s="31" t="s">
        <x:v>2544</x:v>
      </x:c>
      <x:c r="C564" s="31" t="s">
        <x:v>2502</x:v>
      </x:c>
      <x:c r="D564" s="32" t="s">
        <x:v>2198</x:v>
      </x:c>
      <x:c r="E564" s="32" t="str">
        <x:v>Functional Migration Only</x:v>
      </x:c>
      <x:c r="F564" s="33" t="s">
        <x:v>118</x:v>
      </x:c>
      <x:c r="G564" s="34" t="s">
        <x:v>2514</x:v>
      </x:c>
      <x:c r="H564" s="33" t="s">
        <x:v>87</x:v>
      </x:c>
      <x:c r="I564" s="33" t="s">
        <x:v>2504</x:v>
      </x:c>
      <x:c r="J564" s="33" t="s">
        <x:v>82</x:v>
      </x:c>
      <x:c r="K564" s="33" t="s">
        <x:v>62</x:v>
      </x:c>
      <x:c r="L564" s="33" t="s">
        <x:v>71</x:v>
      </x:c>
      <x:c r="M564" s="35">
        <x:v>56</x:v>
      </x:c>
      <x:c r="N564" s="35">
        <x:v>126071904</x:v>
      </x:c>
      <x:c r="O564" s="33" t="s">
        <x:v>101</x:v>
      </x:c>
      <x:c r="P564" s="33" t="s">
        <x:v>98</x:v>
      </x:c>
      <x:c r="Q564" s="33" t="s">
        <x:v>120</x:v>
      </x:c>
      <x:c r="R564" s="33" t="s">
        <x:v>101</x:v>
      </x:c>
      <x:c r="S564" s="31" t="s">
        <x:v>2545</x:v>
      </x:c>
      <x:c r="T564" s="31" t="s">
        <x:v>2546</x:v>
      </x:c>
      <x:c r="U564" s="31" t="s">
        <x:v>276</x:v>
      </x:c>
      <x:c r="V564" s="33" t="s">
        <x:v>329</x:v>
      </x:c>
      <x:c r="W564" s="33"/>
      <x:c r="X564" s="33" t="s">
        <x:v>238</x:v>
      </x:c>
      <x:c r="Y564" s="36"/>
      <x:c r="Z564" s="36"/>
      <x:c r="AA564" s="33" t="s">
        <x:v>120</x:v>
      </x:c>
      <x:c r="AB564" s="37" t="n">
        <x:f>IFERROR(INDEX(Effort_Model!$J$6:$J$33,MATCH(K564&amp;"|"&amp;L564,Effort_Model!$B$6:$B$33,0)),"")</x:f>
        <x:v>18.4</x:v>
      </x:c>
      <x:c r="AC564" s="38">
        <x:v>481.2</x:v>
      </x:c>
      <x:c r="AD564" s="37">
        <x:f t="shared" si="8"/>
        <x:v>555.6</x:v>
      </x:c>
      <x:c r="AE564" s="37" t="n">
        <x:f>IFERROR(ROUND(IFERROR(INDEX(Scoring_Rules!$C$43:$C$44,MATCH(Q564,Scoring_Rules!$B$43:$B$44,0)),0)*Scoring_Rules!$C$6+IFERROR(INDEX(Scoring_Rules!$C$34:$C$40,MATCH(K564,Scoring_Rules!$B$34:$B$40,0)),0)*Scoring_Rules!$C$7+IFERROR(INDEX(Scoring_Rules!$C$16:$C$19,MATCH(P564,Scoring_Rules!$B$16:$B$19,0)),0)*Scoring_Rules!$C$8+IFERROR(INDEX(Scoring_Rules!$C$22:$C$25,MATCH(O564,Scoring_Rules!$B$22:$B$25,0)),0)*Scoring_Rules!$C$9+IFERROR(INDEX(Scoring_Rules!$C$47:$C$50,MATCH(X564,Scoring_Rules!$B$47:$B$50,0)),0)*Scoring_Rules!$C$10+IFERROR(INDEX(Scoring_Rules!$C$28:$C$31,MATCH(R564,Scoring_Rules!$B$28:$B$31,0)),0)*Scoring_Rules!$C$11,1),"")</x:f>
        <x:v>53</x:v>
      </x:c>
      <x:c r="AF564" s="35">
        <x:v>2</x:v>
      </x:c>
      <x:c r="AG564" s="33" t="s">
        <x:v>2515</x:v>
      </x:c>
      <x:c r="AH564" s="36">
        <x:v>46316</x:v>
      </x:c>
      <x:c r="AI564" s="33" t="s">
        <x:v>127</x:v>
      </x:c>
      <x:c r="AJ564" s="34" t="s">
        <x:v>445</x:v>
      </x:c>
    </x:row>
    <x:row r="565" ht="23.25" customHeight="1">
      <x:c r="A565" s="31" t="s">
        <x:v>2547</x:v>
      </x:c>
      <x:c r="B565" s="31" t="s">
        <x:v>2548</x:v>
      </x:c>
      <x:c r="C565" s="31" t="s">
        <x:v>2502</x:v>
      </x:c>
      <x:c r="D565" s="32" t="s">
        <x:v>2549</x:v>
      </x:c>
      <x:c r="E565" s="32" t="str">
        <x:v>Functional Migration Only</x:v>
      </x:c>
      <x:c r="F565" s="33" t="s">
        <x:v>118</x:v>
      </x:c>
      <x:c r="G565" s="34" t="s">
        <x:v>2503</x:v>
      </x:c>
      <x:c r="H565" s="33" t="s">
        <x:v>87</x:v>
      </x:c>
      <x:c r="I565" s="33" t="s">
        <x:v>2504</x:v>
      </x:c>
      <x:c r="J565" s="33" t="s">
        <x:v>82</x:v>
      </x:c>
      <x:c r="K565" s="33" t="s">
        <x:v>62</x:v>
      </x:c>
      <x:c r="L565" s="33" t="s">
        <x:v>77</x:v>
      </x:c>
      <x:c r="M565" s="35">
        <x:v>60</x:v>
      </x:c>
      <x:c r="N565" s="35">
        <x:v>59714769</x:v>
      </x:c>
      <x:c r="O565" s="33" t="s">
        <x:v>101</x:v>
      </x:c>
      <x:c r="P565" s="33" t="s">
        <x:v>101</x:v>
      </x:c>
      <x:c r="Q565" s="33" t="s">
        <x:v>120</x:v>
      </x:c>
      <x:c r="R565" s="33" t="s">
        <x:v>73</x:v>
      </x:c>
      <x:c r="S565" s="31" t="s">
        <x:v>2550</x:v>
      </x:c>
      <x:c r="T565" s="31" t="s">
        <x:v>2551</x:v>
      </x:c>
      <x:c r="U565" s="31" t="s">
        <x:v>276</x:v>
      </x:c>
      <x:c r="V565" s="33" t="s">
        <x:v>329</x:v>
      </x:c>
      <x:c r="W565" s="33"/>
      <x:c r="X565" s="33" t="s">
        <x:v>238</x:v>
      </x:c>
      <x:c r="Y565" s="36"/>
      <x:c r="Z565" s="36"/>
      <x:c r="AA565" s="33" t="s">
        <x:v>120</x:v>
      </x:c>
      <x:c r="AB565" s="37" t="n">
        <x:f>IFERROR(INDEX(Effort_Model!$J$6:$J$33,MATCH(K565&amp;"|"&amp;L565,Effort_Model!$B$6:$B$33,0)),"")</x:f>
        <x:v>74.4</x:v>
      </x:c>
      <x:c r="AC565" s="38">
        <x:v>1243.9000000000001</x:v>
      </x:c>
      <x:c r="AD565" s="37">
        <x:f t="shared" si="8"/>
        <x:v>1517.2333000000001</x:v>
      </x:c>
      <x:c r="AE565" s="37" t="n">
        <x:f>IFERROR(ROUND(IFERROR(INDEX(Scoring_Rules!$C$43:$C$44,MATCH(Q565,Scoring_Rules!$B$43:$B$44,0)),0)*Scoring_Rules!$C$6+IFERROR(INDEX(Scoring_Rules!$C$34:$C$40,MATCH(K565,Scoring_Rules!$B$34:$B$40,0)),0)*Scoring_Rules!$C$7+IFERROR(INDEX(Scoring_Rules!$C$16:$C$19,MATCH(P565,Scoring_Rules!$B$16:$B$19,0)),0)*Scoring_Rules!$C$8+IFERROR(INDEX(Scoring_Rules!$C$22:$C$25,MATCH(O565,Scoring_Rules!$B$22:$B$25,0)),0)*Scoring_Rules!$C$9+IFERROR(INDEX(Scoring_Rules!$C$47:$C$50,MATCH(X565,Scoring_Rules!$B$47:$B$50,0)),0)*Scoring_Rules!$C$10+IFERROR(INDEX(Scoring_Rules!$C$28:$C$31,MATCH(R565,Scoring_Rules!$B$28:$B$31,0)),0)*Scoring_Rules!$C$11,1),"")</x:f>
        <x:v>41.8</x:v>
      </x:c>
      <x:c r="AF565" s="35">
        <x:v>8</x:v>
      </x:c>
      <x:c r="AG565" s="33" t="s">
        <x:v>2519</x:v>
      </x:c>
      <x:c r="AH565" s="36">
        <x:v>46343</x:v>
      </x:c>
      <x:c r="AI565" s="33" t="s">
        <x:v>127</x:v>
      </x:c>
      <x:c r="AJ565" s="34" t="s">
        <x:v>445</x:v>
      </x:c>
    </x:row>
    <x:row r="566" ht="15" customHeight="1">
      <x:c r="A566" s="31" t="s">
        <x:v>2552</x:v>
      </x:c>
      <x:c r="B566" s="31" t="s">
        <x:v>2553</x:v>
      </x:c>
      <x:c r="C566" s="31" t="s">
        <x:v>2502</x:v>
      </x:c>
      <x:c r="D566" s="32" t="s">
        <x:v>1374</x:v>
      </x:c>
      <x:c r="E566" s="32" t="str">
        <x:v>Functional Migration Only</x:v>
      </x:c>
      <x:c r="F566" s="33" t="s">
        <x:v>118</x:v>
      </x:c>
      <x:c r="G566" s="34" t="s">
        <x:v>2514</x:v>
      </x:c>
      <x:c r="H566" s="33" t="s">
        <x:v>87</x:v>
      </x:c>
      <x:c r="I566" s="33" t="s">
        <x:v>2504</x:v>
      </x:c>
      <x:c r="J566" s="33" t="s">
        <x:v>82</x:v>
      </x:c>
      <x:c r="K566" s="33" t="s">
        <x:v>64</x:v>
      </x:c>
      <x:c r="L566" s="33" t="s">
        <x:v>73</x:v>
      </x:c>
      <x:c r="M566" s="35">
        <x:v>138</x:v>
      </x:c>
      <x:c r="N566" s="35">
        <x:v>710637394</x:v>
      </x:c>
      <x:c r="O566" s="33" t="s">
        <x:v>103</x:v>
      </x:c>
      <x:c r="P566" s="33" t="s">
        <x:v>98</x:v>
      </x:c>
      <x:c r="Q566" s="33" t="s">
        <x:v>120</x:v>
      </x:c>
      <x:c r="R566" s="33" t="s">
        <x:v>73</x:v>
      </x:c>
      <x:c r="S566" s="31" t="s">
        <x:v>1502</x:v>
      </x:c>
      <x:c r="T566" s="31" t="s">
        <x:v>2554</x:v>
      </x:c>
      <x:c r="U566" s="31" t="s">
        <x:v>276</x:v>
      </x:c>
      <x:c r="V566" s="33" t="s">
        <x:v>365</x:v>
      </x:c>
      <x:c r="W566" s="33"/>
      <x:c r="X566" s="33" t="s">
        <x:v>238</x:v>
      </x:c>
      <x:c r="Y566" s="36"/>
      <x:c r="Z566" s="36"/>
      <x:c r="AA566" s="33" t="s">
        <x:v>120</x:v>
      </x:c>
      <x:c r="AB566" s="37" t="n">
        <x:f>IFERROR(INDEX(Effort_Model!$J$6:$J$33,MATCH(K566&amp;"|"&amp;L566,Effort_Model!$B$6:$B$33,0)),"")</x:f>
        <x:v>106.4</x:v>
      </x:c>
      <x:c r="AC566" s="38">
        <x:v>1350.4</x:v>
      </x:c>
      <x:c r="AD566" s="37">
        <x:f t="shared" si="8"/>
        <x:v>1555.4</x:v>
      </x:c>
      <x:c r="AE566" s="37" t="n">
        <x:f>IFERROR(ROUND(IFERROR(INDEX(Scoring_Rules!$C$43:$C$44,MATCH(Q566,Scoring_Rules!$B$43:$B$44,0)),0)*Scoring_Rules!$C$6+IFERROR(INDEX(Scoring_Rules!$C$34:$C$40,MATCH(K566,Scoring_Rules!$B$34:$B$40,0)),0)*Scoring_Rules!$C$7+IFERROR(INDEX(Scoring_Rules!$C$16:$C$19,MATCH(P566,Scoring_Rules!$B$16:$B$19,0)),0)*Scoring_Rules!$C$8+IFERROR(INDEX(Scoring_Rules!$C$22:$C$25,MATCH(O566,Scoring_Rules!$B$22:$B$25,0)),0)*Scoring_Rules!$C$9+IFERROR(INDEX(Scoring_Rules!$C$47:$C$50,MATCH(X566,Scoring_Rules!$B$47:$B$50,0)),0)*Scoring_Rules!$C$10+IFERROR(INDEX(Scoring_Rules!$C$28:$C$31,MATCH(R566,Scoring_Rules!$B$28:$B$31,0)),0)*Scoring_Rules!$C$11,1),"")</x:f>
        <x:v>45.5</x:v>
      </x:c>
      <x:c r="AF566" s="35">
        <x:v>4</x:v>
      </x:c>
      <x:c r="AG566" s="33" t="s">
        <x:v>2507</x:v>
      </x:c>
      <x:c r="AH566" s="36">
        <x:v>46337</x:v>
      </x:c>
      <x:c r="AI566" s="33" t="s">
        <x:v>125</x:v>
      </x:c>
      <x:c r="AJ566" s="34"/>
    </x:row>
    <x:row r="567" ht="23.25" customHeight="1">
      <x:c r="A567" s="31" t="s">
        <x:v>2555</x:v>
      </x:c>
      <x:c r="B567" s="31" t="s">
        <x:v>2556</x:v>
      </x:c>
      <x:c r="C567" s="31" t="s">
        <x:v>2502</x:v>
      </x:c>
      <x:c r="D567" s="32" t="s">
        <x:v>2557</x:v>
      </x:c>
      <x:c r="E567" s="32" t="str">
        <x:v>Data Migration Only</x:v>
      </x:c>
      <x:c r="F567" s="33" t="s">
        <x:v>118</x:v>
      </x:c>
      <x:c r="G567" s="34" t="s">
        <x:v>2526</x:v>
      </x:c>
      <x:c r="H567" s="33" t="s">
        <x:v>87</x:v>
      </x:c>
      <x:c r="I567" s="33" t="s">
        <x:v>2504</x:v>
      </x:c>
      <x:c r="J567" s="33" t="s">
        <x:v>80</x:v>
      </x:c>
      <x:c r="K567" s="33" t="s">
        <x:v>62</x:v>
      </x:c>
      <x:c r="L567" s="33" t="s">
        <x:v>71</x:v>
      </x:c>
      <x:c r="M567" s="35">
        <x:v>55</x:v>
      </x:c>
      <x:c r="N567" s="35">
        <x:v>112426513</x:v>
      </x:c>
      <x:c r="O567" s="33" t="s">
        <x:v>73</x:v>
      </x:c>
      <x:c r="P567" s="33" t="s">
        <x:v>73</x:v>
      </x:c>
      <x:c r="Q567" s="33" t="s">
        <x:v>120</x:v>
      </x:c>
      <x:c r="R567" s="33" t="s">
        <x:v>101</x:v>
      </x:c>
      <x:c r="S567" s="31" t="s">
        <x:v>2558</x:v>
      </x:c>
      <x:c r="T567" s="31" t="s">
        <x:v>2559</x:v>
      </x:c>
      <x:c r="U567" s="31" t="s">
        <x:v>276</x:v>
      </x:c>
      <x:c r="V567" s="33" t="s">
        <x:v>347</x:v>
      </x:c>
      <x:c r="W567" s="33"/>
      <x:c r="X567" s="33" t="s">
        <x:v>238</x:v>
      </x:c>
      <x:c r="Y567" s="36"/>
      <x:c r="Z567" s="36"/>
      <x:c r="AA567" s="33" t="s">
        <x:v>120</x:v>
      </x:c>
      <x:c r="AB567" s="37" t="n">
        <x:f>IFERROR(INDEX(Effort_Model!$J$6:$J$33,MATCH(K567&amp;"|"&amp;L567,Effort_Model!$B$6:$B$33,0)),"")</x:f>
        <x:v>18.4</x:v>
      </x:c>
      <x:c r="AC567" s="38">
        <x:v>376.6</x:v>
      </x:c>
      <x:c r="AD567" s="37">
        <x:f t="shared" si="8"/>
        <x:v>451</x:v>
      </x:c>
      <x:c r="AE567" s="37" t="n">
        <x:f>IFERROR(ROUND(IFERROR(INDEX(Scoring_Rules!$C$43:$C$44,MATCH(Q567,Scoring_Rules!$B$43:$B$44,0)),0)*Scoring_Rules!$C$6+IFERROR(INDEX(Scoring_Rules!$C$34:$C$40,MATCH(K567,Scoring_Rules!$B$34:$B$40,0)),0)*Scoring_Rules!$C$7+IFERROR(INDEX(Scoring_Rules!$C$16:$C$19,MATCH(P567,Scoring_Rules!$B$16:$B$19,0)),0)*Scoring_Rules!$C$8+IFERROR(INDEX(Scoring_Rules!$C$22:$C$25,MATCH(O567,Scoring_Rules!$B$22:$B$25,0)),0)*Scoring_Rules!$C$9+IFERROR(INDEX(Scoring_Rules!$C$47:$C$50,MATCH(X567,Scoring_Rules!$B$47:$B$50,0)),0)*Scoring_Rules!$C$10+IFERROR(INDEX(Scoring_Rules!$C$28:$C$31,MATCH(R567,Scoring_Rules!$B$28:$B$31,0)),0)*Scoring_Rules!$C$11,1),"")</x:f>
        <x:v>52.3</x:v>
      </x:c>
      <x:c r="AF567" s="35">
        <x:v>2</x:v>
      </x:c>
      <x:c r="AG567" s="33" t="s">
        <x:v>2511</x:v>
      </x:c>
      <x:c r="AH567" s="36">
        <x:v>46350</x:v>
      </x:c>
      <x:c r="AI567" s="33" t="s">
        <x:v>127</x:v>
      </x:c>
      <x:c r="AJ567" s="34" t="s">
        <x:v>336</x:v>
      </x:c>
    </x:row>
    <x:row r="568" ht="15" customHeight="1">
      <x:c r="A568" s="31" t="s">
        <x:v>2560</x:v>
      </x:c>
      <x:c r="B568" s="31" t="s">
        <x:v>2561</x:v>
      </x:c>
      <x:c r="C568" s="31" t="s">
        <x:v>2502</x:v>
      </x:c>
      <x:c r="D568" s="32" t="s">
        <x:v>485</x:v>
      </x:c>
      <x:c r="E568" s="32" t="str">
        <x:v>Data Migration Only</x:v>
      </x:c>
      <x:c r="F568" s="33" t="s">
        <x:v>118</x:v>
      </x:c>
      <x:c r="G568" s="34" t="s">
        <x:v>549</x:v>
      </x:c>
      <x:c r="H568" s="33" t="s">
        <x:v>89</x:v>
      </x:c>
      <x:c r="I568" s="33" t="s">
        <x:v>2504</x:v>
      </x:c>
      <x:c r="J568" s="33" t="s">
        <x:v>80</x:v>
      </x:c>
      <x:c r="K568" s="33" t="s">
        <x:v>62</x:v>
      </x:c>
      <x:c r="L568" s="33" t="s">
        <x:v>73</x:v>
      </x:c>
      <x:c r="M568" s="35">
        <x:v>55</x:v>
      </x:c>
      <x:c r="N568" s="35">
        <x:v>126687463</x:v>
      </x:c>
      <x:c r="O568" s="33" t="s">
        <x:v>73</x:v>
      </x:c>
      <x:c r="P568" s="33" t="s">
        <x:v>101</x:v>
      </x:c>
      <x:c r="Q568" s="33" t="s">
        <x:v>120</x:v>
      </x:c>
      <x:c r="R568" s="33" t="s">
        <x:v>115</x:v>
      </x:c>
      <x:c r="S568" s="31" t="s">
        <x:v>2562</x:v>
      </x:c>
      <x:c r="T568" s="31" t="s">
        <x:v>2563</x:v>
      </x:c>
      <x:c r="U568" s="31" t="s">
        <x:v>276</x:v>
      </x:c>
      <x:c r="V568" s="33" t="s">
        <x:v>277</x:v>
      </x:c>
      <x:c r="W568" s="33"/>
      <x:c r="X568" s="33" t="s">
        <x:v>238</x:v>
      </x:c>
      <x:c r="Y568" s="36"/>
      <x:c r="Z568" s="36"/>
      <x:c r="AA568" s="33" t="s">
        <x:v>120</x:v>
      </x:c>
      <x:c r="AB568" s="37" t="n">
        <x:f>IFERROR(INDEX(Effort_Model!$J$6:$J$33,MATCH(K568&amp;"|"&amp;L568,Effort_Model!$B$6:$B$33,0)),"")</x:f>
        <x:v>74.4</x:v>
      </x:c>
      <x:c r="AC568" s="38">
        <x:v>477.1</x:v>
      </x:c>
      <x:c r="AD568" s="37">
        <x:f t="shared" si="8"/>
        <x:v>618.1</x:v>
      </x:c>
      <x:c r="AE568" s="37" t="n">
        <x:f>IFERROR(ROUND(IFERROR(INDEX(Scoring_Rules!$C$43:$C$44,MATCH(Q568,Scoring_Rules!$B$43:$B$44,0)),0)*Scoring_Rules!$C$6+IFERROR(INDEX(Scoring_Rules!$C$34:$C$40,MATCH(K568,Scoring_Rules!$B$34:$B$40,0)),0)*Scoring_Rules!$C$7+IFERROR(INDEX(Scoring_Rules!$C$16:$C$19,MATCH(P568,Scoring_Rules!$B$16:$B$19,0)),0)*Scoring_Rules!$C$8+IFERROR(INDEX(Scoring_Rules!$C$22:$C$25,MATCH(O568,Scoring_Rules!$B$22:$B$25,0)),0)*Scoring_Rules!$C$9+IFERROR(INDEX(Scoring_Rules!$C$47:$C$50,MATCH(X568,Scoring_Rules!$B$47:$B$50,0)),0)*Scoring_Rules!$C$10+IFERROR(INDEX(Scoring_Rules!$C$28:$C$31,MATCH(R568,Scoring_Rules!$B$28:$B$31,0)),0)*Scoring_Rules!$C$11,1),"")</x:f>
        <x:v>43.5</x:v>
      </x:c>
      <x:c r="AF568" s="35"/>
      <x:c r="AG568" s="33" t="s">
        <x:v>2515</x:v>
      </x:c>
      <x:c r="AH568" s="36">
        <x:v>46381</x:v>
      </x:c>
      <x:c r="AI568" s="33" t="s">
        <x:v>125</x:v>
      </x:c>
      <x:c r="AJ568" s="34" t="s">
        <x:v>336</x:v>
      </x:c>
    </x:row>
    <x:row r="569" ht="15" customHeight="1">
      <x:c r="A569" s="31" t="s">
        <x:v>2564</x:v>
      </x:c>
      <x:c r="B569" s="31" t="s">
        <x:v>2565</x:v>
      </x:c>
      <x:c r="C569" s="31" t="s">
        <x:v>2502</x:v>
      </x:c>
      <x:c r="D569" s="32" t="s">
        <x:v>2198</x:v>
      </x:c>
      <x:c r="E569" s="32" t="str">
        <x:v>Functional Migration Only</x:v>
      </x:c>
      <x:c r="F569" s="33" t="s">
        <x:v>118</x:v>
      </x:c>
      <x:c r="G569" s="34" t="s">
        <x:v>2518</x:v>
      </x:c>
      <x:c r="H569" s="33" t="s">
        <x:v>87</x:v>
      </x:c>
      <x:c r="I569" s="33" t="s">
        <x:v>2504</x:v>
      </x:c>
      <x:c r="J569" s="33" t="s">
        <x:v>82</x:v>
      </x:c>
      <x:c r="K569" s="33" t="s">
        <x:v>60</x:v>
      </x:c>
      <x:c r="L569" s="33" t="s">
        <x:v>75</x:v>
      </x:c>
      <x:c r="M569" s="35">
        <x:v>37</x:v>
      </x:c>
      <x:c r="N569" s="35">
        <x:v>6436226</x:v>
      </x:c>
      <x:c r="O569" s="33" t="s">
        <x:v>103</x:v>
      </x:c>
      <x:c r="P569" s="33" t="s">
        <x:v>101</x:v>
      </x:c>
      <x:c r="Q569" s="33" t="s">
        <x:v>120</x:v>
      </x:c>
      <x:c r="R569" s="33" t="s">
        <x:v>115</x:v>
      </x:c>
      <x:c r="S569" s="31" t="s">
        <x:v>2545</x:v>
      </x:c>
      <x:c r="T569" s="31" t="s">
        <x:v>2566</x:v>
      </x:c>
      <x:c r="U569" s="31" t="s">
        <x:v>276</x:v>
      </x:c>
      <x:c r="V569" s="33" t="s">
        <x:v>277</x:v>
      </x:c>
      <x:c r="W569" s="33" t="s">
        <x:v>2524</x:v>
      </x:c>
      <x:c r="X569" s="33" t="s">
        <x:v>241</x:v>
      </x:c>
      <x:c r="Y569" s="36"/>
      <x:c r="Z569" s="36">
        <x:v>46996</x:v>
      </x:c>
      <x:c r="AA569" s="33" t="s">
        <x:v>120</x:v>
      </x:c>
      <x:c r="AB569" s="37" t="n">
        <x:f>IFERROR(INDEX(Effort_Model!$J$6:$J$33,MATCH(K569&amp;"|"&amp;L569,Effort_Model!$B$6:$B$33,0)),"")</x:f>
        <x:v>42.4</x:v>
      </x:c>
      <x:c r="AC569" s="38">
        <x:v>609.5</x:v>
      </x:c>
      <x:c r="AD569" s="37">
        <x:f t="shared" si="8"/>
        <x:v>722.83330000000001</x:v>
      </x:c>
      <x:c r="AE569" s="37" t="n">
        <x:f>IFERROR(ROUND(IFERROR(INDEX(Scoring_Rules!$C$43:$C$44,MATCH(Q569,Scoring_Rules!$B$43:$B$44,0)),0)*Scoring_Rules!$C$6+IFERROR(INDEX(Scoring_Rules!$C$34:$C$40,MATCH(K569,Scoring_Rules!$B$34:$B$40,0)),0)*Scoring_Rules!$C$7+IFERROR(INDEX(Scoring_Rules!$C$16:$C$19,MATCH(P569,Scoring_Rules!$B$16:$B$19,0)),0)*Scoring_Rules!$C$8+IFERROR(INDEX(Scoring_Rules!$C$22:$C$25,MATCH(O569,Scoring_Rules!$B$22:$B$25,0)),0)*Scoring_Rules!$C$9+IFERROR(INDEX(Scoring_Rules!$C$47:$C$50,MATCH(X569,Scoring_Rules!$B$47:$B$50,0)),0)*Scoring_Rules!$C$10+IFERROR(INDEX(Scoring_Rules!$C$28:$C$31,MATCH(R569,Scoring_Rules!$B$28:$B$31,0)),0)*Scoring_Rules!$C$11,1),"")</x:f>
        <x:v>22</x:v>
      </x:c>
      <x:c r="AF569" s="35">
        <x:v>7</x:v>
      </x:c>
      <x:c r="AG569" s="33" t="s">
        <x:v>2519</x:v>
      </x:c>
      <x:c r="AH569" s="36">
        <x:v>46381</x:v>
      </x:c>
      <x:c r="AI569" s="33" t="s">
        <x:v>127</x:v>
      </x:c>
      <x:c r="AJ569" s="34"/>
    </x:row>
    <x:row r="570" ht="23.25" customHeight="1">
      <x:c r="A570" s="31" t="s">
        <x:v>2567</x:v>
      </x:c>
      <x:c r="B570" s="31" t="s">
        <x:v>2568</x:v>
      </x:c>
      <x:c r="C570" s="31" t="s">
        <x:v>2502</x:v>
      </x:c>
      <x:c r="D570" s="32" t="s">
        <x:v>2549</x:v>
      </x:c>
      <x:c r="E570" s="32" t="str">
        <x:v>Functional Migration Only</x:v>
      </x:c>
      <x:c r="F570" s="33" t="s">
        <x:v>120</x:v>
      </x:c>
      <x:c r="G570" s="34" t="s">
        <x:v>2518</x:v>
      </x:c>
      <x:c r="H570" s="33" t="s">
        <x:v>87</x:v>
      </x:c>
      <x:c r="I570" s="33" t="s">
        <x:v>2504</x:v>
      </x:c>
      <x:c r="J570" s="33" t="s">
        <x:v>82</x:v>
      </x:c>
      <x:c r="K570" s="33" t="s">
        <x:v>58</x:v>
      </x:c>
      <x:c r="L570" s="33" t="s">
        <x:v>75</x:v>
      </x:c>
      <x:c r="M570" s="35">
        <x:v>12</x:v>
      </x:c>
      <x:c r="N570" s="35">
        <x:v>1099568</x:v>
      </x:c>
      <x:c r="O570" s="33" t="s">
        <x:v>73</x:v>
      </x:c>
      <x:c r="P570" s="33" t="s">
        <x:v>73</x:v>
      </x:c>
      <x:c r="Q570" s="33" t="s">
        <x:v>120</x:v>
      </x:c>
      <x:c r="R570" s="33" t="s">
        <x:v>73</x:v>
      </x:c>
      <x:c r="S570" s="31" t="s">
        <x:v>2545</x:v>
      </x:c>
      <x:c r="T570" s="31" t="s">
        <x:v>2566</x:v>
      </x:c>
      <x:c r="U570" s="31" t="s">
        <x:v>276</x:v>
      </x:c>
      <x:c r="V570" s="33" t="s">
        <x:v>379</x:v>
      </x:c>
      <x:c r="W570" s="33" t="s">
        <x:v>2552</x:v>
      </x:c>
      <x:c r="X570" s="33" t="s">
        <x:v>239</x:v>
      </x:c>
      <x:c r="Y570" s="36"/>
      <x:c r="Z570" s="36"/>
      <x:c r="AA570" s="33" t="s">
        <x:v>120</x:v>
      </x:c>
      <x:c r="AB570" s="37" t="n">
        <x:f>IFERROR(INDEX(Effort_Model!$J$6:$J$33,MATCH(K570&amp;"|"&amp;L570,Effort_Model!$B$6:$B$33,0)),"")</x:f>
        <x:v>26.4</x:v>
      </x:c>
      <x:c r="AC570" s="38">
        <x:v>306.8</x:v>
      </x:c>
      <x:c r="AD570" s="37">
        <x:f t="shared" si="8"/>
        <x:v>372.13330000000002</x:v>
      </x:c>
      <x:c r="AE570" s="37" t="n">
        <x:f>IFERROR(ROUND(IFERROR(INDEX(Scoring_Rules!$C$43:$C$44,MATCH(Q570,Scoring_Rules!$B$43:$B$44,0)),0)*Scoring_Rules!$C$6+IFERROR(INDEX(Scoring_Rules!$C$34:$C$40,MATCH(K570,Scoring_Rules!$B$34:$B$40,0)),0)*Scoring_Rules!$C$7+IFERROR(INDEX(Scoring_Rules!$C$16:$C$19,MATCH(P570,Scoring_Rules!$B$16:$B$19,0)),0)*Scoring_Rules!$C$8+IFERROR(INDEX(Scoring_Rules!$C$22:$C$25,MATCH(O570,Scoring_Rules!$B$22:$B$25,0)),0)*Scoring_Rules!$C$9+IFERROR(INDEX(Scoring_Rules!$C$47:$C$50,MATCH(X570,Scoring_Rules!$B$47:$B$50,0)),0)*Scoring_Rules!$C$10+IFERROR(INDEX(Scoring_Rules!$C$28:$C$31,MATCH(R570,Scoring_Rules!$B$28:$B$31,0)),0)*Scoring_Rules!$C$11,1),"")</x:f>
        <x:v>56.5</x:v>
      </x:c>
      <x:c r="AF570" s="35">
        <x:v>5</x:v>
      </x:c>
      <x:c r="AG570" s="33" t="s">
        <x:v>2507</x:v>
      </x:c>
      <x:c r="AH570" s="36">
        <x:v>46322</x:v>
      </x:c>
      <x:c r="AI570" s="33" t="s">
        <x:v>126</x:v>
      </x:c>
      <x:c r="AJ570" s="34"/>
    </x:row>
    <x:row r="571" ht="23.25" customHeight="1">
      <x:c r="A571" s="31" t="s">
        <x:v>2569</x:v>
      </x:c>
      <x:c r="B571" s="31" t="s">
        <x:v>2570</x:v>
      </x:c>
      <x:c r="C571" s="31" t="s">
        <x:v>2502</x:v>
      </x:c>
      <x:c r="D571" s="32" t="s">
        <x:v>2549</x:v>
      </x:c>
      <x:c r="E571" s="32" t="str">
        <x:v>Data Migration Only</x:v>
      </x:c>
      <x:c r="F571" s="33" t="s">
        <x:v>118</x:v>
      </x:c>
      <x:c r="G571" s="34" t="s">
        <x:v>2526</x:v>
      </x:c>
      <x:c r="H571" s="33" t="s">
        <x:v>87</x:v>
      </x:c>
      <x:c r="I571" s="33" t="s">
        <x:v>2504</x:v>
      </x:c>
      <x:c r="J571" s="33" t="s">
        <x:v>80</x:v>
      </x:c>
      <x:c r="K571" s="33" t="s">
        <x:v>60</x:v>
      </x:c>
      <x:c r="L571" s="33" t="s">
        <x:v>73</x:v>
      </x:c>
      <x:c r="M571" s="35">
        <x:v>30</x:v>
      </x:c>
      <x:c r="N571" s="35">
        <x:v>3828029</x:v>
      </x:c>
      <x:c r="O571" s="33" t="s">
        <x:v>101</x:v>
      </x:c>
      <x:c r="P571" s="33" t="s">
        <x:v>109</x:v>
      </x:c>
      <x:c r="Q571" s="33" t="s">
        <x:v>120</x:v>
      </x:c>
      <x:c r="R571" s="33" t="s">
        <x:v>101</x:v>
      </x:c>
      <x:c r="S571" s="31" t="s">
        <x:v>2571</x:v>
      </x:c>
      <x:c r="T571" s="31" t="s">
        <x:v>2572</x:v>
      </x:c>
      <x:c r="U571" s="31" t="s">
        <x:v>522</x:v>
      </x:c>
      <x:c r="V571" s="33" t="s">
        <x:v>365</x:v>
      </x:c>
      <x:c r="W571" s="33"/>
      <x:c r="X571" s="33" t="s">
        <x:v>238</x:v>
      </x:c>
      <x:c r="Y571" s="36"/>
      <x:c r="Z571" s="36"/>
      <x:c r="AA571" s="33" t="s">
        <x:v>120</x:v>
      </x:c>
      <x:c r="AB571" s="37" t="n">
        <x:f>IFERROR(INDEX(Effort_Model!$J$6:$J$33,MATCH(K571&amp;"|"&amp;L571,Effort_Model!$B$6:$B$33,0)),"")</x:f>
        <x:v>42.4</x:v>
      </x:c>
      <x:c r="AC571" s="38">
        <x:v>282.39999999999998</x:v>
      </x:c>
      <x:c r="AD571" s="37">
        <x:f t="shared" si="8"/>
        <x:v>359.4</x:v>
      </x:c>
      <x:c r="AE571" s="37" t="n">
        <x:f>IFERROR(ROUND(IFERROR(INDEX(Scoring_Rules!$C$43:$C$44,MATCH(Q571,Scoring_Rules!$B$43:$B$44,0)),0)*Scoring_Rules!$C$6+IFERROR(INDEX(Scoring_Rules!$C$34:$C$40,MATCH(K571,Scoring_Rules!$B$34:$B$40,0)),0)*Scoring_Rules!$C$7+IFERROR(INDEX(Scoring_Rules!$C$16:$C$19,MATCH(P571,Scoring_Rules!$B$16:$B$19,0)),0)*Scoring_Rules!$C$8+IFERROR(INDEX(Scoring_Rules!$C$22:$C$25,MATCH(O571,Scoring_Rules!$B$22:$B$25,0)),0)*Scoring_Rules!$C$9+IFERROR(INDEX(Scoring_Rules!$C$47:$C$50,MATCH(X571,Scoring_Rules!$B$47:$B$50,0)),0)*Scoring_Rules!$C$10+IFERROR(INDEX(Scoring_Rules!$C$28:$C$31,MATCH(R571,Scoring_Rules!$B$28:$B$31,0)),0)*Scoring_Rules!$C$11,1),"")</x:f>
        <x:v>37</x:v>
      </x:c>
      <x:c r="AF571" s="35">
        <x:v>5</x:v>
      </x:c>
      <x:c r="AG571" s="33" t="s">
        <x:v>2511</x:v>
      </x:c>
      <x:c r="AH571" s="36">
        <x:v>46359</x:v>
      </x:c>
      <x:c r="AI571" s="33" t="s">
        <x:v>125</x:v>
      </x:c>
      <x:c r="AJ571" s="34" t="s">
        <x:v>445</x:v>
      </x:c>
    </x:row>
    <x:row r="572" ht="15" customHeight="1">
      <x:c r="A572" s="31" t="s">
        <x:v>2573</x:v>
      </x:c>
      <x:c r="B572" s="31" t="s">
        <x:v>2574</x:v>
      </x:c>
      <x:c r="C572" s="31" t="s">
        <x:v>2502</x:v>
      </x:c>
      <x:c r="D572" s="32" t="s">
        <x:v>2198</x:v>
      </x:c>
      <x:c r="E572" s="32" t="str">
        <x:v>Data Migration Only</x:v>
      </x:c>
      <x:c r="F572" s="33" t="s">
        <x:v>118</x:v>
      </x:c>
      <x:c r="G572" s="34" t="s">
        <x:v>2526</x:v>
      </x:c>
      <x:c r="H572" s="33" t="s">
        <x:v>87</x:v>
      </x:c>
      <x:c r="I572" s="33" t="s">
        <x:v>2504</x:v>
      </x:c>
      <x:c r="J572" s="33" t="s">
        <x:v>80</x:v>
      </x:c>
      <x:c r="K572" s="33" t="s">
        <x:v>56</x:v>
      </x:c>
      <x:c r="L572" s="33" t="s">
        <x:v>71</x:v>
      </x:c>
      <x:c r="M572" s="35">
        <x:v>9</x:v>
      </x:c>
      <x:c r="N572" s="35">
        <x:v>149553</x:v>
      </x:c>
      <x:c r="O572" s="33" t="s">
        <x:v>101</x:v>
      </x:c>
      <x:c r="P572" s="33" t="s">
        <x:v>98</x:v>
      </x:c>
      <x:c r="Q572" s="33" t="s">
        <x:v>118</x:v>
      </x:c>
      <x:c r="R572" s="33" t="s">
        <x:v>101</x:v>
      </x:c>
      <x:c r="S572" s="31" t="s">
        <x:v>2575</x:v>
      </x:c>
      <x:c r="T572" s="31" t="s">
        <x:v>2576</x:v>
      </x:c>
      <x:c r="U572" s="31" t="s">
        <x:v>276</x:v>
      </x:c>
      <x:c r="V572" s="33" t="s">
        <x:v>347</x:v>
      </x:c>
      <x:c r="W572" s="33"/>
      <x:c r="X572" s="33" t="s">
        <x:v>238</x:v>
      </x:c>
      <x:c r="Y572" s="36">
        <x:v>46542</x:v>
      </x:c>
      <x:c r="Z572" s="36"/>
      <x:c r="AA572" s="33" t="s">
        <x:v>120</x:v>
      </x:c>
      <x:c r="AB572" s="37" t="n">
        <x:f>IFERROR(INDEX(Effort_Model!$J$6:$J$33,MATCH(K572&amp;"|"&amp;L572,Effort_Model!$B$6:$B$33,0)),"")</x:f>
        <x:v>18.4</x:v>
      </x:c>
      <x:c r="AC572" s="38">
        <x:v>53.7</x:v>
      </x:c>
      <x:c r="AD572" s="37">
        <x:f t="shared" si="8"/>
        <x:v>72.099999999999994</x:v>
      </x:c>
      <x:c r="AE572" s="37" t="n">
        <x:f>IFERROR(ROUND(IFERROR(INDEX(Scoring_Rules!$C$43:$C$44,MATCH(Q572,Scoring_Rules!$B$43:$B$44,0)),0)*Scoring_Rules!$C$6+IFERROR(INDEX(Scoring_Rules!$C$34:$C$40,MATCH(K572,Scoring_Rules!$B$34:$B$40,0)),0)*Scoring_Rules!$C$7+IFERROR(INDEX(Scoring_Rules!$C$16:$C$19,MATCH(P572,Scoring_Rules!$B$16:$B$19,0)),0)*Scoring_Rules!$C$8+IFERROR(INDEX(Scoring_Rules!$C$22:$C$25,MATCH(O572,Scoring_Rules!$B$22:$B$25,0)),0)*Scoring_Rules!$C$9+IFERROR(INDEX(Scoring_Rules!$C$47:$C$50,MATCH(X572,Scoring_Rules!$B$47:$B$50,0)),0)*Scoring_Rules!$C$10+IFERROR(INDEX(Scoring_Rules!$C$28:$C$31,MATCH(R572,Scoring_Rules!$B$28:$B$31,0)),0)*Scoring_Rules!$C$11,1),"")</x:f>
        <x:v>87</x:v>
      </x:c>
      <x:c r="AF572" s="35">
        <x:v>1</x:v>
      </x:c>
      <x:c r="AG572" s="33" t="s">
        <x:v>2515</x:v>
      </x:c>
      <x:c r="AH572" s="36">
        <x:v>46406</x:v>
      </x:c>
      <x:c r="AI572" s="33" t="s">
        <x:v>125</x:v>
      </x:c>
      <x:c r="AJ572" s="34" t="s">
        <x:v>383</x:v>
      </x:c>
    </x:row>
    <x:row r="573" ht="15" customHeight="1">
      <x:c r="A573" s="31" t="s">
        <x:v>2577</x:v>
      </x:c>
      <x:c r="B573" s="31" t="s">
        <x:v>2578</x:v>
      </x:c>
      <x:c r="C573" s="31" t="s">
        <x:v>2579</x:v>
      </x:c>
      <x:c r="D573" s="32" t="s">
        <x:v>2580</x:v>
      </x:c>
      <x:c r="E573" s="32" t="str">
        <x:v>Full Consolidation</x:v>
      </x:c>
      <x:c r="F573" s="33" t="s">
        <x:v>118</x:v>
      </x:c>
      <x:c r="G573" s="34" t="s">
        <x:v>2581</x:v>
      </x:c>
      <x:c r="H573" s="33" t="s">
        <x:v>89</x:v>
      </x:c>
      <x:c r="I573" s="33" t="s">
        <x:v>2582</x:v>
      </x:c>
      <x:c r="J573" s="33" t="s">
        <x:v>84</x:v>
      </x:c>
      <x:c r="K573" s="33" t="s">
        <x:v>62</x:v>
      </x:c>
      <x:c r="L573" s="33" t="s">
        <x:v>77</x:v>
      </x:c>
      <x:c r="M573" s="35">
        <x:v>66</x:v>
      </x:c>
      <x:c r="N573" s="35">
        <x:v>112926819</x:v>
      </x:c>
      <x:c r="O573" s="33" t="s">
        <x:v>73</x:v>
      </x:c>
      <x:c r="P573" s="33" t="s">
        <x:v>109</x:v>
      </x:c>
      <x:c r="Q573" s="33" t="s">
        <x:v>120</x:v>
      </x:c>
      <x:c r="R573" s="33" t="s">
        <x:v>101</x:v>
      </x:c>
      <x:c r="S573" s="31" t="s">
        <x:v>2583</x:v>
      </x:c>
      <x:c r="T573" s="31" t="s">
        <x:v>2584</x:v>
      </x:c>
      <x:c r="U573" s="31" t="s">
        <x:v>276</x:v>
      </x:c>
      <x:c r="V573" s="33" t="s">
        <x:v>365</x:v>
      </x:c>
      <x:c r="W573" s="33"/>
      <x:c r="X573" s="33" t="s">
        <x:v>238</x:v>
      </x:c>
      <x:c r="Y573" s="36"/>
      <x:c r="Z573" s="36"/>
      <x:c r="AA573" s="33" t="s">
        <x:v>120</x:v>
      </x:c>
      <x:c r="AB573" s="37" t="n">
        <x:f>IFERROR(INDEX(Effort_Model!$J$6:$J$33,MATCH(K573&amp;"|"&amp;L573,Effort_Model!$B$6:$B$33,0)),"")</x:f>
        <x:v>74.4</x:v>
      </x:c>
      <x:c r="AC573" s="38">
        <x:v>1729.7</x:v>
      </x:c>
      <x:c r="AD573" s="37">
        <x:f t="shared" si="8"/>
        <x:v>2003.0333000000001</x:v>
      </x:c>
      <x:c r="AE573" s="37" t="n">
        <x:f>IFERROR(ROUND(IFERROR(INDEX(Scoring_Rules!$C$43:$C$44,MATCH(Q573,Scoring_Rules!$B$43:$B$44,0)),0)*Scoring_Rules!$C$6+IFERROR(INDEX(Scoring_Rules!$C$34:$C$40,MATCH(K573,Scoring_Rules!$B$34:$B$40,0)),0)*Scoring_Rules!$C$7+IFERROR(INDEX(Scoring_Rules!$C$16:$C$19,MATCH(P573,Scoring_Rules!$B$16:$B$19,0)),0)*Scoring_Rules!$C$8+IFERROR(INDEX(Scoring_Rules!$C$22:$C$25,MATCH(O573,Scoring_Rules!$B$22:$B$25,0)),0)*Scoring_Rules!$C$9+IFERROR(INDEX(Scoring_Rules!$C$47:$C$50,MATCH(X573,Scoring_Rules!$B$47:$B$50,0)),0)*Scoring_Rules!$C$10+IFERROR(INDEX(Scoring_Rules!$C$28:$C$31,MATCH(R573,Scoring_Rules!$B$28:$B$31,0)),0)*Scoring_Rules!$C$11,1),"")</x:f>
        <x:v>38.3</x:v>
      </x:c>
      <x:c r="AF573" s="35">
        <x:v>8</x:v>
      </x:c>
      <x:c r="AG573" s="33" t="s">
        <x:v>2585</x:v>
      </x:c>
      <x:c r="AH573" s="36">
        <x:v>46384</x:v>
      </x:c>
      <x:c r="AI573" s="33" t="s">
        <x:v>127</x:v>
      </x:c>
      <x:c r="AJ573" s="34"/>
    </x:row>
    <x:row r="574" ht="57" customHeight="1">
      <x:c r="A574" s="31" t="s">
        <x:v>2586</x:v>
      </x:c>
      <x:c r="B574" s="31" t="s">
        <x:v>2587</x:v>
      </x:c>
      <x:c r="C574" s="31" t="s">
        <x:v>2588</x:v>
      </x:c>
      <x:c r="D574" s="32" t="s">
        <x:v>2589</x:v>
      </x:c>
      <x:c r="E574" s="32" t="str">
        <x:v>Full Consolidation</x:v>
      </x:c>
      <x:c r="F574" s="33" t="s">
        <x:v>118</x:v>
      </x:c>
      <x:c r="G574" s="34" t="s">
        <x:v>2590</x:v>
      </x:c>
      <x:c r="H574" s="33" t="s">
        <x:v>89</x:v>
      </x:c>
      <x:c r="I574" s="33" t="s">
        <x:v>2591</x:v>
      </x:c>
      <x:c r="J574" s="33" t="s">
        <x:v>84</x:v>
      </x:c>
      <x:c r="K574" s="33" t="s">
        <x:v>64</x:v>
      </x:c>
      <x:c r="L574" s="33" t="s">
        <x:v>73</x:v>
      </x:c>
      <x:c r="M574" s="35">
        <x:v>87</x:v>
      </x:c>
      <x:c r="N574" s="35">
        <x:v>830025685</x:v>
      </x:c>
      <x:c r="O574" s="33" t="s">
        <x:v>101</x:v>
      </x:c>
      <x:c r="P574" s="33" t="s">
        <x:v>73</x:v>
      </x:c>
      <x:c r="Q574" s="33" t="s">
        <x:v>120</x:v>
      </x:c>
      <x:c r="R574" s="33" t="s">
        <x:v>101</x:v>
      </x:c>
      <x:c r="S574" s="31" t="s">
        <x:v>2592</x:v>
      </x:c>
      <x:c r="T574" s="31" t="s">
        <x:v>2593</x:v>
      </x:c>
      <x:c r="U574" s="31" t="s">
        <x:v>276</x:v>
      </x:c>
      <x:c r="V574" s="33" t="s">
        <x:v>347</x:v>
      </x:c>
      <x:c r="W574" s="33"/>
      <x:c r="X574" s="33" t="s">
        <x:v>238</x:v>
      </x:c>
      <x:c r="Y574" s="36"/>
      <x:c r="Z574" s="36"/>
      <x:c r="AA574" s="33" t="s">
        <x:v>120</x:v>
      </x:c>
      <x:c r="AB574" s="37" t="n">
        <x:f>IFERROR(INDEX(Effort_Model!$J$6:$J$33,MATCH(K574&amp;"|"&amp;L574,Effort_Model!$B$6:$B$33,0)),"")</x:f>
        <x:v>106.4</x:v>
      </x:c>
      <x:c r="AC574" s="38">
        <x:v>1523.1</x:v>
      </x:c>
      <x:c r="AD574" s="37">
        <x:f t="shared" si="8"/>
        <x:v>1728.1</x:v>
      </x:c>
      <x:c r="AE574" s="37" t="n">
        <x:f>IFERROR(ROUND(IFERROR(INDEX(Scoring_Rules!$C$43:$C$44,MATCH(Q574,Scoring_Rules!$B$43:$B$44,0)),0)*Scoring_Rules!$C$6+IFERROR(INDEX(Scoring_Rules!$C$34:$C$40,MATCH(K574,Scoring_Rules!$B$34:$B$40,0)),0)*Scoring_Rules!$C$7+IFERROR(INDEX(Scoring_Rules!$C$16:$C$19,MATCH(P574,Scoring_Rules!$B$16:$B$19,0)),0)*Scoring_Rules!$C$8+IFERROR(INDEX(Scoring_Rules!$C$22:$C$25,MATCH(O574,Scoring_Rules!$B$22:$B$25,0)),0)*Scoring_Rules!$C$9+IFERROR(INDEX(Scoring_Rules!$C$47:$C$50,MATCH(X574,Scoring_Rules!$B$47:$B$50,0)),0)*Scoring_Rules!$C$10+IFERROR(INDEX(Scoring_Rules!$C$28:$C$31,MATCH(R574,Scoring_Rules!$B$28:$B$31,0)),0)*Scoring_Rules!$C$11,1),"")</x:f>
        <x:v>43</x:v>
      </x:c>
      <x:c r="AF574" s="35">
        <x:v>5</x:v>
      </x:c>
      <x:c r="AG574" s="33" t="s">
        <x:v>2594</x:v>
      </x:c>
      <x:c r="AH574" s="36">
        <x:v>46333</x:v>
      </x:c>
      <x:c r="AI574" s="33" t="s">
        <x:v>126</x:v>
      </x:c>
      <x:c r="AJ574" s="34"/>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640625" defaultRowHeight="14.399999618530273"/>
  <x:cols>
    <x:col min="2" max="2" width="42" customWidth="1"/>
    <x:col min="3" max="10" width="17" customWidth="1"/>
  </x:cols>
  <x:sheetData>
    <x:row r="2" ht="17.25" customHeight="1">
      <x:c r="B2" s="1" t="s">
        <x:v>2595</x:v>
      </x:c>
    </x:row>
    <x:row r="3" ht="15" customHeight="1">
      <x:c r="B3" s="10" t="s">
        <x:v>2596</x:v>
      </x:c>
    </x:row>
    <x:row r="5" ht="31.5" customHeight="1">
      <x:c r="B5" s="11" t="s">
        <x:v>2597</x:v>
      </x:c>
      <x:c r="C5" s="11" t="s">
        <x:v>2598</x:v>
      </x:c>
      <x:c r="D5" s="11" t="s">
        <x:v>2599</x:v>
      </x:c>
      <x:c r="E5" s="11" t="s">
        <x:v>2600</x:v>
      </x:c>
      <x:c r="F5" s="11" t="s">
        <x:v>2601</x:v>
      </x:c>
      <x:c r="G5" s="11" t="s">
        <x:v>2602</x:v>
      </x:c>
      <x:c r="H5" s="11" t="s">
        <x:v>260</x:v>
      </x:c>
      <x:c r="I5" s="11" t="s">
        <x:v>262</x:v>
      </x:c>
      <x:c r="J5" s="11" t="s">
        <x:v>2603</x:v>
      </x:c>
    </x:row>
    <x:row r="6" ht="15" customHeight="1">
      <x:c r="B6" s="12" t="s">
        <x:v>283</x:v>
      </x:c>
      <x:c r="C6" s="23" t="n">
        <x:f>COUNTIF(Wave_Plan_Input!$C$3:$C$574,$B6)</x:f>
        <x:v>38</x:v>
      </x:c>
      <x:c r="D6" s="23" t="n">
        <x:f>COUNTIFS(Wave_Plan_Input!$C$3:$C$574,$B6,Wave_Plan_Input!$K$3:$K$574,"&lt;&gt;")</x:f>
        <x:v>38</x:v>
      </x:c>
      <x:c r="E6" s="23" t="n">
        <x:f>COUNTIFS(Wave_Plan_Input!$C$3:$C$574,$B6,Wave_Plan_Input!$L$3:$L$574,"&lt;&gt;")</x:f>
        <x:v>38</x:v>
      </x:c>
      <x:c r="F6" s="23" t="n">
        <x:f>COUNTIFS(Wave_Plan_Input!$C$3:$C$574,$B6,Wave_Plan_Input!$G$3:$G$574,"&lt;&gt;")</x:f>
        <x:v>38</x:v>
      </x:c>
      <x:c r="G6" s="39" t="n">
        <x:f t="shared" ref="G6:G25" si="0">IFERROR((D6+E6+F6)/(C6*3),0)</x:f>
        <x:v>1</x:v>
      </x:c>
      <x:c r="H6" s="13" t="n">
        <x:f>SUMIF(Wave_Plan_Input!$C$3:$C$574,$B6,Wave_Plan_Input!$AB$3:$AB$574)</x:f>
        <x:v>1123.1999999999998</x:v>
      </x:c>
      <x:c r="I6" s="13" t="n">
        <x:f>SUMIF(Wave_Plan_Input!$C$3:$C$574,$B6,Wave_Plan_Input!$AD$3:$AD$574)</x:f>
        <x:v>11217.099799999998</x:v>
      </x:c>
      <x:c r="J6" s="23" t="n">
        <x:f>COUNTIFS(Wave_Plan_Input!$C$3:$C$574,$B6,Wave_Plan_Input!$Q$3:$Q$574,"Yes")</x:f>
        <x:v>0</x:v>
      </x:c>
    </x:row>
    <x:row r="7" ht="15" customHeight="1">
      <x:c r="B7" s="12" t="s">
        <x:v>484</x:v>
      </x:c>
      <x:c r="C7" s="23" t="n">
        <x:f>COUNTIF(Wave_Plan_Input!$C$3:$C$574,$B7)</x:f>
        <x:v>9</x:v>
      </x:c>
      <x:c r="D7" s="23" t="n">
        <x:f>COUNTIFS(Wave_Plan_Input!$C$3:$C$574,$B7,Wave_Plan_Input!$K$3:$K$574,"&lt;&gt;")</x:f>
        <x:v>9</x:v>
      </x:c>
      <x:c r="E7" s="23" t="n">
        <x:f>COUNTIFS(Wave_Plan_Input!$C$3:$C$574,$B7,Wave_Plan_Input!$L$3:$L$574,"&lt;&gt;")</x:f>
        <x:v>9</x:v>
      </x:c>
      <x:c r="F7" s="23" t="n">
        <x:f>COUNTIFS(Wave_Plan_Input!$C$3:$C$574,$B7,Wave_Plan_Input!$G$3:$G$574,"&lt;&gt;")</x:f>
        <x:v>9</x:v>
      </x:c>
      <x:c r="G7" s="39">
        <x:f t="shared" si="0"/>
        <x:v>1</x:v>
      </x:c>
      <x:c r="H7" s="13" t="n">
        <x:f>SUMIF(Wave_Plan_Input!$C$3:$C$574,$B7,Wave_Plan_Input!$AB$3:$AB$574)</x:f>
        <x:v>381.6</x:v>
      </x:c>
      <x:c r="I7" s="13" t="n">
        <x:f>SUMIF(Wave_Plan_Input!$C$3:$C$574,$B7,Wave_Plan_Input!$AD$3:$AD$574)</x:f>
        <x:v>5543.1666000000005</x:v>
      </x:c>
      <x:c r="J7" s="23" t="n">
        <x:f>COUNTIFS(Wave_Plan_Input!$C$3:$C$574,$B7,Wave_Plan_Input!$Q$3:$Q$574,"Yes")</x:f>
        <x:v>5</x:v>
      </x:c>
    </x:row>
    <x:row r="8" ht="15" customHeight="1">
      <x:c r="B8" s="12" t="s">
        <x:v>539</x:v>
      </x:c>
      <x:c r="C8" s="23" t="n">
        <x:f>COUNTIF(Wave_Plan_Input!$C$3:$C$574,$B8)</x:f>
        <x:v>17</x:v>
      </x:c>
      <x:c r="D8" s="23" t="n">
        <x:f>COUNTIFS(Wave_Plan_Input!$C$3:$C$574,$B8,Wave_Plan_Input!$K$3:$K$574,"&lt;&gt;")</x:f>
        <x:v>17</x:v>
      </x:c>
      <x:c r="E8" s="23" t="n">
        <x:f>COUNTIFS(Wave_Plan_Input!$C$3:$C$574,$B8,Wave_Plan_Input!$L$3:$L$574,"&lt;&gt;")</x:f>
        <x:v>17</x:v>
      </x:c>
      <x:c r="F8" s="23" t="n">
        <x:f>COUNTIFS(Wave_Plan_Input!$C$3:$C$574,$B8,Wave_Plan_Input!$G$3:$G$574,"&lt;&gt;")</x:f>
        <x:v>17</x:v>
      </x:c>
      <x:c r="G8" s="39">
        <x:f t="shared" si="0"/>
        <x:v>1</x:v>
      </x:c>
      <x:c r="H8" s="13" t="n">
        <x:f>SUMIF(Wave_Plan_Input!$C$3:$C$574,$B8,Wave_Plan_Input!$AB$3:$AB$574)</x:f>
        <x:v>1408.8000000000002</x:v>
      </x:c>
      <x:c r="I8" s="13" t="n">
        <x:f>SUMIF(Wave_Plan_Input!$C$3:$C$574,$B8,Wave_Plan_Input!$AD$3:$AD$574)</x:f>
        <x:v>20847.9996</x:v>
      </x:c>
      <x:c r="J8" s="23" t="n">
        <x:f>COUNTIFS(Wave_Plan_Input!$C$3:$C$574,$B8,Wave_Plan_Input!$Q$3:$Q$574,"Yes")</x:f>
        <x:v>0</x:v>
      </x:c>
    </x:row>
    <x:row r="9" ht="15" customHeight="1">
      <x:c r="B9" s="12" t="s">
        <x:v>614</x:v>
      </x:c>
      <x:c r="C9" s="23" t="n">
        <x:f>COUNTIF(Wave_Plan_Input!$C$3:$C$574,$B9)</x:f>
        <x:v>16</x:v>
      </x:c>
      <x:c r="D9" s="23" t="n">
        <x:f>COUNTIFS(Wave_Plan_Input!$C$3:$C$574,$B9,Wave_Plan_Input!$K$3:$K$574,"&lt;&gt;")</x:f>
        <x:v>16</x:v>
      </x:c>
      <x:c r="E9" s="23" t="n">
        <x:f>COUNTIFS(Wave_Plan_Input!$C$3:$C$574,$B9,Wave_Plan_Input!$L$3:$L$574,"&lt;&gt;")</x:f>
        <x:v>16</x:v>
      </x:c>
      <x:c r="F9" s="23" t="n">
        <x:f>COUNTIFS(Wave_Plan_Input!$C$3:$C$574,$B9,Wave_Plan_Input!$G$3:$G$574,"&lt;&gt;")</x:f>
        <x:v>16</x:v>
      </x:c>
      <x:c r="G9" s="39">
        <x:f t="shared" si="0"/>
        <x:v>1</x:v>
      </x:c>
      <x:c r="H9" s="13" t="n">
        <x:f>SUMIF(Wave_Plan_Input!$C$3:$C$574,$B9,Wave_Plan_Input!$AB$3:$AB$574)</x:f>
        <x:v>542.3999999999999</x:v>
      </x:c>
      <x:c r="I9" s="13" t="n">
        <x:f>SUMIF(Wave_Plan_Input!$C$3:$C$574,$B9,Wave_Plan_Input!$AD$3:$AD$574)</x:f>
        <x:v>6564.7663999999995</x:v>
      </x:c>
      <x:c r="J9" s="23" t="n">
        <x:f>COUNTIFS(Wave_Plan_Input!$C$3:$C$574,$B9,Wave_Plan_Input!$Q$3:$Q$574,"Yes")</x:f>
        <x:v>0</x:v>
      </x:c>
    </x:row>
    <x:row r="10" ht="15" customHeight="1">
      <x:c r="B10" s="12" t="s">
        <x:v>686</x:v>
      </x:c>
      <x:c r="C10" s="23" t="n">
        <x:f>COUNTIF(Wave_Plan_Input!$C$3:$C$574,$B10)</x:f>
        <x:v>4</x:v>
      </x:c>
      <x:c r="D10" s="23" t="n">
        <x:f>COUNTIFS(Wave_Plan_Input!$C$3:$C$574,$B10,Wave_Plan_Input!$K$3:$K$574,"&lt;&gt;")</x:f>
        <x:v>4</x:v>
      </x:c>
      <x:c r="E10" s="23" t="n">
        <x:f>COUNTIFS(Wave_Plan_Input!$C$3:$C$574,$B10,Wave_Plan_Input!$L$3:$L$574,"&lt;&gt;")</x:f>
        <x:v>4</x:v>
      </x:c>
      <x:c r="F10" s="23" t="n">
        <x:f>COUNTIFS(Wave_Plan_Input!$C$3:$C$574,$B10,Wave_Plan_Input!$G$3:$G$574,"&lt;&gt;")</x:f>
        <x:v>4</x:v>
      </x:c>
      <x:c r="G10" s="39">
        <x:f t="shared" si="0"/>
        <x:v>1</x:v>
      </x:c>
      <x:c r="H10" s="13" t="n">
        <x:f>SUMIF(Wave_Plan_Input!$C$3:$C$574,$B10,Wave_Plan_Input!$AB$3:$AB$574)</x:f>
        <x:v>185.60000000000002</x:v>
      </x:c>
      <x:c r="I10" s="13" t="n">
        <x:f>SUMIF(Wave_Plan_Input!$C$3:$C$574,$B10,Wave_Plan_Input!$AD$3:$AD$574)</x:f>
        <x:v>3027.2666</x:v>
      </x:c>
      <x:c r="J10" s="23" t="n">
        <x:f>COUNTIFS(Wave_Plan_Input!$C$3:$C$574,$B10,Wave_Plan_Input!$Q$3:$Q$574,"Yes")</x:f>
        <x:v>0</x:v>
      </x:c>
    </x:row>
    <x:row r="11" ht="15" customHeight="1">
      <x:c r="B11" s="12" t="s">
        <x:v>711</x:v>
      </x:c>
      <x:c r="C11" s="23" t="n">
        <x:f>COUNTIF(Wave_Plan_Input!$C$3:$C$574,$B11)</x:f>
        <x:v>26</x:v>
      </x:c>
      <x:c r="D11" s="23" t="n">
        <x:f>COUNTIFS(Wave_Plan_Input!$C$3:$C$574,$B11,Wave_Plan_Input!$K$3:$K$574,"&lt;&gt;")</x:f>
        <x:v>26</x:v>
      </x:c>
      <x:c r="E11" s="23" t="n">
        <x:f>COUNTIFS(Wave_Plan_Input!$C$3:$C$574,$B11,Wave_Plan_Input!$L$3:$L$574,"&lt;&gt;")</x:f>
        <x:v>26</x:v>
      </x:c>
      <x:c r="F11" s="23" t="n">
        <x:f>COUNTIFS(Wave_Plan_Input!$C$3:$C$574,$B11,Wave_Plan_Input!$G$3:$G$574,"&lt;&gt;")</x:f>
        <x:v>26</x:v>
      </x:c>
      <x:c r="G11" s="39">
        <x:f t="shared" si="0"/>
        <x:v>1</x:v>
      </x:c>
      <x:c r="H11" s="13" t="n">
        <x:f>SUMIF(Wave_Plan_Input!$C$3:$C$574,$B11,Wave_Plan_Input!$AB$3:$AB$574)</x:f>
        <x:v>1238.3999999999999</x:v>
      </x:c>
      <x:c r="I11" s="13" t="n">
        <x:f>SUMIF(Wave_Plan_Input!$C$3:$C$574,$B11,Wave_Plan_Input!$AD$3:$AD$574)</x:f>
        <x:v>15484.699600000002</x:v>
      </x:c>
      <x:c r="J11" s="23" t="n">
        <x:f>COUNTIFS(Wave_Plan_Input!$C$3:$C$574,$B11,Wave_Plan_Input!$Q$3:$Q$574,"Yes")</x:f>
        <x:v>2</x:v>
      </x:c>
    </x:row>
    <x:row r="12" ht="15" customHeight="1">
      <x:c r="B12" s="12" t="s">
        <x:v>817</x:v>
      </x:c>
      <x:c r="C12" s="23" t="n">
        <x:f>COUNTIF(Wave_Plan_Input!$C$3:$C$574,$B12)</x:f>
        <x:v>27</x:v>
      </x:c>
      <x:c r="D12" s="23" t="n">
        <x:f>COUNTIFS(Wave_Plan_Input!$C$3:$C$574,$B12,Wave_Plan_Input!$K$3:$K$574,"&lt;&gt;")</x:f>
        <x:v>27</x:v>
      </x:c>
      <x:c r="E12" s="23" t="n">
        <x:f>COUNTIFS(Wave_Plan_Input!$C$3:$C$574,$B12,Wave_Plan_Input!$L$3:$L$574,"&lt;&gt;")</x:f>
        <x:v>27</x:v>
      </x:c>
      <x:c r="F12" s="23" t="n">
        <x:f>COUNTIFS(Wave_Plan_Input!$C$3:$C$574,$B12,Wave_Plan_Input!$G$3:$G$574,"&lt;&gt;")</x:f>
        <x:v>27</x:v>
      </x:c>
      <x:c r="G12" s="39">
        <x:f t="shared" si="0"/>
        <x:v>1</x:v>
      </x:c>
      <x:c r="H12" s="13" t="n">
        <x:f>SUMIF(Wave_Plan_Input!$C$3:$C$574,$B12,Wave_Plan_Input!$AB$3:$AB$574)</x:f>
        <x:v>1456.8000000000004</x:v>
      </x:c>
      <x:c r="I12" s="13" t="n">
        <x:f>SUMIF(Wave_Plan_Input!$C$3:$C$574,$B12,Wave_Plan_Input!$AD$3:$AD$574)</x:f>
        <x:v>17492.132999999998</x:v>
      </x:c>
      <x:c r="J12" s="23" t="n">
        <x:f>COUNTIFS(Wave_Plan_Input!$C$3:$C$574,$B12,Wave_Plan_Input!$Q$3:$Q$574,"Yes")</x:f>
        <x:v>4</x:v>
      </x:c>
    </x:row>
    <x:row r="13" ht="15" customHeight="1">
      <x:c r="B13" s="12" t="s">
        <x:v>919</x:v>
      </x:c>
      <x:c r="C13" s="23" t="n">
        <x:f>COUNTIF(Wave_Plan_Input!$C$3:$C$574,$B13)</x:f>
        <x:v>70</x:v>
      </x:c>
      <x:c r="D13" s="23" t="n">
        <x:f>COUNTIFS(Wave_Plan_Input!$C$3:$C$574,$B13,Wave_Plan_Input!$K$3:$K$574,"&lt;&gt;")</x:f>
        <x:v>70</x:v>
      </x:c>
      <x:c r="E13" s="23" t="n">
        <x:f>COUNTIFS(Wave_Plan_Input!$C$3:$C$574,$B13,Wave_Plan_Input!$L$3:$L$574,"&lt;&gt;")</x:f>
        <x:v>70</x:v>
      </x:c>
      <x:c r="F13" s="23" t="n">
        <x:f>COUNTIFS(Wave_Plan_Input!$C$3:$C$574,$B13,Wave_Plan_Input!$G$3:$G$574,"&lt;&gt;")</x:f>
        <x:v>70</x:v>
      </x:c>
      <x:c r="G13" s="39">
        <x:f t="shared" si="0"/>
        <x:v>1</x:v>
      </x:c>
      <x:c r="H13" s="13" t="n">
        <x:f>SUMIF(Wave_Plan_Input!$C$3:$C$574,$B13,Wave_Plan_Input!$AB$3:$AB$574)</x:f>
        <x:v>2264.0000000000027</x:v>
      </x:c>
      <x:c r="I13" s="13" t="n">
        <x:f>SUMIF(Wave_Plan_Input!$C$3:$C$574,$B13,Wave_Plan_Input!$AD$3:$AD$574)</x:f>
        <x:v>29006.832799999993</x:v>
      </x:c>
      <x:c r="J13" s="23" t="n">
        <x:f>COUNTIFS(Wave_Plan_Input!$C$3:$C$574,$B13,Wave_Plan_Input!$Q$3:$Q$574,"Yes")</x:f>
        <x:v>21</x:v>
      </x:c>
    </x:row>
    <x:row r="14" ht="15" customHeight="1">
      <x:c r="B14" s="12" t="s">
        <x:v>1192</x:v>
      </x:c>
      <x:c r="C14" s="23" t="n">
        <x:f>COUNTIF(Wave_Plan_Input!$C$3:$C$574,$B14)</x:f>
        <x:v>2</x:v>
      </x:c>
      <x:c r="D14" s="23" t="n">
        <x:f>COUNTIFS(Wave_Plan_Input!$C$3:$C$574,$B14,Wave_Plan_Input!$K$3:$K$574,"&lt;&gt;")</x:f>
        <x:v>2</x:v>
      </x:c>
      <x:c r="E14" s="23" t="n">
        <x:f>COUNTIFS(Wave_Plan_Input!$C$3:$C$574,$B14,Wave_Plan_Input!$L$3:$L$574,"&lt;&gt;")</x:f>
        <x:v>2</x:v>
      </x:c>
      <x:c r="F14" s="23" t="n">
        <x:f>COUNTIFS(Wave_Plan_Input!$C$3:$C$574,$B14,Wave_Plan_Input!$G$3:$G$574,"&lt;&gt;")</x:f>
        <x:v>2</x:v>
      </x:c>
      <x:c r="G14" s="39">
        <x:f t="shared" si="0"/>
        <x:v>1</x:v>
      </x:c>
      <x:c r="H14" s="13" t="n">
        <x:f>SUMIF(Wave_Plan_Input!$C$3:$C$574,$B14,Wave_Plan_Input!$AB$3:$AB$574)</x:f>
        <x:v>148.8</x:v>
      </x:c>
      <x:c r="I14" s="13" t="n">
        <x:f>SUMIF(Wave_Plan_Input!$C$3:$C$574,$B14,Wave_Plan_Input!$AD$3:$AD$574)</x:f>
        <x:v>2664.5666</x:v>
      </x:c>
      <x:c r="J14" s="23" t="n">
        <x:f>COUNTIFS(Wave_Plan_Input!$C$3:$C$574,$B14,Wave_Plan_Input!$Q$3:$Q$574,"Yes")</x:f>
        <x:v>0</x:v>
      </x:c>
    </x:row>
    <x:row r="15" ht="15" customHeight="1">
      <x:c r="B15" s="12" t="s">
        <x:v>1205</x:v>
      </x:c>
      <x:c r="C15" s="23" t="n">
        <x:f>COUNTIF(Wave_Plan_Input!$C$3:$C$574,$B15)</x:f>
        <x:v>2</x:v>
      </x:c>
      <x:c r="D15" s="23" t="n">
        <x:f>COUNTIFS(Wave_Plan_Input!$C$3:$C$574,$B15,Wave_Plan_Input!$K$3:$K$574,"&lt;&gt;")</x:f>
        <x:v>2</x:v>
      </x:c>
      <x:c r="E15" s="23" t="n">
        <x:f>COUNTIFS(Wave_Plan_Input!$C$3:$C$574,$B15,Wave_Plan_Input!$L$3:$L$574,"&lt;&gt;")</x:f>
        <x:v>2</x:v>
      </x:c>
      <x:c r="F15" s="23" t="n">
        <x:f>COUNTIFS(Wave_Plan_Input!$C$3:$C$574,$B15,Wave_Plan_Input!$G$3:$G$574,"&lt;&gt;")</x:f>
        <x:v>2</x:v>
      </x:c>
      <x:c r="G15" s="39">
        <x:f t="shared" si="0"/>
        <x:v>1</x:v>
      </x:c>
      <x:c r="H15" s="13" t="n">
        <x:f>SUMIF(Wave_Plan_Input!$C$3:$C$574,$B15,Wave_Plan_Input!$AB$3:$AB$574)</x:f>
        <x:v>156.8</x:v>
      </x:c>
      <x:c r="I15" s="13" t="n">
        <x:f>SUMIF(Wave_Plan_Input!$C$3:$C$574,$B15,Wave_Plan_Input!$AD$3:$AD$574)</x:f>
        <x:v>1948.1666</x:v>
      </x:c>
      <x:c r="J15" s="23" t="n">
        <x:f>COUNTIFS(Wave_Plan_Input!$C$3:$C$574,$B15,Wave_Plan_Input!$Q$3:$Q$574,"Yes")</x:f>
        <x:v>0</x:v>
      </x:c>
    </x:row>
    <x:row r="16" ht="15" customHeight="1">
      <x:c r="B16" s="12" t="s">
        <x:v>270</x:v>
      </x:c>
      <x:c r="C16" s="23" t="n">
        <x:f>COUNTIF(Wave_Plan_Input!$C$3:$C$574,$B16)</x:f>
        <x:v>37</x:v>
      </x:c>
      <x:c r="D16" s="23" t="n">
        <x:f>COUNTIFS(Wave_Plan_Input!$C$3:$C$574,$B16,Wave_Plan_Input!$K$3:$K$574,"&lt;&gt;")</x:f>
        <x:v>37</x:v>
      </x:c>
      <x:c r="E16" s="23" t="n">
        <x:f>COUNTIFS(Wave_Plan_Input!$C$3:$C$574,$B16,Wave_Plan_Input!$L$3:$L$574,"&lt;&gt;")</x:f>
        <x:v>37</x:v>
      </x:c>
      <x:c r="F16" s="23" t="n">
        <x:f>COUNTIFS(Wave_Plan_Input!$C$3:$C$574,$B16,Wave_Plan_Input!$G$3:$G$574,"&lt;&gt;")</x:f>
        <x:v>37</x:v>
      </x:c>
      <x:c r="G16" s="39">
        <x:f t="shared" si="0"/>
        <x:v>1</x:v>
      </x:c>
      <x:c r="H16" s="13" t="n">
        <x:f>SUMIF(Wave_Plan_Input!$C$3:$C$574,$B16,Wave_Plan_Input!$AB$3:$AB$574)</x:f>
        <x:v>2472.800000000002</x:v>
      </x:c>
      <x:c r="I16" s="13" t="n">
        <x:f>SUMIF(Wave_Plan_Input!$C$3:$C$574,$B16,Wave_Plan_Input!$AD$3:$AD$574)</x:f>
        <x:v>36262.0659</x:v>
      </x:c>
      <x:c r="J16" s="23" t="n">
        <x:f>COUNTIFS(Wave_Plan_Input!$C$3:$C$574,$B16,Wave_Plan_Input!$Q$3:$Q$574,"Yes")</x:f>
        <x:v>3</x:v>
      </x:c>
    </x:row>
    <x:row r="17" ht="15" customHeight="1">
      <x:c r="B17" s="12" t="s">
        <x:v>1360</x:v>
      </x:c>
      <x:c r="C17" s="23" t="n">
        <x:f>COUNTIF(Wave_Plan_Input!$C$3:$C$574,$B17)</x:f>
        <x:v>68</x:v>
      </x:c>
      <x:c r="D17" s="23" t="n">
        <x:f>COUNTIFS(Wave_Plan_Input!$C$3:$C$574,$B17,Wave_Plan_Input!$K$3:$K$574,"&lt;&gt;")</x:f>
        <x:v>68</x:v>
      </x:c>
      <x:c r="E17" s="23" t="n">
        <x:f>COUNTIFS(Wave_Plan_Input!$C$3:$C$574,$B17,Wave_Plan_Input!$L$3:$L$574,"&lt;&gt;")</x:f>
        <x:v>68</x:v>
      </x:c>
      <x:c r="F17" s="23" t="n">
        <x:f>COUNTIFS(Wave_Plan_Input!$C$3:$C$574,$B17,Wave_Plan_Input!$G$3:$G$574,"&lt;&gt;")</x:f>
        <x:v>68</x:v>
      </x:c>
      <x:c r="G17" s="39">
        <x:f t="shared" si="0"/>
        <x:v>1</x:v>
      </x:c>
      <x:c r="H17" s="13" t="n">
        <x:f>SUMIF(Wave_Plan_Input!$C$3:$C$574,$B17,Wave_Plan_Input!$AB$3:$AB$574)</x:f>
        <x:v>3259.200000000004</x:v>
      </x:c>
      <x:c r="I17" s="13" t="n">
        <x:f>SUMIF(Wave_Plan_Input!$C$3:$C$574,$B17,Wave_Plan_Input!$AD$3:$AD$574)</x:f>
        <x:v>41870.2325</x:v>
      </x:c>
      <x:c r="J17" s="23" t="n">
        <x:f>COUNTIFS(Wave_Plan_Input!$C$3:$C$574,$B17,Wave_Plan_Input!$Q$3:$Q$574,"Yes")</x:f>
        <x:v>7</x:v>
      </x:c>
    </x:row>
    <x:row r="18" ht="15" customHeight="1">
      <x:c r="B18" s="12" t="s">
        <x:v>1623</x:v>
      </x:c>
      <x:c r="C18" s="23" t="n">
        <x:f>COUNTIF(Wave_Plan_Input!$C$3:$C$574,$B18)</x:f>
        <x:v>150</x:v>
      </x:c>
      <x:c r="D18" s="23" t="n">
        <x:f>COUNTIFS(Wave_Plan_Input!$C$3:$C$574,$B18,Wave_Plan_Input!$K$3:$K$574,"&lt;&gt;")</x:f>
        <x:v>150</x:v>
      </x:c>
      <x:c r="E18" s="23" t="n">
        <x:f>COUNTIFS(Wave_Plan_Input!$C$3:$C$574,$B18,Wave_Plan_Input!$L$3:$L$574,"&lt;&gt;")</x:f>
        <x:v>150</x:v>
      </x:c>
      <x:c r="F18" s="23" t="n">
        <x:f>COUNTIFS(Wave_Plan_Input!$C$3:$C$574,$B18,Wave_Plan_Input!$G$3:$G$574,"&lt;&gt;")</x:f>
        <x:v>150</x:v>
      </x:c>
      <x:c r="G18" s="39">
        <x:f t="shared" si="0"/>
        <x:v>1</x:v>
      </x:c>
      <x:c r="H18" s="13" t="n">
        <x:f>SUMIF(Wave_Plan_Input!$C$3:$C$574,$B18,Wave_Plan_Input!$AB$3:$AB$574)</x:f>
        <x:v>10207.999999999969</x:v>
      </x:c>
      <x:c r="I18" s="13" t="n">
        <x:f>SUMIF(Wave_Plan_Input!$C$3:$C$574,$B18,Wave_Plan_Input!$AD$3:$AD$574)</x:f>
        <x:v>149052.3638999999</x:v>
      </x:c>
      <x:c r="J18" s="23" t="n">
        <x:f>COUNTIFS(Wave_Plan_Input!$C$3:$C$574,$B18,Wave_Plan_Input!$Q$3:$Q$574,"Yes")</x:f>
        <x:v>16</x:v>
      </x:c>
    </x:row>
    <x:row r="19" ht="15" customHeight="1">
      <x:c r="B19" s="12" t="s">
        <x:v>2197</x:v>
      </x:c>
      <x:c r="C19" s="23" t="n">
        <x:f>COUNTIF(Wave_Plan_Input!$C$3:$C$574,$B19)</x:f>
        <x:v>25</x:v>
      </x:c>
      <x:c r="D19" s="23" t="n">
        <x:f>COUNTIFS(Wave_Plan_Input!$C$3:$C$574,$B19,Wave_Plan_Input!$K$3:$K$574,"&lt;&gt;")</x:f>
        <x:v>25</x:v>
      </x:c>
      <x:c r="E19" s="23" t="n">
        <x:f>COUNTIFS(Wave_Plan_Input!$C$3:$C$574,$B19,Wave_Plan_Input!$L$3:$L$574,"&lt;&gt;")</x:f>
        <x:v>25</x:v>
      </x:c>
      <x:c r="F19" s="23" t="n">
        <x:f>COUNTIFS(Wave_Plan_Input!$C$3:$C$574,$B19,Wave_Plan_Input!$G$3:$G$574,"&lt;&gt;")</x:f>
        <x:v>25</x:v>
      </x:c>
      <x:c r="G19" s="39">
        <x:f t="shared" si="0"/>
        <x:v>1</x:v>
      </x:c>
      <x:c r="H19" s="13" t="n">
        <x:f>SUMIF(Wave_Plan_Input!$C$3:$C$574,$B19,Wave_Plan_Input!$AB$3:$AB$574)</x:f>
        <x:v>1260</x:v>
      </x:c>
      <x:c r="I19" s="13" t="n">
        <x:f>SUMIF(Wave_Plan_Input!$C$3:$C$574,$B19,Wave_Plan_Input!$AD$3:$AD$574)</x:f>
        <x:v>13812.5331</x:v>
      </x:c>
      <x:c r="J19" s="23" t="n">
        <x:f>COUNTIFS(Wave_Plan_Input!$C$3:$C$574,$B19,Wave_Plan_Input!$Q$3:$Q$574,"Yes")</x:f>
        <x:v>5</x:v>
      </x:c>
    </x:row>
    <x:row r="20" ht="15" customHeight="1">
      <x:c r="B20" s="12" t="s">
        <x:v>2290</x:v>
      </x:c>
      <x:c r="C20" s="23" t="n">
        <x:f>COUNTIF(Wave_Plan_Input!$C$3:$C$574,$B20)</x:f>
        <x:v>52</x:v>
      </x:c>
      <x:c r="D20" s="23" t="n">
        <x:f>COUNTIFS(Wave_Plan_Input!$C$3:$C$574,$B20,Wave_Plan_Input!$K$3:$K$574,"&lt;&gt;")</x:f>
        <x:v>52</x:v>
      </x:c>
      <x:c r="E20" s="23" t="n">
        <x:f>COUNTIFS(Wave_Plan_Input!$C$3:$C$574,$B20,Wave_Plan_Input!$L$3:$L$574,"&lt;&gt;")</x:f>
        <x:v>52</x:v>
      </x:c>
      <x:c r="F20" s="23" t="n">
        <x:f>COUNTIFS(Wave_Plan_Input!$C$3:$C$574,$B20,Wave_Plan_Input!$G$3:$G$574,"&lt;&gt;")</x:f>
        <x:v>52</x:v>
      </x:c>
      <x:c r="G20" s="39">
        <x:f t="shared" si="0"/>
        <x:v>1</x:v>
      </x:c>
      <x:c r="H20" s="13" t="n">
        <x:f>SUMIF(Wave_Plan_Input!$C$3:$C$574,$B20,Wave_Plan_Input!$AB$3:$AB$574)</x:f>
        <x:v>2636.800000000002</x:v>
      </x:c>
      <x:c r="I20" s="13" t="n">
        <x:f>SUMIF(Wave_Plan_Input!$C$3:$C$574,$B20,Wave_Plan_Input!$AD$3:$AD$574)</x:f>
        <x:v>36229.7328</x:v>
      </x:c>
      <x:c r="J20" s="23" t="n">
        <x:f>COUNTIFS(Wave_Plan_Input!$C$3:$C$574,$B20,Wave_Plan_Input!$Q$3:$Q$574,"Yes")</x:f>
        <x:v>8</x:v>
      </x:c>
    </x:row>
    <x:row r="21" ht="15" customHeight="1">
      <x:c r="B21" s="12" t="s">
        <x:v>2453</x:v>
      </x:c>
      <x:c r="C21" s="23" t="n">
        <x:f>COUNTIF(Wave_Plan_Input!$C$3:$C$574,$B21)</x:f>
        <x:v>7</x:v>
      </x:c>
      <x:c r="D21" s="23" t="n">
        <x:f>COUNTIFS(Wave_Plan_Input!$C$3:$C$574,$B21,Wave_Plan_Input!$K$3:$K$574,"&lt;&gt;")</x:f>
        <x:v>7</x:v>
      </x:c>
      <x:c r="E21" s="23" t="n">
        <x:f>COUNTIFS(Wave_Plan_Input!$C$3:$C$574,$B21,Wave_Plan_Input!$L$3:$L$574,"&lt;&gt;")</x:f>
        <x:v>7</x:v>
      </x:c>
      <x:c r="F21" s="23" t="n">
        <x:f>COUNTIFS(Wave_Plan_Input!$C$3:$C$574,$B21,Wave_Plan_Input!$G$3:$G$574,"&lt;&gt;")</x:f>
        <x:v>7</x:v>
      </x:c>
      <x:c r="G21" s="39">
        <x:f t="shared" si="0"/>
        <x:v>1</x:v>
      </x:c>
      <x:c r="H21" s="13" t="n">
        <x:f>SUMIF(Wave_Plan_Input!$C$3:$C$574,$B21,Wave_Plan_Input!$AB$3:$AB$574)</x:f>
        <x:v>240.80000000000004</x:v>
      </x:c>
      <x:c r="I21" s="13" t="n">
        <x:f>SUMIF(Wave_Plan_Input!$C$3:$C$574,$B21,Wave_Plan_Input!$AD$3:$AD$574)</x:f>
        <x:v>4572.1333</x:v>
      </x:c>
      <x:c r="J21" s="23" t="n">
        <x:f>COUNTIFS(Wave_Plan_Input!$C$3:$C$574,$B21,Wave_Plan_Input!$Q$3:$Q$574,"Yes")</x:f>
        <x:v>1</x:v>
      </x:c>
    </x:row>
    <x:row r="22" ht="15" customHeight="1">
      <x:c r="B22" s="12" t="s">
        <x:v>2493</x:v>
      </x:c>
      <x:c r="C22" s="23" t="n">
        <x:f>COUNTIF(Wave_Plan_Input!$C$3:$C$574,$B22)</x:f>
        <x:v>1</x:v>
      </x:c>
      <x:c r="D22" s="23" t="n">
        <x:f>COUNTIFS(Wave_Plan_Input!$C$3:$C$574,$B22,Wave_Plan_Input!$K$3:$K$574,"&lt;&gt;")</x:f>
        <x:v>1</x:v>
      </x:c>
      <x:c r="E22" s="23" t="n">
        <x:f>COUNTIFS(Wave_Plan_Input!$C$3:$C$574,$B22,Wave_Plan_Input!$L$3:$L$574,"&lt;&gt;")</x:f>
        <x:v>1</x:v>
      </x:c>
      <x:c r="F22" s="23" t="n">
        <x:f>COUNTIFS(Wave_Plan_Input!$C$3:$C$574,$B22,Wave_Plan_Input!$G$3:$G$574,"&lt;&gt;")</x:f>
        <x:v>1</x:v>
      </x:c>
      <x:c r="G22" s="39">
        <x:f t="shared" si="0"/>
        <x:v>1</x:v>
      </x:c>
      <x:c r="H22" s="13" t="n">
        <x:f>SUMIF(Wave_Plan_Input!$C$3:$C$574,$B22,Wave_Plan_Input!$AB$3:$AB$574)</x:f>
        <x:v>42.4</x:v>
      </x:c>
      <x:c r="I22" s="13" t="n">
        <x:f>SUMIF(Wave_Plan_Input!$C$3:$C$574,$B22,Wave_Plan_Input!$AD$3:$AD$574)</x:f>
        <x:v>616.2333</x:v>
      </x:c>
      <x:c r="J22" s="23" t="n">
        <x:f>COUNTIFS(Wave_Plan_Input!$C$3:$C$574,$B22,Wave_Plan_Input!$Q$3:$Q$574,"Yes")</x:f>
        <x:v>0</x:v>
      </x:c>
    </x:row>
    <x:row r="23" ht="15" customHeight="1">
      <x:c r="B23" s="12" t="s">
        <x:v>2502</x:v>
      </x:c>
      <x:c r="C23" s="23" t="n">
        <x:f>COUNTIF(Wave_Plan_Input!$C$3:$C$574,$B23)</x:f>
        <x:v>19</x:v>
      </x:c>
      <x:c r="D23" s="23" t="n">
        <x:f>COUNTIFS(Wave_Plan_Input!$C$3:$C$574,$B23,Wave_Plan_Input!$K$3:$K$574,"&lt;&gt;")</x:f>
        <x:v>19</x:v>
      </x:c>
      <x:c r="E23" s="23" t="n">
        <x:f>COUNTIFS(Wave_Plan_Input!$C$3:$C$574,$B23,Wave_Plan_Input!$L$3:$L$574,"&lt;&gt;")</x:f>
        <x:v>19</x:v>
      </x:c>
      <x:c r="F23" s="23" t="n">
        <x:f>COUNTIFS(Wave_Plan_Input!$C$3:$C$574,$B23,Wave_Plan_Input!$G$3:$G$574,"&lt;&gt;")</x:f>
        <x:v>19</x:v>
      </x:c>
      <x:c r="G23" s="39">
        <x:f t="shared" si="0"/>
        <x:v>1</x:v>
      </x:c>
      <x:c r="H23" s="13" t="n">
        <x:f>SUMIF(Wave_Plan_Input!$C$3:$C$574,$B23,Wave_Plan_Input!$AB$3:$AB$574)</x:f>
        <x:v>1053.6</x:v>
      </x:c>
      <x:c r="I23" s="13" t="n">
        <x:f>SUMIF(Wave_Plan_Input!$C$3:$C$574,$B23,Wave_Plan_Input!$AD$3:$AD$574)</x:f>
        <x:v>13357.533099999999</x:v>
      </x:c>
      <x:c r="J23" s="23" t="n">
        <x:f>COUNTIFS(Wave_Plan_Input!$C$3:$C$574,$B23,Wave_Plan_Input!$Q$3:$Q$574,"Yes")</x:f>
        <x:v>2</x:v>
      </x:c>
    </x:row>
    <x:row r="24" ht="15" customHeight="1">
      <x:c r="B24" s="12" t="s">
        <x:v>2579</x:v>
      </x:c>
      <x:c r="C24" s="23" t="n">
        <x:f>COUNTIF(Wave_Plan_Input!$C$3:$C$574,$B24)</x:f>
        <x:v>1</x:v>
      </x:c>
      <x:c r="D24" s="23" t="n">
        <x:f>COUNTIFS(Wave_Plan_Input!$C$3:$C$574,$B24,Wave_Plan_Input!$K$3:$K$574,"&lt;&gt;")</x:f>
        <x:v>1</x:v>
      </x:c>
      <x:c r="E24" s="23" t="n">
        <x:f>COUNTIFS(Wave_Plan_Input!$C$3:$C$574,$B24,Wave_Plan_Input!$L$3:$L$574,"&lt;&gt;")</x:f>
        <x:v>1</x:v>
      </x:c>
      <x:c r="F24" s="23" t="n">
        <x:f>COUNTIFS(Wave_Plan_Input!$C$3:$C$574,$B24,Wave_Plan_Input!$G$3:$G$574,"&lt;&gt;")</x:f>
        <x:v>1</x:v>
      </x:c>
      <x:c r="G24" s="39">
        <x:f t="shared" si="0"/>
        <x:v>1</x:v>
      </x:c>
      <x:c r="H24" s="13" t="n">
        <x:f>SUMIF(Wave_Plan_Input!$C$3:$C$574,$B24,Wave_Plan_Input!$AB$3:$AB$574)</x:f>
        <x:v>74.4</x:v>
      </x:c>
      <x:c r="I24" s="13" t="n">
        <x:f>SUMIF(Wave_Plan_Input!$C$3:$C$574,$B24,Wave_Plan_Input!$AD$3:$AD$574)</x:f>
        <x:v>2003.0333</x:v>
      </x:c>
      <x:c r="J24" s="23" t="n">
        <x:f>COUNTIFS(Wave_Plan_Input!$C$3:$C$574,$B24,Wave_Plan_Input!$Q$3:$Q$574,"Yes")</x:f>
        <x:v>0</x:v>
      </x:c>
    </x:row>
    <x:row r="25" ht="15" customHeight="1">
      <x:c r="B25" s="12" t="s">
        <x:v>2588</x:v>
      </x:c>
      <x:c r="C25" s="23" t="n">
        <x:f>COUNTIF(Wave_Plan_Input!$C$3:$C$574,$B25)</x:f>
        <x:v>1</x:v>
      </x:c>
      <x:c r="D25" s="23" t="n">
        <x:f>COUNTIFS(Wave_Plan_Input!$C$3:$C$574,$B25,Wave_Plan_Input!$K$3:$K$574,"&lt;&gt;")</x:f>
        <x:v>1</x:v>
      </x:c>
      <x:c r="E25" s="23" t="n">
        <x:f>COUNTIFS(Wave_Plan_Input!$C$3:$C$574,$B25,Wave_Plan_Input!$L$3:$L$574,"&lt;&gt;")</x:f>
        <x:v>1</x:v>
      </x:c>
      <x:c r="F25" s="23" t="n">
        <x:f>COUNTIFS(Wave_Plan_Input!$C$3:$C$574,$B25,Wave_Plan_Input!$G$3:$G$574,"&lt;&gt;")</x:f>
        <x:v>1</x:v>
      </x:c>
      <x:c r="G25" s="39">
        <x:f t="shared" si="0"/>
        <x:v>1</x:v>
      </x:c>
      <x:c r="H25" s="13" t="n">
        <x:f>SUMIF(Wave_Plan_Input!$C$3:$C$574,$B25,Wave_Plan_Input!$AB$3:$AB$574)</x:f>
        <x:v>106.4</x:v>
      </x:c>
      <x:c r="I25" s="13" t="n">
        <x:f>SUMIF(Wave_Plan_Input!$C$3:$C$574,$B25,Wave_Plan_Input!$AD$3:$AD$574)</x:f>
        <x:v>1728.1</x:v>
      </x:c>
      <x:c r="J25" s="23" t="n">
        <x:f>COUNTIFS(Wave_Plan_Input!$C$3:$C$574,$B25,Wave_Plan_Input!$Q$3:$Q$574,"Yes")</x:f>
        <x:v>0</x:v>
      </x:c>
    </x:row>
    <x:row r="26" ht="15" customHeight="1">
      <x:c r="B26" s="3" t="s">
        <x:v>2604</x:v>
      </x:c>
      <x:c r="C26" s="40" t="n">
        <x:f>SUM(C6:C25)</x:f>
        <x:v>572</x:v>
      </x:c>
      <x:c r="D26" s="40" t="n">
        <x:f>SUM(D6:D25)</x:f>
        <x:v>572</x:v>
      </x:c>
      <x:c r="E26" s="40" t="n">
        <x:f>SUM(E6:E25)</x:f>
        <x:v>572</x:v>
      </x:c>
      <x:c r="F26" s="40" t="n">
        <x:f>SUM(F6:F25)</x:f>
        <x:v>572</x:v>
      </x:c>
      <x:c r="G26" s="41" t="n">
        <x:f>IFERROR((SUM(D6:D25)+SUM(E6:E25)+SUM(F6:F25))/(SUM(C6:C25)*3),0)</x:f>
        <x:v>1</x:v>
      </x:c>
      <x:c r="H26" s="42" t="n">
        <x:f>SUM(H6:H25)</x:f>
        <x:v>30260.799999999985</x:v>
      </x:c>
      <x:c r="I26" s="42" t="n">
        <x:f>SUM(I6:I25)</x:f>
        <x:v>413300.6587999999</x:v>
      </x:c>
      <x:c r="J26" s="40" t="n">
        <x:f>SUM(J6:J25)</x:f>
        <x:v>74</x:v>
      </x:c>
    </x:row>
  </x:sheetData>
  <x:pageMargins left="0.7" right="0.7" top="0.75" bottom="0.75" header="0.3" footer="0.3"/>
</x:worksheet>
</file>