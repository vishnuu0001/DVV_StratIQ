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techmahindra-my.sharepoint.com/personal/av001078830_techmahindra_com/Documents/EnterpriseArchitect/Proposals/"/>
    </mc:Choice>
  </mc:AlternateContent>
  <xr:revisionPtr revIDLastSave="4" documentId="8_{EFE6CA95-DBA6-458C-AB81-FE4E57955334}" xr6:coauthVersionLast="47" xr6:coauthVersionMax="47" xr10:uidLastSave="{4E103EDA-D8B2-4E3D-A062-BFFAFB22C373}"/>
  <bookViews>
    <workbookView xWindow="-108" yWindow="-108" windowWidth="23256" windowHeight="13896" tabRatio="894" xr2:uid="{00000000-000D-0000-FFFF-FFFF00000000}"/>
  </bookViews>
  <sheets>
    <sheet name="Applications_v2" sheetId="9" r:id="rId1"/>
    <sheet name="Huntsville Apps OT_v2" sheetId="10" r:id="rId2"/>
    <sheet name="Data AI_v2" sheetId="11" r:id="rId3"/>
    <sheet name="Infrastructure_v2" sheetId="12" r:id="rId4"/>
    <sheet name="Executive Dashboard_v2" sheetId="1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13" l="1"/>
  <c r="D25" i="13"/>
  <c r="C25" i="13"/>
  <c r="C19" i="13"/>
  <c r="E18" i="13"/>
  <c r="D18" i="13"/>
  <c r="B18" i="13"/>
  <c r="E16" i="13"/>
  <c r="D16" i="13"/>
  <c r="D15" i="13"/>
  <c r="C15" i="13"/>
  <c r="B15" i="13"/>
  <c r="E13" i="13"/>
  <c r="C13" i="13"/>
  <c r="B13" i="13"/>
  <c r="E7" i="13"/>
  <c r="E4" i="13"/>
  <c r="D34" i="12"/>
  <c r="K29" i="12"/>
  <c r="I29" i="12"/>
  <c r="K28" i="12"/>
  <c r="I28" i="12"/>
  <c r="I27" i="12"/>
  <c r="K27" i="12" s="1"/>
  <c r="I26" i="12"/>
  <c r="K26" i="12" s="1"/>
  <c r="E15" i="13" s="1"/>
  <c r="K25" i="12"/>
  <c r="E12" i="13" s="1"/>
  <c r="I25" i="12"/>
  <c r="I24" i="12"/>
  <c r="K24" i="12" s="1"/>
  <c r="E17" i="13" s="1"/>
  <c r="K23" i="12"/>
  <c r="E19" i="13" s="1"/>
  <c r="I23" i="12"/>
  <c r="K22" i="12"/>
  <c r="I22" i="12"/>
  <c r="I21" i="12"/>
  <c r="K21" i="12" s="1"/>
  <c r="I20" i="12"/>
  <c r="K20" i="12" s="1"/>
  <c r="E20" i="13" s="1"/>
  <c r="K19" i="12"/>
  <c r="I19" i="12"/>
  <c r="I18" i="12"/>
  <c r="K18" i="12" s="1"/>
  <c r="K17" i="12"/>
  <c r="E24" i="13" s="1"/>
  <c r="I17" i="12"/>
  <c r="K16" i="12"/>
  <c r="I16" i="12"/>
  <c r="I15" i="12"/>
  <c r="K15" i="12" s="1"/>
  <c r="I14" i="12"/>
  <c r="K14" i="12" s="1"/>
  <c r="K13" i="12"/>
  <c r="I13" i="12"/>
  <c r="I12" i="12"/>
  <c r="K12" i="12" s="1"/>
  <c r="K11" i="12"/>
  <c r="I11" i="12"/>
  <c r="K10" i="12"/>
  <c r="I10" i="12"/>
  <c r="I9" i="12"/>
  <c r="K9" i="12" s="1"/>
  <c r="E11" i="13" s="1"/>
  <c r="I8" i="12"/>
  <c r="K8" i="12" s="1"/>
  <c r="K7" i="12"/>
  <c r="E21" i="13" s="1"/>
  <c r="I7" i="12"/>
  <c r="I6" i="12"/>
  <c r="F34" i="12" s="1"/>
  <c r="F34" i="11"/>
  <c r="D34" i="11"/>
  <c r="E6" i="13" s="1"/>
  <c r="I29" i="11"/>
  <c r="K29" i="11" s="1"/>
  <c r="K28" i="11"/>
  <c r="I28" i="11"/>
  <c r="I27" i="11"/>
  <c r="K27" i="11" s="1"/>
  <c r="K26" i="11"/>
  <c r="D13" i="13" s="1"/>
  <c r="I26" i="11"/>
  <c r="K25" i="11"/>
  <c r="D12" i="13" s="1"/>
  <c r="I25" i="11"/>
  <c r="I24" i="11"/>
  <c r="K24" i="11" s="1"/>
  <c r="D17" i="13" s="1"/>
  <c r="I23" i="11"/>
  <c r="K23" i="11" s="1"/>
  <c r="D19" i="13" s="1"/>
  <c r="K22" i="11"/>
  <c r="I22" i="11"/>
  <c r="I21" i="11"/>
  <c r="K21" i="11" s="1"/>
  <c r="K20" i="11"/>
  <c r="I20" i="11"/>
  <c r="K19" i="11"/>
  <c r="I19" i="11"/>
  <c r="I18" i="11"/>
  <c r="K18" i="11" s="1"/>
  <c r="I17" i="11"/>
  <c r="K17" i="11" s="1"/>
  <c r="D24" i="13" s="1"/>
  <c r="K16" i="11"/>
  <c r="I16" i="11"/>
  <c r="I15" i="11"/>
  <c r="K15" i="11" s="1"/>
  <c r="K14" i="11"/>
  <c r="I14" i="11"/>
  <c r="K13" i="11"/>
  <c r="I13" i="11"/>
  <c r="I12" i="11"/>
  <c r="K12" i="11" s="1"/>
  <c r="I11" i="11"/>
  <c r="K11" i="11" s="1"/>
  <c r="D23" i="13" s="1"/>
  <c r="K10" i="11"/>
  <c r="I10" i="11"/>
  <c r="I9" i="11"/>
  <c r="K9" i="11" s="1"/>
  <c r="D11" i="13" s="1"/>
  <c r="K8" i="11"/>
  <c r="I8" i="11"/>
  <c r="K7" i="11"/>
  <c r="D21" i="13" s="1"/>
  <c r="I7" i="11"/>
  <c r="C34" i="11" s="1"/>
  <c r="D6" i="13" s="1"/>
  <c r="I6" i="11"/>
  <c r="K6" i="11" s="1"/>
  <c r="D35" i="10"/>
  <c r="E5" i="13" s="1"/>
  <c r="K30" i="10"/>
  <c r="I30" i="10"/>
  <c r="K29" i="10"/>
  <c r="I29" i="10"/>
  <c r="I28" i="10"/>
  <c r="K28" i="10" s="1"/>
  <c r="C18" i="13" s="1"/>
  <c r="I27" i="10"/>
  <c r="K27" i="10" s="1"/>
  <c r="C16" i="13" s="1"/>
  <c r="K26" i="10"/>
  <c r="I26" i="10"/>
  <c r="I25" i="10"/>
  <c r="K25" i="10" s="1"/>
  <c r="C12" i="13" s="1"/>
  <c r="K24" i="10"/>
  <c r="C17" i="13" s="1"/>
  <c r="I24" i="10"/>
  <c r="K23" i="10"/>
  <c r="I23" i="10"/>
  <c r="I22" i="10"/>
  <c r="K22" i="10" s="1"/>
  <c r="I21" i="10"/>
  <c r="K21" i="10" s="1"/>
  <c r="K20" i="10"/>
  <c r="C20" i="13" s="1"/>
  <c r="I20" i="10"/>
  <c r="I19" i="10"/>
  <c r="K19" i="10" s="1"/>
  <c r="K18" i="10"/>
  <c r="I18" i="10"/>
  <c r="K17" i="10"/>
  <c r="I17" i="10"/>
  <c r="I16" i="10"/>
  <c r="K16" i="10" s="1"/>
  <c r="I15" i="10"/>
  <c r="K15" i="10" s="1"/>
  <c r="K14" i="10"/>
  <c r="I14" i="10"/>
  <c r="I13" i="10"/>
  <c r="K13" i="10" s="1"/>
  <c r="K12" i="10"/>
  <c r="I12" i="10"/>
  <c r="K11" i="10"/>
  <c r="C23" i="13" s="1"/>
  <c r="I11" i="10"/>
  <c r="I10" i="10"/>
  <c r="K10" i="10" s="1"/>
  <c r="I9" i="10"/>
  <c r="K9" i="10" s="1"/>
  <c r="K8" i="10"/>
  <c r="I8" i="10"/>
  <c r="I7" i="10"/>
  <c r="F35" i="10" s="1"/>
  <c r="K6" i="10"/>
  <c r="I6" i="10"/>
  <c r="D32" i="9"/>
  <c r="K27" i="9"/>
  <c r="B16" i="13" s="1"/>
  <c r="I27" i="9"/>
  <c r="I26" i="9"/>
  <c r="K26" i="9" s="1"/>
  <c r="B25" i="13" s="1"/>
  <c r="K25" i="9"/>
  <c r="B12" i="13" s="1"/>
  <c r="I25" i="9"/>
  <c r="K24" i="9"/>
  <c r="B17" i="13" s="1"/>
  <c r="I24" i="9"/>
  <c r="I23" i="9"/>
  <c r="K23" i="9" s="1"/>
  <c r="B19" i="13" s="1"/>
  <c r="I22" i="9"/>
  <c r="K22" i="9" s="1"/>
  <c r="K21" i="9"/>
  <c r="I21" i="9"/>
  <c r="I20" i="9"/>
  <c r="K20" i="9" s="1"/>
  <c r="B20" i="13" s="1"/>
  <c r="K19" i="9"/>
  <c r="I19" i="9"/>
  <c r="K18" i="9"/>
  <c r="I18" i="9"/>
  <c r="I17" i="9"/>
  <c r="K17" i="9" s="1"/>
  <c r="B24" i="13" s="1"/>
  <c r="I16" i="9"/>
  <c r="K16" i="9" s="1"/>
  <c r="K15" i="9"/>
  <c r="I15" i="9"/>
  <c r="I14" i="9"/>
  <c r="K14" i="9" s="1"/>
  <c r="K13" i="9"/>
  <c r="I13" i="9"/>
  <c r="K12" i="9"/>
  <c r="I12" i="9"/>
  <c r="I11" i="9"/>
  <c r="K11" i="9" s="1"/>
  <c r="B23" i="13" s="1"/>
  <c r="I10" i="9"/>
  <c r="K10" i="9" s="1"/>
  <c r="K9" i="9"/>
  <c r="B11" i="13" s="1"/>
  <c r="I9" i="9"/>
  <c r="I8" i="9"/>
  <c r="F32" i="9" s="1"/>
  <c r="K7" i="9"/>
  <c r="I7" i="9"/>
  <c r="K6" i="9"/>
  <c r="I6" i="9"/>
  <c r="C32" i="9" s="1"/>
  <c r="D4" i="13" s="1"/>
  <c r="C22" i="13" l="1"/>
  <c r="B22" i="13"/>
  <c r="D20" i="13"/>
  <c r="E23" i="13"/>
  <c r="E34" i="11"/>
  <c r="D14" i="13"/>
  <c r="A34" i="11"/>
  <c r="D22" i="13"/>
  <c r="E22" i="13"/>
  <c r="C11" i="13"/>
  <c r="C24" i="13"/>
  <c r="K8" i="9"/>
  <c r="E32" i="9" s="1"/>
  <c r="K7" i="10"/>
  <c r="C21" i="13" s="1"/>
  <c r="K6" i="12"/>
  <c r="C35" i="10"/>
  <c r="D5" i="13" s="1"/>
  <c r="C34" i="12"/>
  <c r="D7" i="13" s="1"/>
  <c r="B14" i="13"/>
  <c r="C14" i="13"/>
  <c r="B21" i="13"/>
  <c r="A32" i="9" l="1"/>
  <c r="B34" i="11"/>
  <c r="C6" i="13" s="1"/>
  <c r="B6" i="13"/>
  <c r="H6" i="13" s="1"/>
  <c r="A34" i="12"/>
  <c r="E14" i="13"/>
  <c r="E34" i="12"/>
  <c r="A35" i="10"/>
  <c r="E35" i="10"/>
  <c r="B5" i="13" l="1"/>
  <c r="H5" i="13" s="1"/>
  <c r="B35" i="10"/>
  <c r="C5" i="13" s="1"/>
  <c r="B7" i="13"/>
  <c r="H7" i="13" s="1"/>
  <c r="B34" i="12"/>
  <c r="C7" i="13" s="1"/>
  <c r="B4" i="13"/>
  <c r="H4" i="13" s="1"/>
  <c r="B32" i="9"/>
  <c r="C4" i="13" s="1"/>
</calcChain>
</file>

<file path=xl/sharedStrings.xml><?xml version="1.0" encoding="utf-8"?>
<sst xmlns="http://schemas.openxmlformats.org/spreadsheetml/2006/main" count="788" uniqueCount="232">
  <si>
    <t>Score</t>
  </si>
  <si>
    <t>Early</t>
  </si>
  <si>
    <t>Mature</t>
  </si>
  <si>
    <t>Tower</t>
  </si>
  <si>
    <t>Gap to Target</t>
  </si>
  <si>
    <t>Applications</t>
  </si>
  <si>
    <t>Huntsville Apps OT</t>
  </si>
  <si>
    <t>Data AI</t>
  </si>
  <si>
    <t>Infrastructure</t>
  </si>
  <si>
    <t>Dimension</t>
  </si>
  <si>
    <t>Architecture &amp; Design</t>
  </si>
  <si>
    <t>Compliance &amp; Auditability</t>
  </si>
  <si>
    <t>Infrastructure Security</t>
  </si>
  <si>
    <t>Metrics &amp; Continuous Improvement</t>
  </si>
  <si>
    <t>Operational Readiness</t>
  </si>
  <si>
    <t>Security Integration</t>
  </si>
  <si>
    <t>All Phases</t>
  </si>
  <si>
    <t>Weight</t>
  </si>
  <si>
    <t>Assessment Question</t>
  </si>
  <si>
    <t>Phase 1 - Requirements &amp; Scope</t>
  </si>
  <si>
    <t>Phase 2 - Analysis &amp; Design</t>
  </si>
  <si>
    <t>Phase 4 - Development</t>
  </si>
  <si>
    <t>Phase 6 - Prod Prep &amp; Deployment</t>
  </si>
  <si>
    <t>Phase 6 - Release</t>
  </si>
  <si>
    <t>Applications - SSDLC Maturity Assessment</t>
  </si>
  <si>
    <t>Select the maturity level that best fits the current state. Evidence/comments should support every selected level. Scores and weighted scores calculate automatically.</t>
  </si>
  <si>
    <t>SSDLC Phase(s)</t>
  </si>
  <si>
    <t>Early (1)</t>
  </si>
  <si>
    <t>Emerging (2)</t>
  </si>
  <si>
    <t>Mature (3)</t>
  </si>
  <si>
    <t>Fully Mature (4)</t>
  </si>
  <si>
    <t>Selected Level</t>
  </si>
  <si>
    <t>Weighted Score</t>
  </si>
  <si>
    <t>Evidence / Comments</t>
  </si>
  <si>
    <t>Gap / Recommendation</t>
  </si>
  <si>
    <t>Governance &amp; Ownership</t>
  </si>
  <si>
    <t>Are SSDLC roles and approval responsibilities clearly defined and followed?</t>
  </si>
  <si>
    <t>Roles and approvals are informal or person-dependent.</t>
  </si>
  <si>
    <t>Basic owners are known, but responsibilities vary by project/team.</t>
  </si>
  <si>
    <t>Roles, approvers, and signoffs are documented and consistently followed.</t>
  </si>
  <si>
    <t>Formal RACI, governance forums, escalation paths, and periodic compliance reviews exist.</t>
  </si>
  <si>
    <t>Requirements &amp; Risk Management</t>
  </si>
  <si>
    <t>Are business requirements, scope, and changes formally captured and controlled?</t>
  </si>
  <si>
    <t>Requirements are captured informally; scope changes are handled ad hoc.</t>
  </si>
  <si>
    <t>Templates exist for some projects; change control is inconsistent.</t>
  </si>
  <si>
    <t>Requirements, scope approval, and change control are documented and mandatory.</t>
  </si>
  <si>
    <t>Requirements include risk classification, traceability, impact analysis, and automated change governance.</t>
  </si>
  <si>
    <t>Is data classification performed during intake or requirements?</t>
  </si>
  <si>
    <t>No formal data classification is performed.</t>
  </si>
  <si>
    <t>Data classification is performed only for sensitive or high-profile projects.</t>
  </si>
  <si>
    <t>Data classification is mandatory and captured in standard artifacts.</t>
  </si>
  <si>
    <t>Classification drives downstream controls, security gates, privacy reviews, and audit evidence.</t>
  </si>
  <si>
    <t>Is architecture/design review required before build begins?</t>
  </si>
  <si>
    <t>Design reviews are optional or informal.</t>
  </si>
  <si>
    <t>Design reviews occur for major projects only.</t>
  </si>
  <si>
    <t>Architecture/design review and signoff are mandatory before development.</t>
  </si>
  <si>
    <t>Architecture governance includes reusable patterns, NFR review, technical debt assessment, and exception tracking.</t>
  </si>
  <si>
    <t>Are interface, integration, and data flow designs documented?</t>
  </si>
  <si>
    <t>Interfaces are not consistently documented.</t>
  </si>
  <si>
    <t>Interface documentation exists but varies by project/vendor.</t>
  </si>
  <si>
    <t>Interface specifications and data flows are required and reviewed.</t>
  </si>
  <si>
    <t>Interface designs follow approved patterns, API/event standards, and are stored in a reusable catalog.</t>
  </si>
  <si>
    <t>Phase 1-2</t>
  </si>
  <si>
    <t>Is threat modeling performed before development?</t>
  </si>
  <si>
    <t>No threat modeling is performed.</t>
  </si>
  <si>
    <t>Threat modeling is performed only for critical/high-risk projects.</t>
  </si>
  <si>
    <t>Threat modeling is mandatory for applicable projects and tracked to closure.</t>
  </si>
  <si>
    <t>Threat modeling is integrated into architecture governance, tool-supported, and linked to remediation workflows.</t>
  </si>
  <si>
    <t>Is security architecture review embedded in design approval?</t>
  </si>
  <si>
    <t>Security review happens late or not at all.</t>
  </si>
  <si>
    <t>Security participates when requested or for high-risk projects.</t>
  </si>
  <si>
    <t>Security review/signoff is a defined design gate.</t>
  </si>
  <si>
    <t>Security architecture review is risk-based, measurable, integrated with EA governance, and exception-managed.</t>
  </si>
  <si>
    <t>Secure Development</t>
  </si>
  <si>
    <t>Are secure coding standards defined and enforced?</t>
  </si>
  <si>
    <t>No secure coding standards are formally defined.</t>
  </si>
  <si>
    <t>Standards exist but adoption is inconsistent and not measured.</t>
  </si>
  <si>
    <t>Secure coding standards are mandatory and referenced during development/reviews.</t>
  </si>
  <si>
    <t>Secure coding standards are embedded into developer workflows, training, code review, and automated checks.</t>
  </si>
  <si>
    <t>Is source code reviewed before release?</t>
  </si>
  <si>
    <t>Code reviews are optional or informal.</t>
  </si>
  <si>
    <t>Code reviews occur inconsistently or only within some teams/vendors.</t>
  </si>
  <si>
    <t>Code review is mandatory with documented evidence.</t>
  </si>
  <si>
    <t>Code reviews are policy-driven, integrated into pull requests, and measured for compliance/quality.</t>
  </si>
  <si>
    <t>Is SAST performed as part of build/development?</t>
  </si>
  <si>
    <t>No SAST is performed.</t>
  </si>
  <si>
    <t>SAST is performed manually or only for selected applications.</t>
  </si>
  <si>
    <t>SAST is required before release and findings are tracked.</t>
  </si>
  <si>
    <t>SAST is automated in CI/CD with severity thresholds, remediation SLAs, and exception workflows.</t>
  </si>
  <si>
    <t>Is open-source/dependency scanning performed?</t>
  </si>
  <si>
    <t>No dependency or OSS scanning is performed.</t>
  </si>
  <si>
    <t>Scanning is occasional or limited to specific projects.</t>
  </si>
  <si>
    <t>Dependency scanning is required with tracked remediation.</t>
  </si>
  <si>
    <t>Scanning is automated, policy-driven, tied to SBOM/license review, and monitored continuously.</t>
  </si>
  <si>
    <t>Testing &amp; Validation</t>
  </si>
  <si>
    <t>Phase 5 - Testing/UAT</t>
  </si>
  <si>
    <t>Is UAT planned, executed, and formally signed off?</t>
  </si>
  <si>
    <t>UAT is informal or inconsistently documented.</t>
  </si>
  <si>
    <t>UAT occurs but templates and signoff vary.</t>
  </si>
  <si>
    <t>UAT scripts, defect logs, and business signoff are mandatory.</t>
  </si>
  <si>
    <t>UAT is traceable to requirements, includes automated evidence, and drives release readiness metrics.</t>
  </si>
  <si>
    <t>Is DAST/security testing performed before production?</t>
  </si>
  <si>
    <t>No DAST/security testing is performed.</t>
  </si>
  <si>
    <t>Security testing occurs only for critical projects or manually.</t>
  </si>
  <si>
    <t>DAST/security testing is required for applicable applications before production.</t>
  </si>
  <si>
    <t>DAST/security testing is automated, risk-based, integrated with release gates, and measured.</t>
  </si>
  <si>
    <t>Are performance and resiliency tests performed where applicable?</t>
  </si>
  <si>
    <t>Performance/resiliency testing is not routinely performed.</t>
  </si>
  <si>
    <t>Testing is performed for major projects only.</t>
  </si>
  <si>
    <t>Performance/resiliency testing criteria are defined and executed for applicable projects.</t>
  </si>
  <si>
    <t>Performance/resiliency testing is automated, environment-aligned, and tied to SLO/error-budget governance.</t>
  </si>
  <si>
    <t>Release &amp; Change Management</t>
  </si>
  <si>
    <t>Is deployment readiness governed through a checklist and approvals?</t>
  </si>
  <si>
    <t>Deployment readiness is informal.</t>
  </si>
  <si>
    <t>Checklist exists but is not consistently used.</t>
  </si>
  <si>
    <t>Deployment checklist, approvals, access validation, and rollback plan are required.</t>
  </si>
  <si>
    <t>Readiness is automated through release gates, evidence collection, risk scoring, and approval workflows.</t>
  </si>
  <si>
    <t>Is rollback/contingency planning required before go-live?</t>
  </si>
  <si>
    <t>Rollback planning is not consistently documented.</t>
  </si>
  <si>
    <t>Rollback plans exist for selected high-risk deployments.</t>
  </si>
  <si>
    <t>Rollback/contingency plan is mandatory before deployment approval.</t>
  </si>
  <si>
    <t>Rollback plans are tested, automated where feasible, and integrated into release rehearsals/DR playbooks.</t>
  </si>
  <si>
    <t>Is security signoff required before production deployment?</t>
  </si>
  <si>
    <t>No formal security signoff is required.</t>
  </si>
  <si>
    <t>Security signoff is required for high-risk projects only.</t>
  </si>
  <si>
    <t>Security signoff is a defined production readiness gate.</t>
  </si>
  <si>
    <t>Security signoff is automated/risk-based with vulnerability thresholds, exception approvals, and audit evidence.</t>
  </si>
  <si>
    <t>Phase 7 - Production Launch/Operate</t>
  </si>
  <si>
    <t>Are hypercare, runbooks, and support transition documented?</t>
  </si>
  <si>
    <t>Support transition is informal.</t>
  </si>
  <si>
    <t>Runbooks/hypercare exist but vary by project.</t>
  </si>
  <si>
    <t>Hypercare, support contacts, runbooks, and closure criteria are required.</t>
  </si>
  <si>
    <t>Operational readiness includes monitoring, SLAs/SLOs, incident playbooks, and continuous improvement feedback loops.</t>
  </si>
  <si>
    <t>Phase 7 + All Phases</t>
  </si>
  <si>
    <t>Are SSDLC compliance, release quality, and security metrics measured?</t>
  </si>
  <si>
    <t>No formal SSDLC metrics are measured.</t>
  </si>
  <si>
    <t>Basic project/defect metrics exist but are not linked to SSDLC maturity.</t>
  </si>
  <si>
    <t>SSDLC compliance and release quality metrics are captured and reviewed.</t>
  </si>
  <si>
    <t>DORA, vulnerability SLA, defect leakage, security exceptions, and process KPIs are dashboarded and continuously improved.</t>
  </si>
  <si>
    <t>Is evidence collected and audit-ready across SSDLC gates?</t>
  </si>
  <si>
    <t>Evidence is stored inconsistently or depends on individuals.</t>
  </si>
  <si>
    <t>Some gate evidence exists but is scattered across tools/repositories.</t>
  </si>
  <si>
    <t>Required gate evidence is standardized and retained in approved repositories.</t>
  </si>
  <si>
    <t>Evidence collection is automated, traceable, audit-ready, and linked to controls/compliance reporting.</t>
  </si>
  <si>
    <t>Vendor &amp; Delivery Controls</t>
  </si>
  <si>
    <t>Phase 1-6</t>
  </si>
  <si>
    <t>Are vendor deliverables, estimates, and SOWs governed consistently?</t>
  </si>
  <si>
    <t>Vendor estimates/SOWs are handled inconsistently.</t>
  </si>
  <si>
    <t>Vendor deliverables are reviewed but standards vary.</t>
  </si>
  <si>
    <t>Vendor SOW, effort estimates, deliverables, and signoffs are governed through standard checkpoints.</t>
  </si>
  <si>
    <t>Vendor performance, quality, security compliance, and delivery evidence are measured through scorecards.</t>
  </si>
  <si>
    <t>Legacy Application Controls</t>
  </si>
  <si>
    <t>Phase 4-6</t>
  </si>
  <si>
    <t>Are mainframe/batch/stored procedure changes reviewed with appropriate controls?</t>
  </si>
  <si>
    <t>Legacy changes are reviewed informally.</t>
  </si>
  <si>
    <t>Reviews occur for major changes but are inconsistent.</t>
  </si>
  <si>
    <t>Legacy code, DB, batch, and stored procedure changes follow documented review/test/release controls.</t>
  </si>
  <si>
    <t>Legacy changes are automated where possible, impact-assessed, traceable, and integrated with modern release evidence.</t>
  </si>
  <si>
    <t>Overall Score %</t>
  </si>
  <si>
    <t>Overall Level</t>
  </si>
  <si>
    <t>Answered Questions</t>
  </si>
  <si>
    <t>Total Questions</t>
  </si>
  <si>
    <t>Answered Weight</t>
  </si>
  <si>
    <t>Huntsville Apps OT - SSDLC Maturity Assessment</t>
  </si>
  <si>
    <t>OT/Plant Security</t>
  </si>
  <si>
    <t>Are OT/plant architecture and cybersecurity risks reviewed before design approval?</t>
  </si>
  <si>
    <t>OT security/architecture review is not formally performed.</t>
  </si>
  <si>
    <t>Review occurs for selected high-risk plant systems.</t>
  </si>
  <si>
    <t>OT/plant security review is required for applicable applications.</t>
  </si>
  <si>
    <t>OT architecture review aligns to Purdue/ISA-95/plant segmentation standards and is integrated into SSDLC gates.</t>
  </si>
  <si>
    <t>Are plant downtime, safety, and operational continuity risks assessed before deployment?</t>
  </si>
  <si>
    <t>Downtime/safety impact is not consistently assessed.</t>
  </si>
  <si>
    <t>Impact is assessed informally with plant stakeholders.</t>
  </si>
  <si>
    <t>Downtime, safety, fallback, and plant operational readiness are required before deployment.</t>
  </si>
  <si>
    <t>Operational continuity is rehearsed, monitored, risk-scored, and tied to approved plant release windows.</t>
  </si>
  <si>
    <t>Phase 6-7</t>
  </si>
  <si>
    <t>Are OT access, remote support, and vendor connectivity controlled?</t>
  </si>
  <si>
    <t>Remote/vendor access is handled ad hoc.</t>
  </si>
  <si>
    <t>Basic access controls exist but reviews are inconsistent.</t>
  </si>
  <si>
    <t>Access approvals, time-bound permissions, and support procedures are documented.</t>
  </si>
  <si>
    <t>Remote/vendor access is privileged, monitored, segmented, logged, and periodically reviewed.</t>
  </si>
  <si>
    <t>Data AI - SSDLC Maturity Assessment</t>
  </si>
  <si>
    <t>Data/AI Governance</t>
  </si>
  <si>
    <t>Are data privacy, PII, retention, and usage constraints assessed during intake?</t>
  </si>
  <si>
    <t>Data privacy/PII risk is not assessed consistently.</t>
  </si>
  <si>
    <t>Privacy review occurs for obvious sensitive data cases.</t>
  </si>
  <si>
    <t>Privacy, PII, retention, and data usage constraints are mandatory intake checks.</t>
  </si>
  <si>
    <t>Privacy-by-design controls are automated, traceable, and linked to data catalog/classification workflows.</t>
  </si>
  <si>
    <t>Are AI/model risks assessed before build or deployment?</t>
  </si>
  <si>
    <t>No AI/model risk assessment exists.</t>
  </si>
  <si>
    <t>AI risk review is informal or limited to high-profile use cases.</t>
  </si>
  <si>
    <t>AI/model risk assessment is required and documented for AI initiatives.</t>
  </si>
  <si>
    <t>AI risk assessment covers bias, explainability, hallucination, toxicity, privacy, model drift, and approval workflows.</t>
  </si>
  <si>
    <t>Phase 4-5</t>
  </si>
  <si>
    <t>Are training data, model validation, and model versioning governed?</t>
  </si>
  <si>
    <t>Training data/model versions are not governed.</t>
  </si>
  <si>
    <t>Some data/model documentation exists but is inconsistent.</t>
  </si>
  <si>
    <t>Training data lineage, model validation, and versioning are required.</t>
  </si>
  <si>
    <t>Model lifecycle is automated through MLOps with lineage, approval gates, monitoring, and rollback.</t>
  </si>
  <si>
    <t>Phase 7 - Operate</t>
  </si>
  <si>
    <t>Are deployed models monitored for drift, performance, and responsible AI risks?</t>
  </si>
  <si>
    <t>No ongoing model monitoring exists.</t>
  </si>
  <si>
    <t>Manual/ad hoc monitoring is performed for selected models.</t>
  </si>
  <si>
    <t>Model performance, drift, and operational risks are monitored with defined ownership.</t>
  </si>
  <si>
    <t>Continuous model monitoring triggers automated alerts, retraining workflows, risk reviews, and compliance evidence.</t>
  </si>
  <si>
    <t>Infrastructure - SSDLC Maturity Assessment</t>
  </si>
  <si>
    <t>Are cloud/infrastructure architecture and security patterns reviewed before provisioning?</t>
  </si>
  <si>
    <t>Infrastructure design review is informal.</t>
  </si>
  <si>
    <t>Review occurs for major infrastructure changes only.</t>
  </si>
  <si>
    <t>Cloud/infrastructure architecture and security review is mandatory.</t>
  </si>
  <si>
    <t>Approved landing zones, guardrails, reference architectures, and policy-as-code enforce design standards.</t>
  </si>
  <si>
    <t>Phase 4 - Build/Provision</t>
  </si>
  <si>
    <t>Are Infrastructure-as-Code standards used for provisioning?</t>
  </si>
  <si>
    <t>Infrastructure is provisioned manually.</t>
  </si>
  <si>
    <t>IaC is used inconsistently or by selected teams.</t>
  </si>
  <si>
    <t>IaC standards/templates are required for applicable infrastructure changes.</t>
  </si>
  <si>
    <t>IaC is policy-validated, version-controlled, scanned, peer-reviewed, and deployed through automated pipelines.</t>
  </si>
  <si>
    <t>Are secrets, certificates, and privileged access managed securely?</t>
  </si>
  <si>
    <t>Secrets/access are handled manually or inconsistently.</t>
  </si>
  <si>
    <t>Basic vault/access practices exist but are not consistently enforced.</t>
  </si>
  <si>
    <t>Secrets/certificates/privileged access are governed through standard tools and approvals.</t>
  </si>
  <si>
    <t>Secrets rotation, certificate lifecycle, PAM, access reviews, and audit logging are automated and measured.</t>
  </si>
  <si>
    <t>Are vulnerability remediation SLAs defined and tracked?</t>
  </si>
  <si>
    <t>Vulnerability remediation is reactive.</t>
  </si>
  <si>
    <t>Vulnerabilities are tracked but SLAs vary by team/system.</t>
  </si>
  <si>
    <t>Remediation SLAs are defined, tracked, and reported.</t>
  </si>
  <si>
    <t>Risk-based remediation is automated with SLA dashboards, exception workflows, and executive reporting.</t>
  </si>
  <si>
    <t>Executive SSDLC Maturity Dashboard</t>
  </si>
  <si>
    <t>Answered</t>
  </si>
  <si>
    <t>Top Concern</t>
  </si>
  <si>
    <t>Target %</t>
  </si>
  <si>
    <t>Security / automation / evidence gaps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</si>
</sst>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1"/>
      <name val="Carlito"/>
    </font>
    <font>
      <sz val="11"/>
      <name val="Carlito"/>
    </font>
    <font>
      <sz val="11"/>
      <name val="Calibri"/>
      <family val="2"/>
      <scheme val="major"/>
    </font>
    <font>
      <b/>
      <sz val="11"/>
      <name val="Calibri"/>
      <family val="2"/>
      <scheme val="major"/>
    </font>
    <font>
      <b/>
      <sz val="16"/>
      <color rgb="FF1F4E78"/>
      <name val="Calibri"/>
      <family val="2"/>
      <scheme val="major"/>
    </font>
    <font>
      <b/>
      <sz val="11"/>
      <color rgb="FFFFFFFF"/>
      <name val="Calibri"/>
      <family val="2"/>
      <scheme val="major"/>
    </font>
    <font>
      <b/>
      <sz val="11"/>
      <color rgb="FF1F4E78"/>
      <name val="Calibri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1"/>
  </cellStyleXfs>
  <cellXfs count="12">
    <xf numFmtId="0" fontId="0" fillId="0" borderId="0" xfId="0"/>
    <xf numFmtId="0" fontId="3" fillId="0" borderId="1" xfId="1" applyFont="1"/>
    <xf numFmtId="0" fontId="3" fillId="0" borderId="1" xfId="1" applyFont="1" applyAlignment="1">
      <alignment wrapText="1"/>
    </xf>
    <xf numFmtId="0" fontId="4" fillId="0" borderId="1" xfId="1" applyFont="1"/>
    <xf numFmtId="0" fontId="2" fillId="0" borderId="1" xfId="1" applyFont="1"/>
    <xf numFmtId="0" fontId="5" fillId="2" borderId="1" xfId="1" applyFont="1" applyFill="1" applyAlignment="1">
      <alignment horizontal="center" vertical="center" wrapText="1"/>
    </xf>
    <xf numFmtId="164" fontId="2" fillId="0" borderId="1" xfId="1" applyNumberFormat="1" applyFont="1"/>
    <xf numFmtId="0" fontId="4" fillId="0" borderId="1" xfId="1" applyFont="1" applyAlignment="1">
      <alignment wrapText="1"/>
    </xf>
    <xf numFmtId="0" fontId="2" fillId="0" borderId="1" xfId="1" applyFont="1" applyAlignment="1">
      <alignment wrapText="1"/>
    </xf>
    <xf numFmtId="0" fontId="6" fillId="3" borderId="1" xfId="1" applyFont="1" applyFill="1" applyAlignment="1">
      <alignment horizontal="center" vertical="center" wrapText="1"/>
    </xf>
    <xf numFmtId="164" fontId="3" fillId="0" borderId="1" xfId="1" applyNumberFormat="1" applyFont="1" applyAlignment="1">
      <alignment wrapText="1"/>
    </xf>
    <xf numFmtId="1" fontId="3" fillId="0" borderId="1" xfId="1" applyNumberFormat="1" applyFont="1" applyAlignment="1">
      <alignment wrapText="1"/>
    </xf>
  </cellXfs>
  <cellStyles count="2">
    <cellStyle name="Normal" xfId="0" builtinId="0"/>
    <cellStyle name="Normal 2" xfId="1" xr:uid="{FD6A34C8-1770-4254-818C-621EED86E25D}"/>
  </cellStyles>
  <dxfs count="16">
    <dxf>
      <fill>
        <patternFill patternType="solid">
          <bgColor rgb="FFC6E0B4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8CBAD"/>
        </patternFill>
      </fill>
    </dxf>
    <dxf>
      <fill>
        <patternFill patternType="solid">
          <bgColor rgb="FFC6E0B4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8CBAD"/>
        </patternFill>
      </fill>
    </dxf>
    <dxf>
      <fill>
        <patternFill patternType="solid">
          <bgColor rgb="FFC6E0B4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8CBAD"/>
        </patternFill>
      </fill>
    </dxf>
    <dxf>
      <fill>
        <patternFill patternType="solid">
          <bgColor rgb="FFC6E0B4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8CBA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/>
              <a:t>Overall Maturity by Tower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Overall Score %</c:v>
          </c:tx>
          <c:invertIfNegative val="1"/>
          <c:cat>
            <c:strRef>
              <c:f>'Executive Dashboard_v2'!$A$4:$A$7</c:f>
              <c:strCache>
                <c:ptCount val="4"/>
                <c:pt idx="0">
                  <c:v>Applications</c:v>
                </c:pt>
                <c:pt idx="1">
                  <c:v>Huntsville Apps OT</c:v>
                </c:pt>
                <c:pt idx="2">
                  <c:v>Data AI</c:v>
                </c:pt>
                <c:pt idx="3">
                  <c:v>Infrastructure</c:v>
                </c:pt>
              </c:strCache>
            </c:strRef>
          </c:cat>
          <c:val>
            <c:numRef>
              <c:f>'Executive Dashboard_v2'!$B$4:$B$7</c:f>
              <c:numCache>
                <c:formatCode>0.0</c:formatCode>
                <c:ptCount val="4"/>
                <c:pt idx="0">
                  <c:v>25</c:v>
                </c:pt>
                <c:pt idx="1">
                  <c:v>75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32-48C8-B99E-B1B258E0F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/>
              <a:t>Dimension Maturity Heatmap View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Applications</c:v>
          </c:tx>
          <c:invertIfNegative val="1"/>
          <c:cat>
            <c:strRef>
              <c:f>'Executive Dashboard_v2'!$A$11:$A$25</c:f>
              <c:strCache>
                <c:ptCount val="15"/>
                <c:pt idx="0">
                  <c:v>Architecture &amp; Design</c:v>
                </c:pt>
                <c:pt idx="1">
                  <c:v>Compliance &amp; Auditability</c:v>
                </c:pt>
                <c:pt idx="2">
                  <c:v>Data/AI Governance</c:v>
                </c:pt>
                <c:pt idx="3">
                  <c:v>Governance &amp; Ownership</c:v>
                </c:pt>
                <c:pt idx="4">
                  <c:v>Infrastructure Security</c:v>
                </c:pt>
                <c:pt idx="5">
                  <c:v>Legacy Application Controls</c:v>
                </c:pt>
                <c:pt idx="6">
                  <c:v>Metrics &amp; Continuous Improvement</c:v>
                </c:pt>
                <c:pt idx="7">
                  <c:v>OT/Plant Security</c:v>
                </c:pt>
                <c:pt idx="8">
                  <c:v>Operational Readiness</c:v>
                </c:pt>
                <c:pt idx="9">
                  <c:v>Release &amp; Change Management</c:v>
                </c:pt>
                <c:pt idx="10">
                  <c:v>Requirements &amp; Risk Management</c:v>
                </c:pt>
                <c:pt idx="11">
                  <c:v>Secure Development</c:v>
                </c:pt>
                <c:pt idx="12">
                  <c:v>Security Integration</c:v>
                </c:pt>
                <c:pt idx="13">
                  <c:v>Testing &amp; Validation</c:v>
                </c:pt>
                <c:pt idx="14">
                  <c:v>Vendor &amp; Delivery Controls</c:v>
                </c:pt>
              </c:strCache>
            </c:strRef>
          </c:cat>
          <c:val>
            <c:numRef>
              <c:f>'Executive Dashboard_v2'!$B$11:$B$25</c:f>
              <c:numCache>
                <c:formatCode>0.0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58-4A9A-A9F7-BAECFD327C09}"/>
            </c:ext>
          </c:extLst>
        </c:ser>
        <c:ser>
          <c:idx val="1"/>
          <c:order val="1"/>
          <c:tx>
            <c:v>Huntsville Apps OT</c:v>
          </c:tx>
          <c:invertIfNegative val="1"/>
          <c:cat>
            <c:strRef>
              <c:f>'Executive Dashboard_v2'!$A$11:$A$25</c:f>
              <c:strCache>
                <c:ptCount val="15"/>
                <c:pt idx="0">
                  <c:v>Architecture &amp; Design</c:v>
                </c:pt>
                <c:pt idx="1">
                  <c:v>Compliance &amp; Auditability</c:v>
                </c:pt>
                <c:pt idx="2">
                  <c:v>Data/AI Governance</c:v>
                </c:pt>
                <c:pt idx="3">
                  <c:v>Governance &amp; Ownership</c:v>
                </c:pt>
                <c:pt idx="4">
                  <c:v>Infrastructure Security</c:v>
                </c:pt>
                <c:pt idx="5">
                  <c:v>Legacy Application Controls</c:v>
                </c:pt>
                <c:pt idx="6">
                  <c:v>Metrics &amp; Continuous Improvement</c:v>
                </c:pt>
                <c:pt idx="7">
                  <c:v>OT/Plant Security</c:v>
                </c:pt>
                <c:pt idx="8">
                  <c:v>Operational Readiness</c:v>
                </c:pt>
                <c:pt idx="9">
                  <c:v>Release &amp; Change Management</c:v>
                </c:pt>
                <c:pt idx="10">
                  <c:v>Requirements &amp; Risk Management</c:v>
                </c:pt>
                <c:pt idx="11">
                  <c:v>Secure Development</c:v>
                </c:pt>
                <c:pt idx="12">
                  <c:v>Security Integration</c:v>
                </c:pt>
                <c:pt idx="13">
                  <c:v>Testing &amp; Validation</c:v>
                </c:pt>
                <c:pt idx="14">
                  <c:v>Vendor &amp; Delivery Controls</c:v>
                </c:pt>
              </c:strCache>
            </c:strRef>
          </c:cat>
          <c:val>
            <c:numRef>
              <c:f>'Executive Dashboard_v2'!$C$11:$C$25</c:f>
              <c:numCache>
                <c:formatCode>0.0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58-4A9A-A9F7-BAECFD327C09}"/>
            </c:ext>
          </c:extLst>
        </c:ser>
        <c:ser>
          <c:idx val="2"/>
          <c:order val="2"/>
          <c:tx>
            <c:v>Data AI</c:v>
          </c:tx>
          <c:invertIfNegative val="1"/>
          <c:cat>
            <c:strRef>
              <c:f>'Executive Dashboard_v2'!$A$11:$A$25</c:f>
              <c:strCache>
                <c:ptCount val="15"/>
                <c:pt idx="0">
                  <c:v>Architecture &amp; Design</c:v>
                </c:pt>
                <c:pt idx="1">
                  <c:v>Compliance &amp; Auditability</c:v>
                </c:pt>
                <c:pt idx="2">
                  <c:v>Data/AI Governance</c:v>
                </c:pt>
                <c:pt idx="3">
                  <c:v>Governance &amp; Ownership</c:v>
                </c:pt>
                <c:pt idx="4">
                  <c:v>Infrastructure Security</c:v>
                </c:pt>
                <c:pt idx="5">
                  <c:v>Legacy Application Controls</c:v>
                </c:pt>
                <c:pt idx="6">
                  <c:v>Metrics &amp; Continuous Improvement</c:v>
                </c:pt>
                <c:pt idx="7">
                  <c:v>OT/Plant Security</c:v>
                </c:pt>
                <c:pt idx="8">
                  <c:v>Operational Readiness</c:v>
                </c:pt>
                <c:pt idx="9">
                  <c:v>Release &amp; Change Management</c:v>
                </c:pt>
                <c:pt idx="10">
                  <c:v>Requirements &amp; Risk Management</c:v>
                </c:pt>
                <c:pt idx="11">
                  <c:v>Secure Development</c:v>
                </c:pt>
                <c:pt idx="12">
                  <c:v>Security Integration</c:v>
                </c:pt>
                <c:pt idx="13">
                  <c:v>Testing &amp; Validation</c:v>
                </c:pt>
                <c:pt idx="14">
                  <c:v>Vendor &amp; Delivery Controls</c:v>
                </c:pt>
              </c:strCache>
            </c:strRef>
          </c:cat>
          <c:val>
            <c:numRef>
              <c:f>'Executive Dashboard_v2'!$D$11:$D$25</c:f>
              <c:numCache>
                <c:formatCode>0.0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58-4A9A-A9F7-BAECFD327C09}"/>
            </c:ext>
          </c:extLst>
        </c:ser>
        <c:ser>
          <c:idx val="3"/>
          <c:order val="3"/>
          <c:tx>
            <c:v>Infrastructure</c:v>
          </c:tx>
          <c:invertIfNegative val="1"/>
          <c:cat>
            <c:strRef>
              <c:f>'Executive Dashboard_v2'!$A$11:$A$25</c:f>
              <c:strCache>
                <c:ptCount val="15"/>
                <c:pt idx="0">
                  <c:v>Architecture &amp; Design</c:v>
                </c:pt>
                <c:pt idx="1">
                  <c:v>Compliance &amp; Auditability</c:v>
                </c:pt>
                <c:pt idx="2">
                  <c:v>Data/AI Governance</c:v>
                </c:pt>
                <c:pt idx="3">
                  <c:v>Governance &amp; Ownership</c:v>
                </c:pt>
                <c:pt idx="4">
                  <c:v>Infrastructure Security</c:v>
                </c:pt>
                <c:pt idx="5">
                  <c:v>Legacy Application Controls</c:v>
                </c:pt>
                <c:pt idx="6">
                  <c:v>Metrics &amp; Continuous Improvement</c:v>
                </c:pt>
                <c:pt idx="7">
                  <c:v>OT/Plant Security</c:v>
                </c:pt>
                <c:pt idx="8">
                  <c:v>Operational Readiness</c:v>
                </c:pt>
                <c:pt idx="9">
                  <c:v>Release &amp; Change Management</c:v>
                </c:pt>
                <c:pt idx="10">
                  <c:v>Requirements &amp; Risk Management</c:v>
                </c:pt>
                <c:pt idx="11">
                  <c:v>Secure Development</c:v>
                </c:pt>
                <c:pt idx="12">
                  <c:v>Security Integration</c:v>
                </c:pt>
                <c:pt idx="13">
                  <c:v>Testing &amp; Validation</c:v>
                </c:pt>
                <c:pt idx="14">
                  <c:v>Vendor &amp; Delivery Controls</c:v>
                </c:pt>
              </c:strCache>
            </c:strRef>
          </c:cat>
          <c:val>
            <c:numRef>
              <c:f>'Executive Dashboard_v2'!$E$11:$E$25</c:f>
              <c:numCache>
                <c:formatCode>0.0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58-4A9A-A9F7-BAECFD327C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8275386E-BBC8-4E63-9EFE-B82AA1CB9F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17</xdr:col>
      <xdr:colOff>0</xdr:colOff>
      <xdr:row>40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1A721598-4152-43A4-A28F-C5C40B1D77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6F993-3DE3-4347-B095-050628BB7621}">
  <dimension ref="A1:M33"/>
  <sheetViews>
    <sheetView tabSelected="1" zoomScale="80" zoomScaleNormal="80" workbookViewId="0">
      <selection activeCell="F6" sqref="F6"/>
    </sheetView>
  </sheetViews>
  <sheetFormatPr defaultColWidth="9" defaultRowHeight="14.4"/>
  <cols>
    <col min="1" max="2" width="22" style="4" customWidth="1"/>
    <col min="3" max="3" width="38" style="4" customWidth="1"/>
    <col min="4" max="6" width="36" style="4" customWidth="1"/>
    <col min="7" max="7" width="42" style="4" customWidth="1"/>
    <col min="8" max="8" width="18" style="4" customWidth="1"/>
    <col min="9" max="10" width="10" style="4" customWidth="1"/>
    <col min="11" max="11" width="14" style="4" customWidth="1"/>
    <col min="12" max="13" width="38" style="4" customWidth="1"/>
    <col min="14" max="16384" width="9" style="4"/>
  </cols>
  <sheetData>
    <row r="1" spans="1:13" ht="30">
      <c r="A1" s="2" t="s">
        <v>24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100.8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>
      <c r="A5" s="5" t="s">
        <v>9</v>
      </c>
      <c r="B5" s="5" t="s">
        <v>26</v>
      </c>
      <c r="C5" s="5" t="s">
        <v>18</v>
      </c>
      <c r="D5" s="5" t="s">
        <v>27</v>
      </c>
      <c r="E5" s="5" t="s">
        <v>28</v>
      </c>
      <c r="F5" s="5" t="s">
        <v>29</v>
      </c>
      <c r="G5" s="5" t="s">
        <v>30</v>
      </c>
      <c r="H5" s="5" t="s">
        <v>31</v>
      </c>
      <c r="I5" s="5" t="s">
        <v>0</v>
      </c>
      <c r="J5" s="5" t="s">
        <v>17</v>
      </c>
      <c r="K5" s="5" t="s">
        <v>32</v>
      </c>
      <c r="L5" s="5" t="s">
        <v>33</v>
      </c>
      <c r="M5" s="5" t="s">
        <v>34</v>
      </c>
    </row>
    <row r="6" spans="1:13" ht="28.8">
      <c r="A6" s="8" t="s">
        <v>35</v>
      </c>
      <c r="B6" s="8" t="s">
        <v>16</v>
      </c>
      <c r="C6" s="8" t="s">
        <v>36</v>
      </c>
      <c r="D6" s="8" t="s">
        <v>37</v>
      </c>
      <c r="E6" s="8" t="s">
        <v>38</v>
      </c>
      <c r="F6" s="8" t="s">
        <v>39</v>
      </c>
      <c r="G6" s="8" t="s">
        <v>40</v>
      </c>
      <c r="H6" s="8" t="s">
        <v>1</v>
      </c>
      <c r="I6" s="8">
        <f t="shared" ref="I6:I27" si="0">IF(H6="Early",1,IF(H6="Emerging",2,IF(H6="Mature",3,IF(H6="Fully Mature",4,""))))</f>
        <v>1</v>
      </c>
      <c r="J6" s="8">
        <v>10</v>
      </c>
      <c r="K6" s="8">
        <f t="shared" ref="K6:K27" si="1">IF(I6="","",I6*J6)</f>
        <v>10</v>
      </c>
      <c r="L6" s="8"/>
      <c r="M6" s="8"/>
    </row>
    <row r="7" spans="1:13" ht="28.8">
      <c r="A7" s="8" t="s">
        <v>41</v>
      </c>
      <c r="B7" s="8" t="s">
        <v>19</v>
      </c>
      <c r="C7" s="8" t="s">
        <v>42</v>
      </c>
      <c r="D7" s="8" t="s">
        <v>43</v>
      </c>
      <c r="E7" s="8" t="s">
        <v>44</v>
      </c>
      <c r="F7" s="8" t="s">
        <v>45</v>
      </c>
      <c r="G7" s="8" t="s">
        <v>46</v>
      </c>
      <c r="H7" s="8"/>
      <c r="I7" s="8" t="str">
        <f t="shared" si="0"/>
        <v/>
      </c>
      <c r="J7" s="8">
        <v>8</v>
      </c>
      <c r="K7" s="8" t="str">
        <f t="shared" si="1"/>
        <v/>
      </c>
      <c r="L7" s="8"/>
      <c r="M7" s="8"/>
    </row>
    <row r="8" spans="1:13" ht="28.8">
      <c r="A8" s="8" t="s">
        <v>41</v>
      </c>
      <c r="B8" s="8" t="s">
        <v>19</v>
      </c>
      <c r="C8" s="8" t="s">
        <v>47</v>
      </c>
      <c r="D8" s="8" t="s">
        <v>48</v>
      </c>
      <c r="E8" s="8" t="s">
        <v>49</v>
      </c>
      <c r="F8" s="8" t="s">
        <v>50</v>
      </c>
      <c r="G8" s="8" t="s">
        <v>51</v>
      </c>
      <c r="H8" s="8"/>
      <c r="I8" s="8" t="str">
        <f t="shared" si="0"/>
        <v/>
      </c>
      <c r="J8" s="8">
        <v>8</v>
      </c>
      <c r="K8" s="8" t="str">
        <f t="shared" si="1"/>
        <v/>
      </c>
      <c r="L8" s="8"/>
      <c r="M8" s="8"/>
    </row>
    <row r="9" spans="1:13" ht="43.2">
      <c r="A9" s="8" t="s">
        <v>10</v>
      </c>
      <c r="B9" s="8" t="s">
        <v>20</v>
      </c>
      <c r="C9" s="8" t="s">
        <v>52</v>
      </c>
      <c r="D9" s="8" t="s">
        <v>53</v>
      </c>
      <c r="E9" s="8" t="s">
        <v>54</v>
      </c>
      <c r="F9" s="8" t="s">
        <v>55</v>
      </c>
      <c r="G9" s="8" t="s">
        <v>56</v>
      </c>
      <c r="H9" s="8"/>
      <c r="I9" s="8" t="str">
        <f t="shared" si="0"/>
        <v/>
      </c>
      <c r="J9" s="8">
        <v>10</v>
      </c>
      <c r="K9" s="8" t="str">
        <f t="shared" si="1"/>
        <v/>
      </c>
      <c r="L9" s="8"/>
      <c r="M9" s="8"/>
    </row>
    <row r="10" spans="1:13" ht="28.8">
      <c r="A10" s="8" t="s">
        <v>10</v>
      </c>
      <c r="B10" s="8" t="s">
        <v>20</v>
      </c>
      <c r="C10" s="8" t="s">
        <v>57</v>
      </c>
      <c r="D10" s="8" t="s">
        <v>58</v>
      </c>
      <c r="E10" s="8" t="s">
        <v>59</v>
      </c>
      <c r="F10" s="8" t="s">
        <v>60</v>
      </c>
      <c r="G10" s="8" t="s">
        <v>61</v>
      </c>
      <c r="H10" s="8"/>
      <c r="I10" s="8" t="str">
        <f t="shared" si="0"/>
        <v/>
      </c>
      <c r="J10" s="8">
        <v>8</v>
      </c>
      <c r="K10" s="8" t="str">
        <f t="shared" si="1"/>
        <v/>
      </c>
      <c r="L10" s="8"/>
      <c r="M10" s="8"/>
    </row>
    <row r="11" spans="1:13" ht="43.2">
      <c r="A11" s="8" t="s">
        <v>15</v>
      </c>
      <c r="B11" s="8" t="s">
        <v>62</v>
      </c>
      <c r="C11" s="8" t="s">
        <v>63</v>
      </c>
      <c r="D11" s="8" t="s">
        <v>64</v>
      </c>
      <c r="E11" s="8" t="s">
        <v>65</v>
      </c>
      <c r="F11" s="8" t="s">
        <v>66</v>
      </c>
      <c r="G11" s="8" t="s">
        <v>67</v>
      </c>
      <c r="H11" s="8"/>
      <c r="I11" s="8" t="str">
        <f t="shared" si="0"/>
        <v/>
      </c>
      <c r="J11" s="8">
        <v>12</v>
      </c>
      <c r="K11" s="8" t="str">
        <f t="shared" si="1"/>
        <v/>
      </c>
      <c r="L11" s="8"/>
      <c r="M11" s="8"/>
    </row>
    <row r="12" spans="1:13" ht="43.2">
      <c r="A12" s="8" t="s">
        <v>15</v>
      </c>
      <c r="B12" s="8" t="s">
        <v>20</v>
      </c>
      <c r="C12" s="8" t="s">
        <v>68</v>
      </c>
      <c r="D12" s="8" t="s">
        <v>69</v>
      </c>
      <c r="E12" s="8" t="s">
        <v>70</v>
      </c>
      <c r="F12" s="8" t="s">
        <v>71</v>
      </c>
      <c r="G12" s="8" t="s">
        <v>72</v>
      </c>
      <c r="H12" s="8"/>
      <c r="I12" s="8" t="str">
        <f t="shared" si="0"/>
        <v/>
      </c>
      <c r="J12" s="8">
        <v>12</v>
      </c>
      <c r="K12" s="8" t="str">
        <f t="shared" si="1"/>
        <v/>
      </c>
      <c r="L12" s="8"/>
      <c r="M12" s="8"/>
    </row>
    <row r="13" spans="1:13" ht="43.2">
      <c r="A13" s="8" t="s">
        <v>73</v>
      </c>
      <c r="B13" s="8" t="s">
        <v>21</v>
      </c>
      <c r="C13" s="8" t="s">
        <v>74</v>
      </c>
      <c r="D13" s="8" t="s">
        <v>75</v>
      </c>
      <c r="E13" s="8" t="s">
        <v>76</v>
      </c>
      <c r="F13" s="8" t="s">
        <v>77</v>
      </c>
      <c r="G13" s="8" t="s">
        <v>78</v>
      </c>
      <c r="H13" s="8"/>
      <c r="I13" s="8" t="str">
        <f t="shared" si="0"/>
        <v/>
      </c>
      <c r="J13" s="8">
        <v>10</v>
      </c>
      <c r="K13" s="8" t="str">
        <f t="shared" si="1"/>
        <v/>
      </c>
      <c r="L13" s="8"/>
      <c r="M13" s="8"/>
    </row>
    <row r="14" spans="1:13" ht="28.8">
      <c r="A14" s="8" t="s">
        <v>73</v>
      </c>
      <c r="B14" s="8" t="s">
        <v>21</v>
      </c>
      <c r="C14" s="8" t="s">
        <v>79</v>
      </c>
      <c r="D14" s="8" t="s">
        <v>80</v>
      </c>
      <c r="E14" s="8" t="s">
        <v>81</v>
      </c>
      <c r="F14" s="8" t="s">
        <v>82</v>
      </c>
      <c r="G14" s="8" t="s">
        <v>83</v>
      </c>
      <c r="H14" s="8"/>
      <c r="I14" s="8" t="str">
        <f t="shared" si="0"/>
        <v/>
      </c>
      <c r="J14" s="8">
        <v>8</v>
      </c>
      <c r="K14" s="8" t="str">
        <f t="shared" si="1"/>
        <v/>
      </c>
      <c r="L14" s="8"/>
      <c r="M14" s="8"/>
    </row>
    <row r="15" spans="1:13" ht="28.8">
      <c r="A15" s="8" t="s">
        <v>73</v>
      </c>
      <c r="B15" s="8" t="s">
        <v>21</v>
      </c>
      <c r="C15" s="8" t="s">
        <v>84</v>
      </c>
      <c r="D15" s="8" t="s">
        <v>85</v>
      </c>
      <c r="E15" s="8" t="s">
        <v>86</v>
      </c>
      <c r="F15" s="8" t="s">
        <v>87</v>
      </c>
      <c r="G15" s="8" t="s">
        <v>88</v>
      </c>
      <c r="H15" s="8"/>
      <c r="I15" s="8" t="str">
        <f t="shared" si="0"/>
        <v/>
      </c>
      <c r="J15" s="8">
        <v>12</v>
      </c>
      <c r="K15" s="8" t="str">
        <f t="shared" si="1"/>
        <v/>
      </c>
      <c r="L15" s="8"/>
      <c r="M15" s="8"/>
    </row>
    <row r="16" spans="1:13" ht="28.8">
      <c r="A16" s="8" t="s">
        <v>73</v>
      </c>
      <c r="B16" s="8" t="s">
        <v>21</v>
      </c>
      <c r="C16" s="8" t="s">
        <v>89</v>
      </c>
      <c r="D16" s="8" t="s">
        <v>90</v>
      </c>
      <c r="E16" s="8" t="s">
        <v>91</v>
      </c>
      <c r="F16" s="8" t="s">
        <v>92</v>
      </c>
      <c r="G16" s="8" t="s">
        <v>93</v>
      </c>
      <c r="H16" s="8"/>
      <c r="I16" s="8" t="str">
        <f t="shared" si="0"/>
        <v/>
      </c>
      <c r="J16" s="8">
        <v>10</v>
      </c>
      <c r="K16" s="8" t="str">
        <f t="shared" si="1"/>
        <v/>
      </c>
      <c r="L16" s="8"/>
      <c r="M16" s="8"/>
    </row>
    <row r="17" spans="1:13" ht="28.8">
      <c r="A17" s="8" t="s">
        <v>94</v>
      </c>
      <c r="B17" s="8" t="s">
        <v>95</v>
      </c>
      <c r="C17" s="8" t="s">
        <v>96</v>
      </c>
      <c r="D17" s="8" t="s">
        <v>97</v>
      </c>
      <c r="E17" s="8" t="s">
        <v>98</v>
      </c>
      <c r="F17" s="8" t="s">
        <v>99</v>
      </c>
      <c r="G17" s="8" t="s">
        <v>100</v>
      </c>
      <c r="H17" s="8"/>
      <c r="I17" s="8" t="str">
        <f t="shared" si="0"/>
        <v/>
      </c>
      <c r="J17" s="8">
        <v>8</v>
      </c>
      <c r="K17" s="8" t="str">
        <f t="shared" si="1"/>
        <v/>
      </c>
      <c r="L17" s="8"/>
      <c r="M17" s="8"/>
    </row>
    <row r="18" spans="1:13" ht="28.8">
      <c r="A18" s="8" t="s">
        <v>94</v>
      </c>
      <c r="B18" s="8" t="s">
        <v>95</v>
      </c>
      <c r="C18" s="8" t="s">
        <v>101</v>
      </c>
      <c r="D18" s="8" t="s">
        <v>102</v>
      </c>
      <c r="E18" s="8" t="s">
        <v>103</v>
      </c>
      <c r="F18" s="8" t="s">
        <v>104</v>
      </c>
      <c r="G18" s="8" t="s">
        <v>105</v>
      </c>
      <c r="H18" s="8"/>
      <c r="I18" s="8" t="str">
        <f t="shared" si="0"/>
        <v/>
      </c>
      <c r="J18" s="8">
        <v>12</v>
      </c>
      <c r="K18" s="8" t="str">
        <f t="shared" si="1"/>
        <v/>
      </c>
      <c r="L18" s="8"/>
      <c r="M18" s="8"/>
    </row>
    <row r="19" spans="1:13" ht="43.2">
      <c r="A19" s="8" t="s">
        <v>94</v>
      </c>
      <c r="B19" s="8" t="s">
        <v>95</v>
      </c>
      <c r="C19" s="8" t="s">
        <v>106</v>
      </c>
      <c r="D19" s="8" t="s">
        <v>107</v>
      </c>
      <c r="E19" s="8" t="s">
        <v>108</v>
      </c>
      <c r="F19" s="8" t="s">
        <v>109</v>
      </c>
      <c r="G19" s="8" t="s">
        <v>110</v>
      </c>
      <c r="H19" s="8"/>
      <c r="I19" s="8" t="str">
        <f t="shared" si="0"/>
        <v/>
      </c>
      <c r="J19" s="8">
        <v>8</v>
      </c>
      <c r="K19" s="8" t="str">
        <f t="shared" si="1"/>
        <v/>
      </c>
      <c r="L19" s="8"/>
      <c r="M19" s="8"/>
    </row>
    <row r="20" spans="1:13" ht="43.2">
      <c r="A20" s="8" t="s">
        <v>111</v>
      </c>
      <c r="B20" s="8" t="s">
        <v>22</v>
      </c>
      <c r="C20" s="8" t="s">
        <v>112</v>
      </c>
      <c r="D20" s="8" t="s">
        <v>113</v>
      </c>
      <c r="E20" s="8" t="s">
        <v>114</v>
      </c>
      <c r="F20" s="8" t="s">
        <v>115</v>
      </c>
      <c r="G20" s="8" t="s">
        <v>116</v>
      </c>
      <c r="H20" s="8"/>
      <c r="I20" s="8" t="str">
        <f t="shared" si="0"/>
        <v/>
      </c>
      <c r="J20" s="8">
        <v>10</v>
      </c>
      <c r="K20" s="8" t="str">
        <f t="shared" si="1"/>
        <v/>
      </c>
      <c r="L20" s="8"/>
      <c r="M20" s="8"/>
    </row>
    <row r="21" spans="1:13" ht="28.8">
      <c r="A21" s="8" t="s">
        <v>111</v>
      </c>
      <c r="B21" s="8" t="s">
        <v>22</v>
      </c>
      <c r="C21" s="8" t="s">
        <v>117</v>
      </c>
      <c r="D21" s="8" t="s">
        <v>118</v>
      </c>
      <c r="E21" s="8" t="s">
        <v>119</v>
      </c>
      <c r="F21" s="8" t="s">
        <v>120</v>
      </c>
      <c r="G21" s="8" t="s">
        <v>121</v>
      </c>
      <c r="H21" s="8"/>
      <c r="I21" s="8" t="str">
        <f t="shared" si="0"/>
        <v/>
      </c>
      <c r="J21" s="8">
        <v>8</v>
      </c>
      <c r="K21" s="8" t="str">
        <f t="shared" si="1"/>
        <v/>
      </c>
      <c r="L21" s="8"/>
      <c r="M21" s="8"/>
    </row>
    <row r="22" spans="1:13" ht="43.2">
      <c r="A22" s="8" t="s">
        <v>15</v>
      </c>
      <c r="B22" s="8" t="s">
        <v>23</v>
      </c>
      <c r="C22" s="8" t="s">
        <v>122</v>
      </c>
      <c r="D22" s="8" t="s">
        <v>123</v>
      </c>
      <c r="E22" s="8" t="s">
        <v>124</v>
      </c>
      <c r="F22" s="8" t="s">
        <v>125</v>
      </c>
      <c r="G22" s="8" t="s">
        <v>126</v>
      </c>
      <c r="H22" s="8"/>
      <c r="I22" s="8" t="str">
        <f t="shared" si="0"/>
        <v/>
      </c>
      <c r="J22" s="8">
        <v>12</v>
      </c>
      <c r="K22" s="8" t="str">
        <f t="shared" si="1"/>
        <v/>
      </c>
      <c r="L22" s="8"/>
      <c r="M22" s="8"/>
    </row>
    <row r="23" spans="1:13" ht="43.2">
      <c r="A23" s="8" t="s">
        <v>14</v>
      </c>
      <c r="B23" s="8" t="s">
        <v>127</v>
      </c>
      <c r="C23" s="8" t="s">
        <v>128</v>
      </c>
      <c r="D23" s="8" t="s">
        <v>129</v>
      </c>
      <c r="E23" s="8" t="s">
        <v>130</v>
      </c>
      <c r="F23" s="8" t="s">
        <v>131</v>
      </c>
      <c r="G23" s="8" t="s">
        <v>132</v>
      </c>
      <c r="H23" s="8"/>
      <c r="I23" s="8" t="str">
        <f t="shared" si="0"/>
        <v/>
      </c>
      <c r="J23" s="8">
        <v>8</v>
      </c>
      <c r="K23" s="8" t="str">
        <f t="shared" si="1"/>
        <v/>
      </c>
      <c r="L23" s="8"/>
      <c r="M23" s="8"/>
    </row>
    <row r="24" spans="1:13" ht="43.2">
      <c r="A24" s="8" t="s">
        <v>13</v>
      </c>
      <c r="B24" s="8" t="s">
        <v>133</v>
      </c>
      <c r="C24" s="8" t="s">
        <v>134</v>
      </c>
      <c r="D24" s="8" t="s">
        <v>135</v>
      </c>
      <c r="E24" s="8" t="s">
        <v>136</v>
      </c>
      <c r="F24" s="8" t="s">
        <v>137</v>
      </c>
      <c r="G24" s="8" t="s">
        <v>138</v>
      </c>
      <c r="H24" s="8"/>
      <c r="I24" s="8" t="str">
        <f t="shared" si="0"/>
        <v/>
      </c>
      <c r="J24" s="8">
        <v>10</v>
      </c>
      <c r="K24" s="8" t="str">
        <f t="shared" si="1"/>
        <v/>
      </c>
      <c r="L24" s="8"/>
      <c r="M24" s="8"/>
    </row>
    <row r="25" spans="1:13" ht="28.8">
      <c r="A25" s="8" t="s">
        <v>11</v>
      </c>
      <c r="B25" s="8" t="s">
        <v>16</v>
      </c>
      <c r="C25" s="8" t="s">
        <v>139</v>
      </c>
      <c r="D25" s="8" t="s">
        <v>140</v>
      </c>
      <c r="E25" s="8" t="s">
        <v>141</v>
      </c>
      <c r="F25" s="8" t="s">
        <v>142</v>
      </c>
      <c r="G25" s="8" t="s">
        <v>143</v>
      </c>
      <c r="H25" s="8"/>
      <c r="I25" s="8" t="str">
        <f t="shared" si="0"/>
        <v/>
      </c>
      <c r="J25" s="8">
        <v>8</v>
      </c>
      <c r="K25" s="8" t="str">
        <f t="shared" si="1"/>
        <v/>
      </c>
      <c r="L25" s="8"/>
      <c r="M25" s="8"/>
    </row>
    <row r="26" spans="1:13" ht="43.2">
      <c r="A26" s="8" t="s">
        <v>144</v>
      </c>
      <c r="B26" s="8" t="s">
        <v>145</v>
      </c>
      <c r="C26" s="8" t="s">
        <v>146</v>
      </c>
      <c r="D26" s="8" t="s">
        <v>147</v>
      </c>
      <c r="E26" s="8" t="s">
        <v>148</v>
      </c>
      <c r="F26" s="8" t="s">
        <v>149</v>
      </c>
      <c r="G26" s="8" t="s">
        <v>150</v>
      </c>
      <c r="H26" s="8"/>
      <c r="I26" s="8" t="str">
        <f t="shared" si="0"/>
        <v/>
      </c>
      <c r="J26" s="8">
        <v>8</v>
      </c>
      <c r="K26" s="8" t="str">
        <f t="shared" si="1"/>
        <v/>
      </c>
      <c r="L26" s="8"/>
      <c r="M26" s="8"/>
    </row>
    <row r="27" spans="1:13" ht="43.2">
      <c r="A27" s="8" t="s">
        <v>151</v>
      </c>
      <c r="B27" s="8" t="s">
        <v>152</v>
      </c>
      <c r="C27" s="8" t="s">
        <v>153</v>
      </c>
      <c r="D27" s="8" t="s">
        <v>154</v>
      </c>
      <c r="E27" s="8" t="s">
        <v>155</v>
      </c>
      <c r="F27" s="8" t="s">
        <v>156</v>
      </c>
      <c r="G27" s="8" t="s">
        <v>157</v>
      </c>
      <c r="H27" s="8"/>
      <c r="I27" s="8" t="str">
        <f t="shared" si="0"/>
        <v/>
      </c>
      <c r="J27" s="8">
        <v>10</v>
      </c>
      <c r="K27" s="8" t="str">
        <f t="shared" si="1"/>
        <v/>
      </c>
      <c r="L27" s="8"/>
      <c r="M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</row>
    <row r="29" spans="1:13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</row>
    <row r="30" spans="1:1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</row>
    <row r="31" spans="1:13">
      <c r="A31" s="9" t="s">
        <v>158</v>
      </c>
      <c r="B31" s="9" t="s">
        <v>159</v>
      </c>
      <c r="C31" s="9" t="s">
        <v>160</v>
      </c>
      <c r="D31" s="9" t="s">
        <v>161</v>
      </c>
      <c r="E31" s="9" t="s">
        <v>32</v>
      </c>
      <c r="F31" s="9" t="s">
        <v>162</v>
      </c>
      <c r="G31" s="8"/>
      <c r="H31" s="8"/>
      <c r="I31" s="8"/>
      <c r="J31" s="8"/>
      <c r="K31" s="8"/>
      <c r="L31" s="8"/>
      <c r="M31" s="8"/>
    </row>
    <row r="32" spans="1:13">
      <c r="A32" s="10">
        <f>IFERROR(SUM(K6:K27)/(SUMIF(I6:I27,"&gt;0",J6:J27)*4)*100,"")</f>
        <v>25</v>
      </c>
      <c r="B32" s="2" t="str">
        <f>IF(A32="","",IF(A32&lt;40,"Early",IF(A32&lt;65,"Emerging",IF(A32&lt;85,"Mature","Fully Mature"))))</f>
        <v>Early</v>
      </c>
      <c r="C32" s="11">
        <f>COUNT(I6:I27)</f>
        <v>1</v>
      </c>
      <c r="D32" s="11">
        <f>COUNTA(C6:C27)</f>
        <v>22</v>
      </c>
      <c r="E32" s="11">
        <f>SUM(K6:K27)</f>
        <v>10</v>
      </c>
      <c r="F32" s="11">
        <f>SUMIF(I6:I27,"&gt;0",J6:J27)</f>
        <v>10</v>
      </c>
      <c r="G32" s="8"/>
      <c r="H32" s="8"/>
      <c r="I32" s="8"/>
      <c r="J32" s="8"/>
      <c r="K32" s="8"/>
      <c r="L32" s="8"/>
      <c r="M32" s="8"/>
    </row>
    <row r="33" spans="1:1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</row>
  </sheetData>
  <conditionalFormatting sqref="H6:H27">
    <cfRule type="containsText" dxfId="15" priority="1" operator="containsText" text="Early"/>
    <cfRule type="containsText" dxfId="14" priority="2" operator="containsText" text="Emerging"/>
    <cfRule type="containsText" dxfId="13" priority="3" operator="containsText" text="Mature"/>
    <cfRule type="containsText" dxfId="12" priority="4" operator="containsText" text="Fully Mature"/>
  </conditionalFormatting>
  <conditionalFormatting sqref="I6:I27">
    <cfRule type="colorScale" priority="5">
      <colorScale>
        <cfvo type="min"/>
        <cfvo type="percentile" val="50"/>
        <cfvo type="max"/>
        <color rgb="FFF8CBAD"/>
        <color rgb="FFFFE699"/>
        <color rgb="FFC6E0B4"/>
      </colorScale>
    </cfRule>
  </conditionalFormatting>
  <dataValidations count="1">
    <dataValidation type="list" allowBlank="1" sqref="H6:H27" xr:uid="{B75EEEB4-BFB9-405B-87F9-EE8702BA3C7D}">
      <formula1>"Early,Emerging,Mature,Fully Mature"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8C1C-4563-4543-B89A-C7841C4EA86E}">
  <dimension ref="A1:M36"/>
  <sheetViews>
    <sheetView topLeftCell="A14" zoomScale="60" zoomScaleNormal="60" workbookViewId="0">
      <selection sqref="A1:XFD1048576"/>
    </sheetView>
  </sheetViews>
  <sheetFormatPr defaultColWidth="9" defaultRowHeight="14.4"/>
  <cols>
    <col min="1" max="2" width="22" style="4" customWidth="1"/>
    <col min="3" max="3" width="38" style="4" customWidth="1"/>
    <col min="4" max="6" width="36" style="4" customWidth="1"/>
    <col min="7" max="7" width="42" style="4" customWidth="1"/>
    <col min="8" max="8" width="18" style="4" customWidth="1"/>
    <col min="9" max="10" width="10" style="4" customWidth="1"/>
    <col min="11" max="11" width="14" style="4" customWidth="1"/>
    <col min="12" max="13" width="38" style="4" customWidth="1"/>
    <col min="14" max="16384" width="9" style="4"/>
  </cols>
  <sheetData>
    <row r="1" spans="1:13" ht="30">
      <c r="A1" s="2" t="s">
        <v>163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100.8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>
      <c r="A5" s="5" t="s">
        <v>9</v>
      </c>
      <c r="B5" s="5" t="s">
        <v>26</v>
      </c>
      <c r="C5" s="5" t="s">
        <v>18</v>
      </c>
      <c r="D5" s="5" t="s">
        <v>27</v>
      </c>
      <c r="E5" s="5" t="s">
        <v>28</v>
      </c>
      <c r="F5" s="5" t="s">
        <v>29</v>
      </c>
      <c r="G5" s="5" t="s">
        <v>30</v>
      </c>
      <c r="H5" s="5" t="s">
        <v>31</v>
      </c>
      <c r="I5" s="5" t="s">
        <v>0</v>
      </c>
      <c r="J5" s="5" t="s">
        <v>17</v>
      </c>
      <c r="K5" s="5" t="s">
        <v>32</v>
      </c>
      <c r="L5" s="5" t="s">
        <v>33</v>
      </c>
      <c r="M5" s="5" t="s">
        <v>34</v>
      </c>
    </row>
    <row r="6" spans="1:13" ht="28.8">
      <c r="A6" s="8" t="s">
        <v>35</v>
      </c>
      <c r="B6" s="8" t="s">
        <v>16</v>
      </c>
      <c r="C6" s="8" t="s">
        <v>36</v>
      </c>
      <c r="D6" s="8" t="s">
        <v>37</v>
      </c>
      <c r="E6" s="8" t="s">
        <v>38</v>
      </c>
      <c r="F6" s="8" t="s">
        <v>39</v>
      </c>
      <c r="G6" s="8" t="s">
        <v>40</v>
      </c>
      <c r="H6" s="8" t="s">
        <v>2</v>
      </c>
      <c r="I6" s="8">
        <f t="shared" ref="I6:I30" si="0">IF(H6="Early",1,IF(H6="Emerging",2,IF(H6="Mature",3,IF(H6="Fully Mature",4,""))))</f>
        <v>3</v>
      </c>
      <c r="J6" s="8">
        <v>10</v>
      </c>
      <c r="K6" s="8">
        <f t="shared" ref="K6:K30" si="1">IF(I6="","",I6*J6)</f>
        <v>30</v>
      </c>
      <c r="L6" s="8"/>
      <c r="M6" s="8"/>
    </row>
    <row r="7" spans="1:13" ht="28.8">
      <c r="A7" s="8" t="s">
        <v>41</v>
      </c>
      <c r="B7" s="8" t="s">
        <v>19</v>
      </c>
      <c r="C7" s="8" t="s">
        <v>42</v>
      </c>
      <c r="D7" s="8" t="s">
        <v>43</v>
      </c>
      <c r="E7" s="8" t="s">
        <v>44</v>
      </c>
      <c r="F7" s="8" t="s">
        <v>45</v>
      </c>
      <c r="G7" s="8" t="s">
        <v>46</v>
      </c>
      <c r="H7" s="8"/>
      <c r="I7" s="8" t="str">
        <f t="shared" si="0"/>
        <v/>
      </c>
      <c r="J7" s="8">
        <v>8</v>
      </c>
      <c r="K7" s="8" t="str">
        <f t="shared" si="1"/>
        <v/>
      </c>
      <c r="L7" s="8"/>
      <c r="M7" s="8"/>
    </row>
    <row r="8" spans="1:13" ht="28.8">
      <c r="A8" s="8" t="s">
        <v>41</v>
      </c>
      <c r="B8" s="8" t="s">
        <v>19</v>
      </c>
      <c r="C8" s="8" t="s">
        <v>47</v>
      </c>
      <c r="D8" s="8" t="s">
        <v>48</v>
      </c>
      <c r="E8" s="8" t="s">
        <v>49</v>
      </c>
      <c r="F8" s="8" t="s">
        <v>50</v>
      </c>
      <c r="G8" s="8" t="s">
        <v>51</v>
      </c>
      <c r="H8" s="8"/>
      <c r="I8" s="8" t="str">
        <f t="shared" si="0"/>
        <v/>
      </c>
      <c r="J8" s="8">
        <v>8</v>
      </c>
      <c r="K8" s="8" t="str">
        <f t="shared" si="1"/>
        <v/>
      </c>
      <c r="L8" s="8"/>
      <c r="M8" s="8"/>
    </row>
    <row r="9" spans="1:13" ht="43.2">
      <c r="A9" s="8" t="s">
        <v>10</v>
      </c>
      <c r="B9" s="8" t="s">
        <v>20</v>
      </c>
      <c r="C9" s="8" t="s">
        <v>52</v>
      </c>
      <c r="D9" s="8" t="s">
        <v>53</v>
      </c>
      <c r="E9" s="8" t="s">
        <v>54</v>
      </c>
      <c r="F9" s="8" t="s">
        <v>55</v>
      </c>
      <c r="G9" s="8" t="s">
        <v>56</v>
      </c>
      <c r="H9" s="8"/>
      <c r="I9" s="8" t="str">
        <f t="shared" si="0"/>
        <v/>
      </c>
      <c r="J9" s="8">
        <v>10</v>
      </c>
      <c r="K9" s="8" t="str">
        <f t="shared" si="1"/>
        <v/>
      </c>
      <c r="L9" s="8"/>
      <c r="M9" s="8"/>
    </row>
    <row r="10" spans="1:13" ht="28.8">
      <c r="A10" s="8" t="s">
        <v>10</v>
      </c>
      <c r="B10" s="8" t="s">
        <v>20</v>
      </c>
      <c r="C10" s="8" t="s">
        <v>57</v>
      </c>
      <c r="D10" s="8" t="s">
        <v>58</v>
      </c>
      <c r="E10" s="8" t="s">
        <v>59</v>
      </c>
      <c r="F10" s="8" t="s">
        <v>60</v>
      </c>
      <c r="G10" s="8" t="s">
        <v>61</v>
      </c>
      <c r="H10" s="8"/>
      <c r="I10" s="8" t="str">
        <f t="shared" si="0"/>
        <v/>
      </c>
      <c r="J10" s="8">
        <v>8</v>
      </c>
      <c r="K10" s="8" t="str">
        <f t="shared" si="1"/>
        <v/>
      </c>
      <c r="L10" s="8"/>
      <c r="M10" s="8"/>
    </row>
    <row r="11" spans="1:13" ht="43.2">
      <c r="A11" s="8" t="s">
        <v>15</v>
      </c>
      <c r="B11" s="8" t="s">
        <v>62</v>
      </c>
      <c r="C11" s="8" t="s">
        <v>63</v>
      </c>
      <c r="D11" s="8" t="s">
        <v>64</v>
      </c>
      <c r="E11" s="8" t="s">
        <v>65</v>
      </c>
      <c r="F11" s="8" t="s">
        <v>66</v>
      </c>
      <c r="G11" s="8" t="s">
        <v>67</v>
      </c>
      <c r="H11" s="8"/>
      <c r="I11" s="8" t="str">
        <f t="shared" si="0"/>
        <v/>
      </c>
      <c r="J11" s="8">
        <v>12</v>
      </c>
      <c r="K11" s="8" t="str">
        <f t="shared" si="1"/>
        <v/>
      </c>
      <c r="L11" s="8"/>
      <c r="M11" s="8"/>
    </row>
    <row r="12" spans="1:13" ht="43.2">
      <c r="A12" s="8" t="s">
        <v>15</v>
      </c>
      <c r="B12" s="8" t="s">
        <v>20</v>
      </c>
      <c r="C12" s="8" t="s">
        <v>68</v>
      </c>
      <c r="D12" s="8" t="s">
        <v>69</v>
      </c>
      <c r="E12" s="8" t="s">
        <v>70</v>
      </c>
      <c r="F12" s="8" t="s">
        <v>71</v>
      </c>
      <c r="G12" s="8" t="s">
        <v>72</v>
      </c>
      <c r="H12" s="8"/>
      <c r="I12" s="8" t="str">
        <f t="shared" si="0"/>
        <v/>
      </c>
      <c r="J12" s="8">
        <v>12</v>
      </c>
      <c r="K12" s="8" t="str">
        <f t="shared" si="1"/>
        <v/>
      </c>
      <c r="L12" s="8"/>
      <c r="M12" s="8"/>
    </row>
    <row r="13" spans="1:13" ht="43.2">
      <c r="A13" s="8" t="s">
        <v>73</v>
      </c>
      <c r="B13" s="8" t="s">
        <v>21</v>
      </c>
      <c r="C13" s="8" t="s">
        <v>74</v>
      </c>
      <c r="D13" s="8" t="s">
        <v>75</v>
      </c>
      <c r="E13" s="8" t="s">
        <v>76</v>
      </c>
      <c r="F13" s="8" t="s">
        <v>77</v>
      </c>
      <c r="G13" s="8" t="s">
        <v>78</v>
      </c>
      <c r="H13" s="8"/>
      <c r="I13" s="8" t="str">
        <f t="shared" si="0"/>
        <v/>
      </c>
      <c r="J13" s="8">
        <v>10</v>
      </c>
      <c r="K13" s="8" t="str">
        <f t="shared" si="1"/>
        <v/>
      </c>
      <c r="L13" s="8"/>
      <c r="M13" s="8"/>
    </row>
    <row r="14" spans="1:13" ht="28.8">
      <c r="A14" s="8" t="s">
        <v>73</v>
      </c>
      <c r="B14" s="8" t="s">
        <v>21</v>
      </c>
      <c r="C14" s="8" t="s">
        <v>79</v>
      </c>
      <c r="D14" s="8" t="s">
        <v>80</v>
      </c>
      <c r="E14" s="8" t="s">
        <v>81</v>
      </c>
      <c r="F14" s="8" t="s">
        <v>82</v>
      </c>
      <c r="G14" s="8" t="s">
        <v>83</v>
      </c>
      <c r="H14" s="8"/>
      <c r="I14" s="8" t="str">
        <f t="shared" si="0"/>
        <v/>
      </c>
      <c r="J14" s="8">
        <v>8</v>
      </c>
      <c r="K14" s="8" t="str">
        <f t="shared" si="1"/>
        <v/>
      </c>
      <c r="L14" s="8"/>
      <c r="M14" s="8"/>
    </row>
    <row r="15" spans="1:13" ht="28.8">
      <c r="A15" s="8" t="s">
        <v>73</v>
      </c>
      <c r="B15" s="8" t="s">
        <v>21</v>
      </c>
      <c r="C15" s="8" t="s">
        <v>84</v>
      </c>
      <c r="D15" s="8" t="s">
        <v>85</v>
      </c>
      <c r="E15" s="8" t="s">
        <v>86</v>
      </c>
      <c r="F15" s="8" t="s">
        <v>87</v>
      </c>
      <c r="G15" s="8" t="s">
        <v>88</v>
      </c>
      <c r="H15" s="8"/>
      <c r="I15" s="8" t="str">
        <f t="shared" si="0"/>
        <v/>
      </c>
      <c r="J15" s="8">
        <v>12</v>
      </c>
      <c r="K15" s="8" t="str">
        <f t="shared" si="1"/>
        <v/>
      </c>
      <c r="L15" s="8"/>
      <c r="M15" s="8"/>
    </row>
    <row r="16" spans="1:13" ht="28.8">
      <c r="A16" s="8" t="s">
        <v>73</v>
      </c>
      <c r="B16" s="8" t="s">
        <v>21</v>
      </c>
      <c r="C16" s="8" t="s">
        <v>89</v>
      </c>
      <c r="D16" s="8" t="s">
        <v>90</v>
      </c>
      <c r="E16" s="8" t="s">
        <v>91</v>
      </c>
      <c r="F16" s="8" t="s">
        <v>92</v>
      </c>
      <c r="G16" s="8" t="s">
        <v>93</v>
      </c>
      <c r="H16" s="8"/>
      <c r="I16" s="8" t="str">
        <f t="shared" si="0"/>
        <v/>
      </c>
      <c r="J16" s="8">
        <v>10</v>
      </c>
      <c r="K16" s="8" t="str">
        <f t="shared" si="1"/>
        <v/>
      </c>
      <c r="L16" s="8"/>
      <c r="M16" s="8"/>
    </row>
    <row r="17" spans="1:13" ht="28.8">
      <c r="A17" s="8" t="s">
        <v>94</v>
      </c>
      <c r="B17" s="8" t="s">
        <v>95</v>
      </c>
      <c r="C17" s="8" t="s">
        <v>96</v>
      </c>
      <c r="D17" s="8" t="s">
        <v>97</v>
      </c>
      <c r="E17" s="8" t="s">
        <v>98</v>
      </c>
      <c r="F17" s="8" t="s">
        <v>99</v>
      </c>
      <c r="G17" s="8" t="s">
        <v>100</v>
      </c>
      <c r="H17" s="8"/>
      <c r="I17" s="8" t="str">
        <f t="shared" si="0"/>
        <v/>
      </c>
      <c r="J17" s="8">
        <v>8</v>
      </c>
      <c r="K17" s="8" t="str">
        <f t="shared" si="1"/>
        <v/>
      </c>
      <c r="L17" s="8"/>
      <c r="M17" s="8"/>
    </row>
    <row r="18" spans="1:13" ht="28.8">
      <c r="A18" s="8" t="s">
        <v>94</v>
      </c>
      <c r="B18" s="8" t="s">
        <v>95</v>
      </c>
      <c r="C18" s="8" t="s">
        <v>101</v>
      </c>
      <c r="D18" s="8" t="s">
        <v>102</v>
      </c>
      <c r="E18" s="8" t="s">
        <v>103</v>
      </c>
      <c r="F18" s="8" t="s">
        <v>104</v>
      </c>
      <c r="G18" s="8" t="s">
        <v>105</v>
      </c>
      <c r="H18" s="8"/>
      <c r="I18" s="8" t="str">
        <f t="shared" si="0"/>
        <v/>
      </c>
      <c r="J18" s="8">
        <v>12</v>
      </c>
      <c r="K18" s="8" t="str">
        <f t="shared" si="1"/>
        <v/>
      </c>
      <c r="L18" s="8"/>
      <c r="M18" s="8"/>
    </row>
    <row r="19" spans="1:13" ht="43.2">
      <c r="A19" s="8" t="s">
        <v>94</v>
      </c>
      <c r="B19" s="8" t="s">
        <v>95</v>
      </c>
      <c r="C19" s="8" t="s">
        <v>106</v>
      </c>
      <c r="D19" s="8" t="s">
        <v>107</v>
      </c>
      <c r="E19" s="8" t="s">
        <v>108</v>
      </c>
      <c r="F19" s="8" t="s">
        <v>109</v>
      </c>
      <c r="G19" s="8" t="s">
        <v>110</v>
      </c>
      <c r="H19" s="8"/>
      <c r="I19" s="8" t="str">
        <f t="shared" si="0"/>
        <v/>
      </c>
      <c r="J19" s="8">
        <v>8</v>
      </c>
      <c r="K19" s="8" t="str">
        <f t="shared" si="1"/>
        <v/>
      </c>
      <c r="L19" s="8"/>
      <c r="M19" s="8"/>
    </row>
    <row r="20" spans="1:13" ht="43.2">
      <c r="A20" s="8" t="s">
        <v>111</v>
      </c>
      <c r="B20" s="8" t="s">
        <v>22</v>
      </c>
      <c r="C20" s="8" t="s">
        <v>112</v>
      </c>
      <c r="D20" s="8" t="s">
        <v>113</v>
      </c>
      <c r="E20" s="8" t="s">
        <v>114</v>
      </c>
      <c r="F20" s="8" t="s">
        <v>115</v>
      </c>
      <c r="G20" s="8" t="s">
        <v>116</v>
      </c>
      <c r="H20" s="8"/>
      <c r="I20" s="8" t="str">
        <f t="shared" si="0"/>
        <v/>
      </c>
      <c r="J20" s="8">
        <v>10</v>
      </c>
      <c r="K20" s="8" t="str">
        <f t="shared" si="1"/>
        <v/>
      </c>
      <c r="L20" s="8"/>
      <c r="M20" s="8"/>
    </row>
    <row r="21" spans="1:13" ht="28.8">
      <c r="A21" s="8" t="s">
        <v>111</v>
      </c>
      <c r="B21" s="8" t="s">
        <v>22</v>
      </c>
      <c r="C21" s="8" t="s">
        <v>117</v>
      </c>
      <c r="D21" s="8" t="s">
        <v>118</v>
      </c>
      <c r="E21" s="8" t="s">
        <v>119</v>
      </c>
      <c r="F21" s="8" t="s">
        <v>120</v>
      </c>
      <c r="G21" s="8" t="s">
        <v>121</v>
      </c>
      <c r="H21" s="8"/>
      <c r="I21" s="8" t="str">
        <f t="shared" si="0"/>
        <v/>
      </c>
      <c r="J21" s="8">
        <v>8</v>
      </c>
      <c r="K21" s="8" t="str">
        <f t="shared" si="1"/>
        <v/>
      </c>
      <c r="L21" s="8"/>
      <c r="M21" s="8"/>
    </row>
    <row r="22" spans="1:13" ht="43.2">
      <c r="A22" s="8" t="s">
        <v>15</v>
      </c>
      <c r="B22" s="8" t="s">
        <v>23</v>
      </c>
      <c r="C22" s="8" t="s">
        <v>122</v>
      </c>
      <c r="D22" s="8" t="s">
        <v>123</v>
      </c>
      <c r="E22" s="8" t="s">
        <v>124</v>
      </c>
      <c r="F22" s="8" t="s">
        <v>125</v>
      </c>
      <c r="G22" s="8" t="s">
        <v>126</v>
      </c>
      <c r="H22" s="8"/>
      <c r="I22" s="8" t="str">
        <f t="shared" si="0"/>
        <v/>
      </c>
      <c r="J22" s="8">
        <v>12</v>
      </c>
      <c r="K22" s="8" t="str">
        <f t="shared" si="1"/>
        <v/>
      </c>
      <c r="L22" s="8"/>
      <c r="M22" s="8"/>
    </row>
    <row r="23" spans="1:13" ht="43.2">
      <c r="A23" s="8" t="s">
        <v>14</v>
      </c>
      <c r="B23" s="8" t="s">
        <v>127</v>
      </c>
      <c r="C23" s="8" t="s">
        <v>128</v>
      </c>
      <c r="D23" s="8" t="s">
        <v>129</v>
      </c>
      <c r="E23" s="8" t="s">
        <v>130</v>
      </c>
      <c r="F23" s="8" t="s">
        <v>131</v>
      </c>
      <c r="G23" s="8" t="s">
        <v>132</v>
      </c>
      <c r="H23" s="8"/>
      <c r="I23" s="8" t="str">
        <f t="shared" si="0"/>
        <v/>
      </c>
      <c r="J23" s="8">
        <v>8</v>
      </c>
      <c r="K23" s="8" t="str">
        <f t="shared" si="1"/>
        <v/>
      </c>
      <c r="L23" s="8"/>
      <c r="M23" s="8"/>
    </row>
    <row r="24" spans="1:13" ht="43.2">
      <c r="A24" s="8" t="s">
        <v>13</v>
      </c>
      <c r="B24" s="8" t="s">
        <v>133</v>
      </c>
      <c r="C24" s="8" t="s">
        <v>134</v>
      </c>
      <c r="D24" s="8" t="s">
        <v>135</v>
      </c>
      <c r="E24" s="8" t="s">
        <v>136</v>
      </c>
      <c r="F24" s="8" t="s">
        <v>137</v>
      </c>
      <c r="G24" s="8" t="s">
        <v>138</v>
      </c>
      <c r="H24" s="8"/>
      <c r="I24" s="8" t="str">
        <f t="shared" si="0"/>
        <v/>
      </c>
      <c r="J24" s="8">
        <v>10</v>
      </c>
      <c r="K24" s="8" t="str">
        <f t="shared" si="1"/>
        <v/>
      </c>
      <c r="L24" s="8"/>
      <c r="M24" s="8"/>
    </row>
    <row r="25" spans="1:13" ht="28.8">
      <c r="A25" s="8" t="s">
        <v>11</v>
      </c>
      <c r="B25" s="8" t="s">
        <v>16</v>
      </c>
      <c r="C25" s="8" t="s">
        <v>139</v>
      </c>
      <c r="D25" s="8" t="s">
        <v>140</v>
      </c>
      <c r="E25" s="8" t="s">
        <v>141</v>
      </c>
      <c r="F25" s="8" t="s">
        <v>142</v>
      </c>
      <c r="G25" s="8" t="s">
        <v>143</v>
      </c>
      <c r="H25" s="8"/>
      <c r="I25" s="8" t="str">
        <f t="shared" si="0"/>
        <v/>
      </c>
      <c r="J25" s="8">
        <v>8</v>
      </c>
      <c r="K25" s="8" t="str">
        <f t="shared" si="1"/>
        <v/>
      </c>
      <c r="L25" s="8"/>
      <c r="M25" s="8"/>
    </row>
    <row r="26" spans="1:13" ht="43.2">
      <c r="A26" s="8" t="s">
        <v>144</v>
      </c>
      <c r="B26" s="8" t="s">
        <v>145</v>
      </c>
      <c r="C26" s="8" t="s">
        <v>146</v>
      </c>
      <c r="D26" s="8" t="s">
        <v>147</v>
      </c>
      <c r="E26" s="8" t="s">
        <v>148</v>
      </c>
      <c r="F26" s="8" t="s">
        <v>149</v>
      </c>
      <c r="G26" s="8" t="s">
        <v>150</v>
      </c>
      <c r="H26" s="8"/>
      <c r="I26" s="8" t="str">
        <f t="shared" si="0"/>
        <v/>
      </c>
      <c r="J26" s="8">
        <v>8</v>
      </c>
      <c r="K26" s="8" t="str">
        <f t="shared" si="1"/>
        <v/>
      </c>
      <c r="L26" s="8"/>
      <c r="M26" s="8"/>
    </row>
    <row r="27" spans="1:13" ht="43.2">
      <c r="A27" s="8" t="s">
        <v>151</v>
      </c>
      <c r="B27" s="8" t="s">
        <v>152</v>
      </c>
      <c r="C27" s="8" t="s">
        <v>153</v>
      </c>
      <c r="D27" s="8" t="s">
        <v>154</v>
      </c>
      <c r="E27" s="8" t="s">
        <v>155</v>
      </c>
      <c r="F27" s="8" t="s">
        <v>156</v>
      </c>
      <c r="G27" s="8" t="s">
        <v>157</v>
      </c>
      <c r="H27" s="8"/>
      <c r="I27" s="8" t="str">
        <f t="shared" si="0"/>
        <v/>
      </c>
      <c r="J27" s="8">
        <v>10</v>
      </c>
      <c r="K27" s="8" t="str">
        <f t="shared" si="1"/>
        <v/>
      </c>
      <c r="L27" s="8"/>
      <c r="M27" s="8"/>
    </row>
    <row r="28" spans="1:13" ht="43.2">
      <c r="A28" s="8" t="s">
        <v>164</v>
      </c>
      <c r="B28" s="8" t="s">
        <v>20</v>
      </c>
      <c r="C28" s="8" t="s">
        <v>165</v>
      </c>
      <c r="D28" s="8" t="s">
        <v>166</v>
      </c>
      <c r="E28" s="8" t="s">
        <v>167</v>
      </c>
      <c r="F28" s="8" t="s">
        <v>168</v>
      </c>
      <c r="G28" s="8" t="s">
        <v>169</v>
      </c>
      <c r="H28" s="8"/>
      <c r="I28" s="8" t="str">
        <f t="shared" si="0"/>
        <v/>
      </c>
      <c r="J28" s="8">
        <v>12</v>
      </c>
      <c r="K28" s="8" t="str">
        <f t="shared" si="1"/>
        <v/>
      </c>
      <c r="L28" s="8"/>
      <c r="M28" s="8"/>
    </row>
    <row r="29" spans="1:13" ht="43.2">
      <c r="A29" s="8" t="s">
        <v>164</v>
      </c>
      <c r="B29" s="8" t="s">
        <v>152</v>
      </c>
      <c r="C29" s="8" t="s">
        <v>170</v>
      </c>
      <c r="D29" s="8" t="s">
        <v>171</v>
      </c>
      <c r="E29" s="8" t="s">
        <v>172</v>
      </c>
      <c r="F29" s="8" t="s">
        <v>173</v>
      </c>
      <c r="G29" s="8" t="s">
        <v>174</v>
      </c>
      <c r="H29" s="8"/>
      <c r="I29" s="8" t="str">
        <f t="shared" si="0"/>
        <v/>
      </c>
      <c r="J29" s="8">
        <v>12</v>
      </c>
      <c r="K29" s="8" t="str">
        <f t="shared" si="1"/>
        <v/>
      </c>
      <c r="L29" s="8"/>
      <c r="M29" s="8"/>
    </row>
    <row r="30" spans="1:13" ht="28.8">
      <c r="A30" s="8" t="s">
        <v>164</v>
      </c>
      <c r="B30" s="8" t="s">
        <v>175</v>
      </c>
      <c r="C30" s="8" t="s">
        <v>176</v>
      </c>
      <c r="D30" s="8" t="s">
        <v>177</v>
      </c>
      <c r="E30" s="8" t="s">
        <v>178</v>
      </c>
      <c r="F30" s="8" t="s">
        <v>179</v>
      </c>
      <c r="G30" s="8" t="s">
        <v>180</v>
      </c>
      <c r="H30" s="8"/>
      <c r="I30" s="8" t="str">
        <f t="shared" si="0"/>
        <v/>
      </c>
      <c r="J30" s="8">
        <v>10</v>
      </c>
      <c r="K30" s="8" t="str">
        <f t="shared" si="1"/>
        <v/>
      </c>
      <c r="L30" s="8"/>
      <c r="M30" s="8"/>
    </row>
    <row r="31" spans="1:1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</row>
    <row r="32" spans="1:1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</row>
    <row r="33" spans="1:1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</row>
    <row r="34" spans="1:13">
      <c r="A34" s="9" t="s">
        <v>158</v>
      </c>
      <c r="B34" s="9" t="s">
        <v>159</v>
      </c>
      <c r="C34" s="9" t="s">
        <v>160</v>
      </c>
      <c r="D34" s="9" t="s">
        <v>161</v>
      </c>
      <c r="E34" s="9" t="s">
        <v>32</v>
      </c>
      <c r="F34" s="9" t="s">
        <v>162</v>
      </c>
      <c r="G34" s="8"/>
      <c r="H34" s="8"/>
      <c r="I34" s="8"/>
      <c r="J34" s="8"/>
      <c r="K34" s="8"/>
      <c r="L34" s="8"/>
      <c r="M34" s="8"/>
    </row>
    <row r="35" spans="1:13">
      <c r="A35" s="10">
        <f>IFERROR(SUM(K6:K30)/(SUMIF(I6:I30,"&gt;0",J6:J30)*4)*100,"")</f>
        <v>75</v>
      </c>
      <c r="B35" s="2" t="str">
        <f>IF(A35="","",IF(A35&lt;40,"Early",IF(A35&lt;65,"Emerging",IF(A35&lt;85,"Mature","Fully Mature"))))</f>
        <v>Mature</v>
      </c>
      <c r="C35" s="11">
        <f>COUNT(I6:I30)</f>
        <v>1</v>
      </c>
      <c r="D35" s="11">
        <f>COUNTA(C6:C30)</f>
        <v>25</v>
      </c>
      <c r="E35" s="11">
        <f>SUM(K6:K30)</f>
        <v>30</v>
      </c>
      <c r="F35" s="11">
        <f>SUMIF(I6:I30,"&gt;0",J6:J30)</f>
        <v>10</v>
      </c>
      <c r="G35" s="8"/>
      <c r="H35" s="8"/>
      <c r="I35" s="8"/>
      <c r="J35" s="8"/>
      <c r="K35" s="8"/>
      <c r="L35" s="8"/>
      <c r="M35" s="8"/>
    </row>
    <row r="36" spans="1:1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</row>
  </sheetData>
  <conditionalFormatting sqref="H6:H30">
    <cfRule type="containsText" dxfId="11" priority="1" operator="containsText" text="Early"/>
    <cfRule type="containsText" dxfId="10" priority="2" operator="containsText" text="Emerging"/>
    <cfRule type="containsText" dxfId="9" priority="3" operator="containsText" text="Mature"/>
    <cfRule type="containsText" dxfId="8" priority="4" operator="containsText" text="Fully Mature"/>
  </conditionalFormatting>
  <conditionalFormatting sqref="I6:I30">
    <cfRule type="colorScale" priority="5">
      <colorScale>
        <cfvo type="min"/>
        <cfvo type="percentile" val="50"/>
        <cfvo type="max"/>
        <color rgb="FFF8CBAD"/>
        <color rgb="FFFFE699"/>
        <color rgb="FFC6E0B4"/>
      </colorScale>
    </cfRule>
  </conditionalFormatting>
  <dataValidations count="1">
    <dataValidation type="list" allowBlank="1" sqref="H6:H30" xr:uid="{5605981B-1EBA-4980-BC07-89609DBC65D7}">
      <formula1>"Early,Emerging,Mature,Fully Mature"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D5407-E992-4E5C-9AC3-186BD4E819CA}">
  <dimension ref="A1:M35"/>
  <sheetViews>
    <sheetView zoomScale="60" zoomScaleNormal="60" workbookViewId="0">
      <selection activeCell="F8" sqref="F8"/>
    </sheetView>
  </sheetViews>
  <sheetFormatPr defaultColWidth="9" defaultRowHeight="14.4"/>
  <cols>
    <col min="1" max="2" width="22" style="4" customWidth="1"/>
    <col min="3" max="3" width="38" style="4" customWidth="1"/>
    <col min="4" max="6" width="36" style="4" customWidth="1"/>
    <col min="7" max="7" width="42" style="4" customWidth="1"/>
    <col min="8" max="8" width="18" style="4" customWidth="1"/>
    <col min="9" max="10" width="10" style="4" customWidth="1"/>
    <col min="11" max="11" width="14" style="4" customWidth="1"/>
    <col min="12" max="13" width="38" style="4" customWidth="1"/>
    <col min="14" max="16384" width="9" style="4"/>
  </cols>
  <sheetData>
    <row r="1" spans="1:13" ht="30">
      <c r="A1" s="2" t="s">
        <v>181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100.8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>
      <c r="A5" s="5" t="s">
        <v>9</v>
      </c>
      <c r="B5" s="5" t="s">
        <v>26</v>
      </c>
      <c r="C5" s="5" t="s">
        <v>18</v>
      </c>
      <c r="D5" s="5" t="s">
        <v>27</v>
      </c>
      <c r="E5" s="5" t="s">
        <v>28</v>
      </c>
      <c r="F5" s="5" t="s">
        <v>29</v>
      </c>
      <c r="G5" s="5" t="s">
        <v>30</v>
      </c>
      <c r="H5" s="5" t="s">
        <v>31</v>
      </c>
      <c r="I5" s="5" t="s">
        <v>0</v>
      </c>
      <c r="J5" s="5" t="s">
        <v>17</v>
      </c>
      <c r="K5" s="5" t="s">
        <v>32</v>
      </c>
      <c r="L5" s="5" t="s">
        <v>33</v>
      </c>
      <c r="M5" s="5" t="s">
        <v>34</v>
      </c>
    </row>
    <row r="6" spans="1:13" ht="28.8">
      <c r="A6" s="8" t="s">
        <v>35</v>
      </c>
      <c r="B6" s="8" t="s">
        <v>16</v>
      </c>
      <c r="C6" s="8" t="s">
        <v>36</v>
      </c>
      <c r="D6" s="8" t="s">
        <v>37</v>
      </c>
      <c r="E6" s="8" t="s">
        <v>38</v>
      </c>
      <c r="F6" s="8" t="s">
        <v>39</v>
      </c>
      <c r="G6" s="8" t="s">
        <v>40</v>
      </c>
      <c r="H6" s="8"/>
      <c r="I6" s="8" t="str">
        <f t="shared" ref="I6:I29" si="0">IF(H6="Early",1,IF(H6="Emerging",2,IF(H6="Mature",3,IF(H6="Fully Mature",4,""))))</f>
        <v/>
      </c>
      <c r="J6" s="8">
        <v>10</v>
      </c>
      <c r="K6" s="8" t="str">
        <f t="shared" ref="K6:K29" si="1">IF(I6="","",I6*J6)</f>
        <v/>
      </c>
      <c r="L6" s="8"/>
      <c r="M6" s="8"/>
    </row>
    <row r="7" spans="1:13" ht="28.8">
      <c r="A7" s="8" t="s">
        <v>41</v>
      </c>
      <c r="B7" s="8" t="s">
        <v>19</v>
      </c>
      <c r="C7" s="8" t="s">
        <v>42</v>
      </c>
      <c r="D7" s="8" t="s">
        <v>43</v>
      </c>
      <c r="E7" s="8" t="s">
        <v>44</v>
      </c>
      <c r="F7" s="8" t="s">
        <v>45</v>
      </c>
      <c r="G7" s="8" t="s">
        <v>46</v>
      </c>
      <c r="H7" s="8"/>
      <c r="I7" s="8" t="str">
        <f t="shared" si="0"/>
        <v/>
      </c>
      <c r="J7" s="8">
        <v>8</v>
      </c>
      <c r="K7" s="8" t="str">
        <f t="shared" si="1"/>
        <v/>
      </c>
      <c r="L7" s="8"/>
      <c r="M7" s="8"/>
    </row>
    <row r="8" spans="1:13" ht="28.8">
      <c r="A8" s="8" t="s">
        <v>41</v>
      </c>
      <c r="B8" s="8" t="s">
        <v>19</v>
      </c>
      <c r="C8" s="8" t="s">
        <v>47</v>
      </c>
      <c r="D8" s="8" t="s">
        <v>48</v>
      </c>
      <c r="E8" s="8" t="s">
        <v>49</v>
      </c>
      <c r="F8" s="8" t="s">
        <v>50</v>
      </c>
      <c r="G8" s="8" t="s">
        <v>51</v>
      </c>
      <c r="H8" s="8"/>
      <c r="I8" s="8" t="str">
        <f t="shared" si="0"/>
        <v/>
      </c>
      <c r="J8" s="8">
        <v>8</v>
      </c>
      <c r="K8" s="8" t="str">
        <f t="shared" si="1"/>
        <v/>
      </c>
      <c r="L8" s="8"/>
      <c r="M8" s="8"/>
    </row>
    <row r="9" spans="1:13" ht="43.2">
      <c r="A9" s="8" t="s">
        <v>10</v>
      </c>
      <c r="B9" s="8" t="s">
        <v>20</v>
      </c>
      <c r="C9" s="8" t="s">
        <v>52</v>
      </c>
      <c r="D9" s="8" t="s">
        <v>53</v>
      </c>
      <c r="E9" s="8" t="s">
        <v>54</v>
      </c>
      <c r="F9" s="8" t="s">
        <v>55</v>
      </c>
      <c r="G9" s="8" t="s">
        <v>56</v>
      </c>
      <c r="H9" s="8"/>
      <c r="I9" s="8" t="str">
        <f t="shared" si="0"/>
        <v/>
      </c>
      <c r="J9" s="8">
        <v>10</v>
      </c>
      <c r="K9" s="8" t="str">
        <f t="shared" si="1"/>
        <v/>
      </c>
      <c r="L9" s="8"/>
      <c r="M9" s="8"/>
    </row>
    <row r="10" spans="1:13" ht="28.8">
      <c r="A10" s="8" t="s">
        <v>10</v>
      </c>
      <c r="B10" s="8" t="s">
        <v>20</v>
      </c>
      <c r="C10" s="8" t="s">
        <v>57</v>
      </c>
      <c r="D10" s="8" t="s">
        <v>58</v>
      </c>
      <c r="E10" s="8" t="s">
        <v>59</v>
      </c>
      <c r="F10" s="8" t="s">
        <v>60</v>
      </c>
      <c r="G10" s="8" t="s">
        <v>61</v>
      </c>
      <c r="H10" s="8"/>
      <c r="I10" s="8" t="str">
        <f t="shared" si="0"/>
        <v/>
      </c>
      <c r="J10" s="8">
        <v>8</v>
      </c>
      <c r="K10" s="8" t="str">
        <f t="shared" si="1"/>
        <v/>
      </c>
      <c r="L10" s="8"/>
      <c r="M10" s="8"/>
    </row>
    <row r="11" spans="1:13" ht="43.2">
      <c r="A11" s="8" t="s">
        <v>15</v>
      </c>
      <c r="B11" s="8" t="s">
        <v>62</v>
      </c>
      <c r="C11" s="8" t="s">
        <v>63</v>
      </c>
      <c r="D11" s="8" t="s">
        <v>64</v>
      </c>
      <c r="E11" s="8" t="s">
        <v>65</v>
      </c>
      <c r="F11" s="8" t="s">
        <v>66</v>
      </c>
      <c r="G11" s="8" t="s">
        <v>67</v>
      </c>
      <c r="H11" s="8"/>
      <c r="I11" s="8" t="str">
        <f t="shared" si="0"/>
        <v/>
      </c>
      <c r="J11" s="8">
        <v>12</v>
      </c>
      <c r="K11" s="8" t="str">
        <f t="shared" si="1"/>
        <v/>
      </c>
      <c r="L11" s="8"/>
      <c r="M11" s="8"/>
    </row>
    <row r="12" spans="1:13" ht="43.2">
      <c r="A12" s="8" t="s">
        <v>15</v>
      </c>
      <c r="B12" s="8" t="s">
        <v>20</v>
      </c>
      <c r="C12" s="8" t="s">
        <v>68</v>
      </c>
      <c r="D12" s="8" t="s">
        <v>69</v>
      </c>
      <c r="E12" s="8" t="s">
        <v>70</v>
      </c>
      <c r="F12" s="8" t="s">
        <v>71</v>
      </c>
      <c r="G12" s="8" t="s">
        <v>72</v>
      </c>
      <c r="H12" s="8"/>
      <c r="I12" s="8" t="str">
        <f t="shared" si="0"/>
        <v/>
      </c>
      <c r="J12" s="8">
        <v>12</v>
      </c>
      <c r="K12" s="8" t="str">
        <f t="shared" si="1"/>
        <v/>
      </c>
      <c r="L12" s="8"/>
      <c r="M12" s="8"/>
    </row>
    <row r="13" spans="1:13" ht="43.2">
      <c r="A13" s="8" t="s">
        <v>73</v>
      </c>
      <c r="B13" s="8" t="s">
        <v>21</v>
      </c>
      <c r="C13" s="8" t="s">
        <v>74</v>
      </c>
      <c r="D13" s="8" t="s">
        <v>75</v>
      </c>
      <c r="E13" s="8" t="s">
        <v>76</v>
      </c>
      <c r="F13" s="8" t="s">
        <v>77</v>
      </c>
      <c r="G13" s="8" t="s">
        <v>78</v>
      </c>
      <c r="H13" s="8"/>
      <c r="I13" s="8" t="str">
        <f t="shared" si="0"/>
        <v/>
      </c>
      <c r="J13" s="8">
        <v>10</v>
      </c>
      <c r="K13" s="8" t="str">
        <f t="shared" si="1"/>
        <v/>
      </c>
      <c r="L13" s="8"/>
      <c r="M13" s="8"/>
    </row>
    <row r="14" spans="1:13" ht="28.8">
      <c r="A14" s="8" t="s">
        <v>73</v>
      </c>
      <c r="B14" s="8" t="s">
        <v>21</v>
      </c>
      <c r="C14" s="8" t="s">
        <v>79</v>
      </c>
      <c r="D14" s="8" t="s">
        <v>80</v>
      </c>
      <c r="E14" s="8" t="s">
        <v>81</v>
      </c>
      <c r="F14" s="8" t="s">
        <v>82</v>
      </c>
      <c r="G14" s="8" t="s">
        <v>83</v>
      </c>
      <c r="H14" s="8"/>
      <c r="I14" s="8" t="str">
        <f t="shared" si="0"/>
        <v/>
      </c>
      <c r="J14" s="8">
        <v>8</v>
      </c>
      <c r="K14" s="8" t="str">
        <f t="shared" si="1"/>
        <v/>
      </c>
      <c r="L14" s="8"/>
      <c r="M14" s="8"/>
    </row>
    <row r="15" spans="1:13" ht="28.8">
      <c r="A15" s="8" t="s">
        <v>73</v>
      </c>
      <c r="B15" s="8" t="s">
        <v>21</v>
      </c>
      <c r="C15" s="8" t="s">
        <v>84</v>
      </c>
      <c r="D15" s="8" t="s">
        <v>85</v>
      </c>
      <c r="E15" s="8" t="s">
        <v>86</v>
      </c>
      <c r="F15" s="8" t="s">
        <v>87</v>
      </c>
      <c r="G15" s="8" t="s">
        <v>88</v>
      </c>
      <c r="H15" s="8"/>
      <c r="I15" s="8" t="str">
        <f t="shared" si="0"/>
        <v/>
      </c>
      <c r="J15" s="8">
        <v>12</v>
      </c>
      <c r="K15" s="8" t="str">
        <f t="shared" si="1"/>
        <v/>
      </c>
      <c r="L15" s="8"/>
      <c r="M15" s="8"/>
    </row>
    <row r="16" spans="1:13" ht="28.8">
      <c r="A16" s="8" t="s">
        <v>73</v>
      </c>
      <c r="B16" s="8" t="s">
        <v>21</v>
      </c>
      <c r="C16" s="8" t="s">
        <v>89</v>
      </c>
      <c r="D16" s="8" t="s">
        <v>90</v>
      </c>
      <c r="E16" s="8" t="s">
        <v>91</v>
      </c>
      <c r="F16" s="8" t="s">
        <v>92</v>
      </c>
      <c r="G16" s="8" t="s">
        <v>93</v>
      </c>
      <c r="H16" s="8"/>
      <c r="I16" s="8" t="str">
        <f t="shared" si="0"/>
        <v/>
      </c>
      <c r="J16" s="8">
        <v>10</v>
      </c>
      <c r="K16" s="8" t="str">
        <f t="shared" si="1"/>
        <v/>
      </c>
      <c r="L16" s="8"/>
      <c r="M16" s="8"/>
    </row>
    <row r="17" spans="1:13" ht="28.8">
      <c r="A17" s="8" t="s">
        <v>94</v>
      </c>
      <c r="B17" s="8" t="s">
        <v>95</v>
      </c>
      <c r="C17" s="8" t="s">
        <v>96</v>
      </c>
      <c r="D17" s="8" t="s">
        <v>97</v>
      </c>
      <c r="E17" s="8" t="s">
        <v>98</v>
      </c>
      <c r="F17" s="8" t="s">
        <v>99</v>
      </c>
      <c r="G17" s="8" t="s">
        <v>100</v>
      </c>
      <c r="H17" s="8"/>
      <c r="I17" s="8" t="str">
        <f t="shared" si="0"/>
        <v/>
      </c>
      <c r="J17" s="8">
        <v>8</v>
      </c>
      <c r="K17" s="8" t="str">
        <f t="shared" si="1"/>
        <v/>
      </c>
      <c r="L17" s="8"/>
      <c r="M17" s="8"/>
    </row>
    <row r="18" spans="1:13" ht="28.8">
      <c r="A18" s="8" t="s">
        <v>94</v>
      </c>
      <c r="B18" s="8" t="s">
        <v>95</v>
      </c>
      <c r="C18" s="8" t="s">
        <v>101</v>
      </c>
      <c r="D18" s="8" t="s">
        <v>102</v>
      </c>
      <c r="E18" s="8" t="s">
        <v>103</v>
      </c>
      <c r="F18" s="8" t="s">
        <v>104</v>
      </c>
      <c r="G18" s="8" t="s">
        <v>105</v>
      </c>
      <c r="H18" s="8"/>
      <c r="I18" s="8" t="str">
        <f t="shared" si="0"/>
        <v/>
      </c>
      <c r="J18" s="8">
        <v>12</v>
      </c>
      <c r="K18" s="8" t="str">
        <f t="shared" si="1"/>
        <v/>
      </c>
      <c r="L18" s="8"/>
      <c r="M18" s="8"/>
    </row>
    <row r="19" spans="1:13" ht="43.2">
      <c r="A19" s="8" t="s">
        <v>94</v>
      </c>
      <c r="B19" s="8" t="s">
        <v>95</v>
      </c>
      <c r="C19" s="8" t="s">
        <v>106</v>
      </c>
      <c r="D19" s="8" t="s">
        <v>107</v>
      </c>
      <c r="E19" s="8" t="s">
        <v>108</v>
      </c>
      <c r="F19" s="8" t="s">
        <v>109</v>
      </c>
      <c r="G19" s="8" t="s">
        <v>110</v>
      </c>
      <c r="H19" s="8"/>
      <c r="I19" s="8" t="str">
        <f t="shared" si="0"/>
        <v/>
      </c>
      <c r="J19" s="8">
        <v>8</v>
      </c>
      <c r="K19" s="8" t="str">
        <f t="shared" si="1"/>
        <v/>
      </c>
      <c r="L19" s="8"/>
      <c r="M19" s="8"/>
    </row>
    <row r="20" spans="1:13" ht="43.2">
      <c r="A20" s="8" t="s">
        <v>111</v>
      </c>
      <c r="B20" s="8" t="s">
        <v>22</v>
      </c>
      <c r="C20" s="8" t="s">
        <v>112</v>
      </c>
      <c r="D20" s="8" t="s">
        <v>113</v>
      </c>
      <c r="E20" s="8" t="s">
        <v>114</v>
      </c>
      <c r="F20" s="8" t="s">
        <v>115</v>
      </c>
      <c r="G20" s="8" t="s">
        <v>116</v>
      </c>
      <c r="H20" s="8"/>
      <c r="I20" s="8" t="str">
        <f t="shared" si="0"/>
        <v/>
      </c>
      <c r="J20" s="8">
        <v>10</v>
      </c>
      <c r="K20" s="8" t="str">
        <f t="shared" si="1"/>
        <v/>
      </c>
      <c r="L20" s="8"/>
      <c r="M20" s="8"/>
    </row>
    <row r="21" spans="1:13" ht="28.8">
      <c r="A21" s="8" t="s">
        <v>111</v>
      </c>
      <c r="B21" s="8" t="s">
        <v>22</v>
      </c>
      <c r="C21" s="8" t="s">
        <v>117</v>
      </c>
      <c r="D21" s="8" t="s">
        <v>118</v>
      </c>
      <c r="E21" s="8" t="s">
        <v>119</v>
      </c>
      <c r="F21" s="8" t="s">
        <v>120</v>
      </c>
      <c r="G21" s="8" t="s">
        <v>121</v>
      </c>
      <c r="H21" s="8"/>
      <c r="I21" s="8" t="str">
        <f t="shared" si="0"/>
        <v/>
      </c>
      <c r="J21" s="8">
        <v>8</v>
      </c>
      <c r="K21" s="8" t="str">
        <f t="shared" si="1"/>
        <v/>
      </c>
      <c r="L21" s="8"/>
      <c r="M21" s="8"/>
    </row>
    <row r="22" spans="1:13" ht="43.2">
      <c r="A22" s="8" t="s">
        <v>15</v>
      </c>
      <c r="B22" s="8" t="s">
        <v>23</v>
      </c>
      <c r="C22" s="8" t="s">
        <v>122</v>
      </c>
      <c r="D22" s="8" t="s">
        <v>123</v>
      </c>
      <c r="E22" s="8" t="s">
        <v>124</v>
      </c>
      <c r="F22" s="8" t="s">
        <v>125</v>
      </c>
      <c r="G22" s="8" t="s">
        <v>126</v>
      </c>
      <c r="H22" s="8"/>
      <c r="I22" s="8" t="str">
        <f t="shared" si="0"/>
        <v/>
      </c>
      <c r="J22" s="8">
        <v>12</v>
      </c>
      <c r="K22" s="8" t="str">
        <f t="shared" si="1"/>
        <v/>
      </c>
      <c r="L22" s="8"/>
      <c r="M22" s="8"/>
    </row>
    <row r="23" spans="1:13" ht="43.2">
      <c r="A23" s="8" t="s">
        <v>14</v>
      </c>
      <c r="B23" s="8" t="s">
        <v>127</v>
      </c>
      <c r="C23" s="8" t="s">
        <v>128</v>
      </c>
      <c r="D23" s="8" t="s">
        <v>129</v>
      </c>
      <c r="E23" s="8" t="s">
        <v>130</v>
      </c>
      <c r="F23" s="8" t="s">
        <v>131</v>
      </c>
      <c r="G23" s="8" t="s">
        <v>132</v>
      </c>
      <c r="H23" s="8"/>
      <c r="I23" s="8" t="str">
        <f t="shared" si="0"/>
        <v/>
      </c>
      <c r="J23" s="8">
        <v>8</v>
      </c>
      <c r="K23" s="8" t="str">
        <f t="shared" si="1"/>
        <v/>
      </c>
      <c r="L23" s="8"/>
      <c r="M23" s="8"/>
    </row>
    <row r="24" spans="1:13" ht="43.2">
      <c r="A24" s="8" t="s">
        <v>13</v>
      </c>
      <c r="B24" s="8" t="s">
        <v>133</v>
      </c>
      <c r="C24" s="8" t="s">
        <v>134</v>
      </c>
      <c r="D24" s="8" t="s">
        <v>135</v>
      </c>
      <c r="E24" s="8" t="s">
        <v>136</v>
      </c>
      <c r="F24" s="8" t="s">
        <v>137</v>
      </c>
      <c r="G24" s="8" t="s">
        <v>138</v>
      </c>
      <c r="H24" s="8"/>
      <c r="I24" s="8" t="str">
        <f t="shared" si="0"/>
        <v/>
      </c>
      <c r="J24" s="8">
        <v>10</v>
      </c>
      <c r="K24" s="8" t="str">
        <f t="shared" si="1"/>
        <v/>
      </c>
      <c r="L24" s="8"/>
      <c r="M24" s="8"/>
    </row>
    <row r="25" spans="1:13" ht="28.8">
      <c r="A25" s="8" t="s">
        <v>11</v>
      </c>
      <c r="B25" s="8" t="s">
        <v>16</v>
      </c>
      <c r="C25" s="8" t="s">
        <v>139</v>
      </c>
      <c r="D25" s="8" t="s">
        <v>140</v>
      </c>
      <c r="E25" s="8" t="s">
        <v>141</v>
      </c>
      <c r="F25" s="8" t="s">
        <v>142</v>
      </c>
      <c r="G25" s="8" t="s">
        <v>143</v>
      </c>
      <c r="H25" s="8"/>
      <c r="I25" s="8" t="str">
        <f t="shared" si="0"/>
        <v/>
      </c>
      <c r="J25" s="8">
        <v>8</v>
      </c>
      <c r="K25" s="8" t="str">
        <f t="shared" si="1"/>
        <v/>
      </c>
      <c r="L25" s="8"/>
      <c r="M25" s="8"/>
    </row>
    <row r="26" spans="1:13" ht="28.8">
      <c r="A26" s="8" t="s">
        <v>182</v>
      </c>
      <c r="B26" s="8" t="s">
        <v>19</v>
      </c>
      <c r="C26" s="8" t="s">
        <v>183</v>
      </c>
      <c r="D26" s="8" t="s">
        <v>184</v>
      </c>
      <c r="E26" s="8" t="s">
        <v>185</v>
      </c>
      <c r="F26" s="8" t="s">
        <v>186</v>
      </c>
      <c r="G26" s="8" t="s">
        <v>187</v>
      </c>
      <c r="H26" s="8"/>
      <c r="I26" s="8" t="str">
        <f t="shared" si="0"/>
        <v/>
      </c>
      <c r="J26" s="8">
        <v>12</v>
      </c>
      <c r="K26" s="8" t="str">
        <f t="shared" si="1"/>
        <v/>
      </c>
      <c r="L26" s="8"/>
      <c r="M26" s="8"/>
    </row>
    <row r="27" spans="1:13" ht="43.2">
      <c r="A27" s="8" t="s">
        <v>182</v>
      </c>
      <c r="B27" s="8" t="s">
        <v>20</v>
      </c>
      <c r="C27" s="8" t="s">
        <v>188</v>
      </c>
      <c r="D27" s="8" t="s">
        <v>189</v>
      </c>
      <c r="E27" s="8" t="s">
        <v>190</v>
      </c>
      <c r="F27" s="8" t="s">
        <v>191</v>
      </c>
      <c r="G27" s="8" t="s">
        <v>192</v>
      </c>
      <c r="H27" s="8"/>
      <c r="I27" s="8" t="str">
        <f t="shared" si="0"/>
        <v/>
      </c>
      <c r="J27" s="8">
        <v>12</v>
      </c>
      <c r="K27" s="8" t="str">
        <f t="shared" si="1"/>
        <v/>
      </c>
      <c r="L27" s="8"/>
      <c r="M27" s="8"/>
    </row>
    <row r="28" spans="1:13" ht="28.8">
      <c r="A28" s="8" t="s">
        <v>182</v>
      </c>
      <c r="B28" s="8" t="s">
        <v>193</v>
      </c>
      <c r="C28" s="8" t="s">
        <v>194</v>
      </c>
      <c r="D28" s="8" t="s">
        <v>195</v>
      </c>
      <c r="E28" s="8" t="s">
        <v>196</v>
      </c>
      <c r="F28" s="8" t="s">
        <v>197</v>
      </c>
      <c r="G28" s="8" t="s">
        <v>198</v>
      </c>
      <c r="H28" s="8"/>
      <c r="I28" s="8" t="str">
        <f t="shared" si="0"/>
        <v/>
      </c>
      <c r="J28" s="8">
        <v>12</v>
      </c>
      <c r="K28" s="8" t="str">
        <f t="shared" si="1"/>
        <v/>
      </c>
      <c r="L28" s="8"/>
      <c r="M28" s="8"/>
    </row>
    <row r="29" spans="1:13" ht="43.2">
      <c r="A29" s="8" t="s">
        <v>182</v>
      </c>
      <c r="B29" s="8" t="s">
        <v>199</v>
      </c>
      <c r="C29" s="8" t="s">
        <v>200</v>
      </c>
      <c r="D29" s="8" t="s">
        <v>201</v>
      </c>
      <c r="E29" s="8" t="s">
        <v>202</v>
      </c>
      <c r="F29" s="8" t="s">
        <v>203</v>
      </c>
      <c r="G29" s="8" t="s">
        <v>204</v>
      </c>
      <c r="H29" s="8"/>
      <c r="I29" s="8" t="str">
        <f t="shared" si="0"/>
        <v/>
      </c>
      <c r="J29" s="8">
        <v>10</v>
      </c>
      <c r="K29" s="8" t="str">
        <f t="shared" si="1"/>
        <v/>
      </c>
      <c r="L29" s="8"/>
      <c r="M29" s="8"/>
    </row>
    <row r="30" spans="1:1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</row>
    <row r="31" spans="1:1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</row>
    <row r="32" spans="1:1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</row>
    <row r="33" spans="1:13">
      <c r="A33" s="9" t="s">
        <v>158</v>
      </c>
      <c r="B33" s="9" t="s">
        <v>159</v>
      </c>
      <c r="C33" s="9" t="s">
        <v>160</v>
      </c>
      <c r="D33" s="9" t="s">
        <v>161</v>
      </c>
      <c r="E33" s="9" t="s">
        <v>32</v>
      </c>
      <c r="F33" s="9" t="s">
        <v>162</v>
      </c>
      <c r="G33" s="8"/>
      <c r="H33" s="8"/>
      <c r="I33" s="8"/>
      <c r="J33" s="8"/>
      <c r="K33" s="8"/>
      <c r="L33" s="8"/>
      <c r="M33" s="8"/>
    </row>
    <row r="34" spans="1:13">
      <c r="A34" s="10" t="str">
        <f>IFERROR(SUM(K6:K29)/(SUMIF(I6:I29,"&gt;0",J6:J29)*4)*100,"")</f>
        <v/>
      </c>
      <c r="B34" s="2" t="str">
        <f>IF(A34="","",IF(A34&lt;40,"Early",IF(A34&lt;65,"Emerging",IF(A34&lt;85,"Mature","Fully Mature"))))</f>
        <v/>
      </c>
      <c r="C34" s="11">
        <f>COUNT(I6:I29)</f>
        <v>0</v>
      </c>
      <c r="D34" s="11">
        <f>COUNTA(C6:C29)</f>
        <v>24</v>
      </c>
      <c r="E34" s="11">
        <f>SUM(K6:K29)</f>
        <v>0</v>
      </c>
      <c r="F34" s="11">
        <f>SUMIF(I6:I29,"&gt;0",J6:J29)</f>
        <v>0</v>
      </c>
      <c r="G34" s="8"/>
      <c r="H34" s="8"/>
      <c r="I34" s="8"/>
      <c r="J34" s="8"/>
      <c r="K34" s="8"/>
      <c r="L34" s="8"/>
      <c r="M34" s="8"/>
    </row>
    <row r="35" spans="1:1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</row>
  </sheetData>
  <conditionalFormatting sqref="H6:H29">
    <cfRule type="containsText" dxfId="7" priority="1" operator="containsText" text="Early"/>
    <cfRule type="containsText" dxfId="6" priority="2" operator="containsText" text="Emerging"/>
    <cfRule type="containsText" dxfId="5" priority="3" operator="containsText" text="Mature"/>
    <cfRule type="containsText" dxfId="4" priority="4" operator="containsText" text="Fully Mature"/>
  </conditionalFormatting>
  <conditionalFormatting sqref="I6:I29">
    <cfRule type="colorScale" priority="5">
      <colorScale>
        <cfvo type="min"/>
        <cfvo type="percentile" val="50"/>
        <cfvo type="max"/>
        <color rgb="FFF8CBAD"/>
        <color rgb="FFFFE699"/>
        <color rgb="FFC6E0B4"/>
      </colorScale>
    </cfRule>
  </conditionalFormatting>
  <dataValidations count="1">
    <dataValidation type="list" allowBlank="1" sqref="H6:H29" xr:uid="{DB56CFB8-E5E5-481C-89F1-1C12F907E20C}">
      <formula1>"Early,Emerging,Mature,Fully Mature"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8B4B-E23E-4439-929E-15938EBC795D}">
  <dimension ref="A1:M35"/>
  <sheetViews>
    <sheetView zoomScale="80" zoomScaleNormal="80" workbookViewId="0">
      <selection activeCell="D7" sqref="D7"/>
    </sheetView>
  </sheetViews>
  <sheetFormatPr defaultColWidth="9" defaultRowHeight="14.4"/>
  <cols>
    <col min="1" max="2" width="22" style="4" customWidth="1"/>
    <col min="3" max="3" width="38" style="4" customWidth="1"/>
    <col min="4" max="6" width="36" style="4" customWidth="1"/>
    <col min="7" max="7" width="42" style="4" customWidth="1"/>
    <col min="8" max="8" width="18" style="4" customWidth="1"/>
    <col min="9" max="10" width="10" style="4" customWidth="1"/>
    <col min="11" max="11" width="14" style="4" customWidth="1"/>
    <col min="12" max="13" width="38" style="4" customWidth="1"/>
    <col min="14" max="16384" width="9" style="4"/>
  </cols>
  <sheetData>
    <row r="1" spans="1:13" ht="30">
      <c r="A1" s="2" t="s">
        <v>205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100.8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>
      <c r="A5" s="5" t="s">
        <v>9</v>
      </c>
      <c r="B5" s="5" t="s">
        <v>26</v>
      </c>
      <c r="C5" s="5" t="s">
        <v>18</v>
      </c>
      <c r="D5" s="5" t="s">
        <v>27</v>
      </c>
      <c r="E5" s="5" t="s">
        <v>28</v>
      </c>
      <c r="F5" s="5" t="s">
        <v>29</v>
      </c>
      <c r="G5" s="5" t="s">
        <v>30</v>
      </c>
      <c r="H5" s="5" t="s">
        <v>31</v>
      </c>
      <c r="I5" s="5" t="s">
        <v>0</v>
      </c>
      <c r="J5" s="5" t="s">
        <v>17</v>
      </c>
      <c r="K5" s="5" t="s">
        <v>32</v>
      </c>
      <c r="L5" s="5" t="s">
        <v>33</v>
      </c>
      <c r="M5" s="5" t="s">
        <v>34</v>
      </c>
    </row>
    <row r="6" spans="1:13" ht="28.8">
      <c r="A6" s="8" t="s">
        <v>35</v>
      </c>
      <c r="B6" s="8" t="s">
        <v>16</v>
      </c>
      <c r="C6" s="8" t="s">
        <v>36</v>
      </c>
      <c r="D6" s="8" t="s">
        <v>37</v>
      </c>
      <c r="E6" s="8" t="s">
        <v>38</v>
      </c>
      <c r="F6" s="8" t="s">
        <v>39</v>
      </c>
      <c r="G6" s="8" t="s">
        <v>40</v>
      </c>
      <c r="H6" s="8"/>
      <c r="I6" s="8" t="str">
        <f t="shared" ref="I6:I29" si="0">IF(H6="Early",1,IF(H6="Emerging",2,IF(H6="Mature",3,IF(H6="Fully Mature",4,""))))</f>
        <v/>
      </c>
      <c r="J6" s="8">
        <v>10</v>
      </c>
      <c r="K6" s="8" t="str">
        <f t="shared" ref="K6:K29" si="1">IF(I6="","",I6*J6)</f>
        <v/>
      </c>
      <c r="L6" s="8"/>
      <c r="M6" s="8"/>
    </row>
    <row r="7" spans="1:13" ht="28.8">
      <c r="A7" s="8" t="s">
        <v>41</v>
      </c>
      <c r="B7" s="8" t="s">
        <v>19</v>
      </c>
      <c r="C7" s="8" t="s">
        <v>42</v>
      </c>
      <c r="D7" s="8" t="s">
        <v>43</v>
      </c>
      <c r="E7" s="8" t="s">
        <v>44</v>
      </c>
      <c r="F7" s="8" t="s">
        <v>45</v>
      </c>
      <c r="G7" s="8" t="s">
        <v>46</v>
      </c>
      <c r="H7" s="8"/>
      <c r="I7" s="8" t="str">
        <f t="shared" si="0"/>
        <v/>
      </c>
      <c r="J7" s="8">
        <v>8</v>
      </c>
      <c r="K7" s="8" t="str">
        <f t="shared" si="1"/>
        <v/>
      </c>
      <c r="L7" s="8"/>
      <c r="M7" s="8"/>
    </row>
    <row r="8" spans="1:13" ht="28.8">
      <c r="A8" s="8" t="s">
        <v>41</v>
      </c>
      <c r="B8" s="8" t="s">
        <v>19</v>
      </c>
      <c r="C8" s="8" t="s">
        <v>47</v>
      </c>
      <c r="D8" s="8" t="s">
        <v>48</v>
      </c>
      <c r="E8" s="8" t="s">
        <v>49</v>
      </c>
      <c r="F8" s="8" t="s">
        <v>50</v>
      </c>
      <c r="G8" s="8" t="s">
        <v>51</v>
      </c>
      <c r="H8" s="8"/>
      <c r="I8" s="8" t="str">
        <f t="shared" si="0"/>
        <v/>
      </c>
      <c r="J8" s="8">
        <v>8</v>
      </c>
      <c r="K8" s="8" t="str">
        <f t="shared" si="1"/>
        <v/>
      </c>
      <c r="L8" s="8"/>
      <c r="M8" s="8"/>
    </row>
    <row r="9" spans="1:13" ht="43.2">
      <c r="A9" s="8" t="s">
        <v>10</v>
      </c>
      <c r="B9" s="8" t="s">
        <v>20</v>
      </c>
      <c r="C9" s="8" t="s">
        <v>52</v>
      </c>
      <c r="D9" s="8" t="s">
        <v>53</v>
      </c>
      <c r="E9" s="8" t="s">
        <v>54</v>
      </c>
      <c r="F9" s="8" t="s">
        <v>55</v>
      </c>
      <c r="G9" s="8" t="s">
        <v>56</v>
      </c>
      <c r="H9" s="8"/>
      <c r="I9" s="8" t="str">
        <f t="shared" si="0"/>
        <v/>
      </c>
      <c r="J9" s="8">
        <v>10</v>
      </c>
      <c r="K9" s="8" t="str">
        <f t="shared" si="1"/>
        <v/>
      </c>
      <c r="L9" s="8"/>
      <c r="M9" s="8"/>
    </row>
    <row r="10" spans="1:13" ht="28.8">
      <c r="A10" s="8" t="s">
        <v>10</v>
      </c>
      <c r="B10" s="8" t="s">
        <v>20</v>
      </c>
      <c r="C10" s="8" t="s">
        <v>57</v>
      </c>
      <c r="D10" s="8" t="s">
        <v>58</v>
      </c>
      <c r="E10" s="8" t="s">
        <v>59</v>
      </c>
      <c r="F10" s="8" t="s">
        <v>60</v>
      </c>
      <c r="G10" s="8" t="s">
        <v>61</v>
      </c>
      <c r="H10" s="8"/>
      <c r="I10" s="8" t="str">
        <f t="shared" si="0"/>
        <v/>
      </c>
      <c r="J10" s="8">
        <v>8</v>
      </c>
      <c r="K10" s="8" t="str">
        <f t="shared" si="1"/>
        <v/>
      </c>
      <c r="L10" s="8"/>
      <c r="M10" s="8"/>
    </row>
    <row r="11" spans="1:13" ht="43.2">
      <c r="A11" s="8" t="s">
        <v>15</v>
      </c>
      <c r="B11" s="8" t="s">
        <v>62</v>
      </c>
      <c r="C11" s="8" t="s">
        <v>63</v>
      </c>
      <c r="D11" s="8" t="s">
        <v>64</v>
      </c>
      <c r="E11" s="8" t="s">
        <v>65</v>
      </c>
      <c r="F11" s="8" t="s">
        <v>66</v>
      </c>
      <c r="G11" s="8" t="s">
        <v>67</v>
      </c>
      <c r="H11" s="8"/>
      <c r="I11" s="8" t="str">
        <f t="shared" si="0"/>
        <v/>
      </c>
      <c r="J11" s="8">
        <v>12</v>
      </c>
      <c r="K11" s="8" t="str">
        <f t="shared" si="1"/>
        <v/>
      </c>
      <c r="L11" s="8"/>
      <c r="M11" s="8"/>
    </row>
    <row r="12" spans="1:13" ht="43.2">
      <c r="A12" s="8" t="s">
        <v>15</v>
      </c>
      <c r="B12" s="8" t="s">
        <v>20</v>
      </c>
      <c r="C12" s="8" t="s">
        <v>68</v>
      </c>
      <c r="D12" s="8" t="s">
        <v>69</v>
      </c>
      <c r="E12" s="8" t="s">
        <v>70</v>
      </c>
      <c r="F12" s="8" t="s">
        <v>71</v>
      </c>
      <c r="G12" s="8" t="s">
        <v>72</v>
      </c>
      <c r="H12" s="8"/>
      <c r="I12" s="8" t="str">
        <f t="shared" si="0"/>
        <v/>
      </c>
      <c r="J12" s="8">
        <v>12</v>
      </c>
      <c r="K12" s="8" t="str">
        <f t="shared" si="1"/>
        <v/>
      </c>
      <c r="L12" s="8"/>
      <c r="M12" s="8"/>
    </row>
    <row r="13" spans="1:13" ht="43.2">
      <c r="A13" s="8" t="s">
        <v>73</v>
      </c>
      <c r="B13" s="8" t="s">
        <v>21</v>
      </c>
      <c r="C13" s="8" t="s">
        <v>74</v>
      </c>
      <c r="D13" s="8" t="s">
        <v>75</v>
      </c>
      <c r="E13" s="8" t="s">
        <v>76</v>
      </c>
      <c r="F13" s="8" t="s">
        <v>77</v>
      </c>
      <c r="G13" s="8" t="s">
        <v>78</v>
      </c>
      <c r="H13" s="8"/>
      <c r="I13" s="8" t="str">
        <f t="shared" si="0"/>
        <v/>
      </c>
      <c r="J13" s="8">
        <v>10</v>
      </c>
      <c r="K13" s="8" t="str">
        <f t="shared" si="1"/>
        <v/>
      </c>
      <c r="L13" s="8"/>
      <c r="M13" s="8"/>
    </row>
    <row r="14" spans="1:13" ht="28.8">
      <c r="A14" s="8" t="s">
        <v>73</v>
      </c>
      <c r="B14" s="8" t="s">
        <v>21</v>
      </c>
      <c r="C14" s="8" t="s">
        <v>79</v>
      </c>
      <c r="D14" s="8" t="s">
        <v>80</v>
      </c>
      <c r="E14" s="8" t="s">
        <v>81</v>
      </c>
      <c r="F14" s="8" t="s">
        <v>82</v>
      </c>
      <c r="G14" s="8" t="s">
        <v>83</v>
      </c>
      <c r="H14" s="8"/>
      <c r="I14" s="8" t="str">
        <f t="shared" si="0"/>
        <v/>
      </c>
      <c r="J14" s="8">
        <v>8</v>
      </c>
      <c r="K14" s="8" t="str">
        <f t="shared" si="1"/>
        <v/>
      </c>
      <c r="L14" s="8"/>
      <c r="M14" s="8"/>
    </row>
    <row r="15" spans="1:13" ht="28.8">
      <c r="A15" s="8" t="s">
        <v>73</v>
      </c>
      <c r="B15" s="8" t="s">
        <v>21</v>
      </c>
      <c r="C15" s="8" t="s">
        <v>84</v>
      </c>
      <c r="D15" s="8" t="s">
        <v>85</v>
      </c>
      <c r="E15" s="8" t="s">
        <v>86</v>
      </c>
      <c r="F15" s="8" t="s">
        <v>87</v>
      </c>
      <c r="G15" s="8" t="s">
        <v>88</v>
      </c>
      <c r="H15" s="8"/>
      <c r="I15" s="8" t="str">
        <f t="shared" si="0"/>
        <v/>
      </c>
      <c r="J15" s="8">
        <v>12</v>
      </c>
      <c r="K15" s="8" t="str">
        <f t="shared" si="1"/>
        <v/>
      </c>
      <c r="L15" s="8"/>
      <c r="M15" s="8"/>
    </row>
    <row r="16" spans="1:13" ht="28.8">
      <c r="A16" s="8" t="s">
        <v>73</v>
      </c>
      <c r="B16" s="8" t="s">
        <v>21</v>
      </c>
      <c r="C16" s="8" t="s">
        <v>89</v>
      </c>
      <c r="D16" s="8" t="s">
        <v>90</v>
      </c>
      <c r="E16" s="8" t="s">
        <v>91</v>
      </c>
      <c r="F16" s="8" t="s">
        <v>92</v>
      </c>
      <c r="G16" s="8" t="s">
        <v>93</v>
      </c>
      <c r="H16" s="8"/>
      <c r="I16" s="8" t="str">
        <f t="shared" si="0"/>
        <v/>
      </c>
      <c r="J16" s="8">
        <v>10</v>
      </c>
      <c r="K16" s="8" t="str">
        <f t="shared" si="1"/>
        <v/>
      </c>
      <c r="L16" s="8"/>
      <c r="M16" s="8"/>
    </row>
    <row r="17" spans="1:13" ht="28.8">
      <c r="A17" s="8" t="s">
        <v>94</v>
      </c>
      <c r="B17" s="8" t="s">
        <v>95</v>
      </c>
      <c r="C17" s="8" t="s">
        <v>96</v>
      </c>
      <c r="D17" s="8" t="s">
        <v>97</v>
      </c>
      <c r="E17" s="8" t="s">
        <v>98</v>
      </c>
      <c r="F17" s="8" t="s">
        <v>99</v>
      </c>
      <c r="G17" s="8" t="s">
        <v>100</v>
      </c>
      <c r="H17" s="8"/>
      <c r="I17" s="8" t="str">
        <f t="shared" si="0"/>
        <v/>
      </c>
      <c r="J17" s="8">
        <v>8</v>
      </c>
      <c r="K17" s="8" t="str">
        <f t="shared" si="1"/>
        <v/>
      </c>
      <c r="L17" s="8"/>
      <c r="M17" s="8"/>
    </row>
    <row r="18" spans="1:13" ht="28.8">
      <c r="A18" s="8" t="s">
        <v>94</v>
      </c>
      <c r="B18" s="8" t="s">
        <v>95</v>
      </c>
      <c r="C18" s="8" t="s">
        <v>101</v>
      </c>
      <c r="D18" s="8" t="s">
        <v>102</v>
      </c>
      <c r="E18" s="8" t="s">
        <v>103</v>
      </c>
      <c r="F18" s="8" t="s">
        <v>104</v>
      </c>
      <c r="G18" s="8" t="s">
        <v>105</v>
      </c>
      <c r="H18" s="8"/>
      <c r="I18" s="8" t="str">
        <f t="shared" si="0"/>
        <v/>
      </c>
      <c r="J18" s="8">
        <v>12</v>
      </c>
      <c r="K18" s="8" t="str">
        <f t="shared" si="1"/>
        <v/>
      </c>
      <c r="L18" s="8"/>
      <c r="M18" s="8"/>
    </row>
    <row r="19" spans="1:13" ht="43.2">
      <c r="A19" s="8" t="s">
        <v>94</v>
      </c>
      <c r="B19" s="8" t="s">
        <v>95</v>
      </c>
      <c r="C19" s="8" t="s">
        <v>106</v>
      </c>
      <c r="D19" s="8" t="s">
        <v>107</v>
      </c>
      <c r="E19" s="8" t="s">
        <v>108</v>
      </c>
      <c r="F19" s="8" t="s">
        <v>109</v>
      </c>
      <c r="G19" s="8" t="s">
        <v>110</v>
      </c>
      <c r="H19" s="8"/>
      <c r="I19" s="8" t="str">
        <f t="shared" si="0"/>
        <v/>
      </c>
      <c r="J19" s="8">
        <v>8</v>
      </c>
      <c r="K19" s="8" t="str">
        <f t="shared" si="1"/>
        <v/>
      </c>
      <c r="L19" s="8"/>
      <c r="M19" s="8"/>
    </row>
    <row r="20" spans="1:13" ht="43.2">
      <c r="A20" s="8" t="s">
        <v>111</v>
      </c>
      <c r="B20" s="8" t="s">
        <v>22</v>
      </c>
      <c r="C20" s="8" t="s">
        <v>112</v>
      </c>
      <c r="D20" s="8" t="s">
        <v>113</v>
      </c>
      <c r="E20" s="8" t="s">
        <v>114</v>
      </c>
      <c r="F20" s="8" t="s">
        <v>115</v>
      </c>
      <c r="G20" s="8" t="s">
        <v>116</v>
      </c>
      <c r="H20" s="8"/>
      <c r="I20" s="8" t="str">
        <f t="shared" si="0"/>
        <v/>
      </c>
      <c r="J20" s="8">
        <v>10</v>
      </c>
      <c r="K20" s="8" t="str">
        <f t="shared" si="1"/>
        <v/>
      </c>
      <c r="L20" s="8"/>
      <c r="M20" s="8"/>
    </row>
    <row r="21" spans="1:13" ht="28.8">
      <c r="A21" s="8" t="s">
        <v>111</v>
      </c>
      <c r="B21" s="8" t="s">
        <v>22</v>
      </c>
      <c r="C21" s="8" t="s">
        <v>117</v>
      </c>
      <c r="D21" s="8" t="s">
        <v>118</v>
      </c>
      <c r="E21" s="8" t="s">
        <v>119</v>
      </c>
      <c r="F21" s="8" t="s">
        <v>120</v>
      </c>
      <c r="G21" s="8" t="s">
        <v>121</v>
      </c>
      <c r="H21" s="8"/>
      <c r="I21" s="8" t="str">
        <f t="shared" si="0"/>
        <v/>
      </c>
      <c r="J21" s="8">
        <v>8</v>
      </c>
      <c r="K21" s="8" t="str">
        <f t="shared" si="1"/>
        <v/>
      </c>
      <c r="L21" s="8"/>
      <c r="M21" s="8"/>
    </row>
    <row r="22" spans="1:13" ht="43.2">
      <c r="A22" s="8" t="s">
        <v>15</v>
      </c>
      <c r="B22" s="8" t="s">
        <v>23</v>
      </c>
      <c r="C22" s="8" t="s">
        <v>122</v>
      </c>
      <c r="D22" s="8" t="s">
        <v>123</v>
      </c>
      <c r="E22" s="8" t="s">
        <v>124</v>
      </c>
      <c r="F22" s="8" t="s">
        <v>125</v>
      </c>
      <c r="G22" s="8" t="s">
        <v>126</v>
      </c>
      <c r="H22" s="8"/>
      <c r="I22" s="8" t="str">
        <f t="shared" si="0"/>
        <v/>
      </c>
      <c r="J22" s="8">
        <v>12</v>
      </c>
      <c r="K22" s="8" t="str">
        <f t="shared" si="1"/>
        <v/>
      </c>
      <c r="L22" s="8"/>
      <c r="M22" s="8"/>
    </row>
    <row r="23" spans="1:13" ht="43.2">
      <c r="A23" s="8" t="s">
        <v>14</v>
      </c>
      <c r="B23" s="8" t="s">
        <v>127</v>
      </c>
      <c r="C23" s="8" t="s">
        <v>128</v>
      </c>
      <c r="D23" s="8" t="s">
        <v>129</v>
      </c>
      <c r="E23" s="8" t="s">
        <v>130</v>
      </c>
      <c r="F23" s="8" t="s">
        <v>131</v>
      </c>
      <c r="G23" s="8" t="s">
        <v>132</v>
      </c>
      <c r="H23" s="8"/>
      <c r="I23" s="8" t="str">
        <f t="shared" si="0"/>
        <v/>
      </c>
      <c r="J23" s="8">
        <v>8</v>
      </c>
      <c r="K23" s="8" t="str">
        <f t="shared" si="1"/>
        <v/>
      </c>
      <c r="L23" s="8"/>
      <c r="M23" s="8"/>
    </row>
    <row r="24" spans="1:13" ht="43.2">
      <c r="A24" s="8" t="s">
        <v>13</v>
      </c>
      <c r="B24" s="8" t="s">
        <v>133</v>
      </c>
      <c r="C24" s="8" t="s">
        <v>134</v>
      </c>
      <c r="D24" s="8" t="s">
        <v>135</v>
      </c>
      <c r="E24" s="8" t="s">
        <v>136</v>
      </c>
      <c r="F24" s="8" t="s">
        <v>137</v>
      </c>
      <c r="G24" s="8" t="s">
        <v>138</v>
      </c>
      <c r="H24" s="8"/>
      <c r="I24" s="8" t="str">
        <f t="shared" si="0"/>
        <v/>
      </c>
      <c r="J24" s="8">
        <v>10</v>
      </c>
      <c r="K24" s="8" t="str">
        <f t="shared" si="1"/>
        <v/>
      </c>
      <c r="L24" s="8"/>
      <c r="M24" s="8"/>
    </row>
    <row r="25" spans="1:13" ht="28.8">
      <c r="A25" s="8" t="s">
        <v>11</v>
      </c>
      <c r="B25" s="8" t="s">
        <v>16</v>
      </c>
      <c r="C25" s="8" t="s">
        <v>139</v>
      </c>
      <c r="D25" s="8" t="s">
        <v>140</v>
      </c>
      <c r="E25" s="8" t="s">
        <v>141</v>
      </c>
      <c r="F25" s="8" t="s">
        <v>142</v>
      </c>
      <c r="G25" s="8" t="s">
        <v>143</v>
      </c>
      <c r="H25" s="8"/>
      <c r="I25" s="8" t="str">
        <f t="shared" si="0"/>
        <v/>
      </c>
      <c r="J25" s="8">
        <v>8</v>
      </c>
      <c r="K25" s="8" t="str">
        <f t="shared" si="1"/>
        <v/>
      </c>
      <c r="L25" s="8"/>
      <c r="M25" s="8"/>
    </row>
    <row r="26" spans="1:13" ht="43.2">
      <c r="A26" s="8" t="s">
        <v>12</v>
      </c>
      <c r="B26" s="8" t="s">
        <v>20</v>
      </c>
      <c r="C26" s="8" t="s">
        <v>206</v>
      </c>
      <c r="D26" s="8" t="s">
        <v>207</v>
      </c>
      <c r="E26" s="8" t="s">
        <v>208</v>
      </c>
      <c r="F26" s="8" t="s">
        <v>209</v>
      </c>
      <c r="G26" s="8" t="s">
        <v>210</v>
      </c>
      <c r="H26" s="8"/>
      <c r="I26" s="8" t="str">
        <f t="shared" si="0"/>
        <v/>
      </c>
      <c r="J26" s="8">
        <v>12</v>
      </c>
      <c r="K26" s="8" t="str">
        <f t="shared" si="1"/>
        <v/>
      </c>
      <c r="L26" s="8"/>
      <c r="M26" s="8"/>
    </row>
    <row r="27" spans="1:13" ht="43.2">
      <c r="A27" s="8" t="s">
        <v>12</v>
      </c>
      <c r="B27" s="8" t="s">
        <v>211</v>
      </c>
      <c r="C27" s="8" t="s">
        <v>212</v>
      </c>
      <c r="D27" s="8" t="s">
        <v>213</v>
      </c>
      <c r="E27" s="8" t="s">
        <v>214</v>
      </c>
      <c r="F27" s="8" t="s">
        <v>215</v>
      </c>
      <c r="G27" s="8" t="s">
        <v>216</v>
      </c>
      <c r="H27" s="8"/>
      <c r="I27" s="8" t="str">
        <f t="shared" si="0"/>
        <v/>
      </c>
      <c r="J27" s="8">
        <v>12</v>
      </c>
      <c r="K27" s="8" t="str">
        <f t="shared" si="1"/>
        <v/>
      </c>
      <c r="L27" s="8"/>
      <c r="M27" s="8"/>
    </row>
    <row r="28" spans="1:13" ht="43.2">
      <c r="A28" s="8" t="s">
        <v>12</v>
      </c>
      <c r="B28" s="8" t="s">
        <v>152</v>
      </c>
      <c r="C28" s="8" t="s">
        <v>217</v>
      </c>
      <c r="D28" s="8" t="s">
        <v>218</v>
      </c>
      <c r="E28" s="8" t="s">
        <v>219</v>
      </c>
      <c r="F28" s="8" t="s">
        <v>220</v>
      </c>
      <c r="G28" s="8" t="s">
        <v>221</v>
      </c>
      <c r="H28" s="8"/>
      <c r="I28" s="8" t="str">
        <f t="shared" si="0"/>
        <v/>
      </c>
      <c r="J28" s="8">
        <v>12</v>
      </c>
      <c r="K28" s="8" t="str">
        <f t="shared" si="1"/>
        <v/>
      </c>
      <c r="L28" s="8"/>
      <c r="M28" s="8"/>
    </row>
    <row r="29" spans="1:13" ht="43.2">
      <c r="A29" s="8" t="s">
        <v>12</v>
      </c>
      <c r="B29" s="8" t="s">
        <v>199</v>
      </c>
      <c r="C29" s="8" t="s">
        <v>222</v>
      </c>
      <c r="D29" s="8" t="s">
        <v>223</v>
      </c>
      <c r="E29" s="8" t="s">
        <v>224</v>
      </c>
      <c r="F29" s="8" t="s">
        <v>225</v>
      </c>
      <c r="G29" s="8" t="s">
        <v>226</v>
      </c>
      <c r="H29" s="8"/>
      <c r="I29" s="8" t="str">
        <f t="shared" si="0"/>
        <v/>
      </c>
      <c r="J29" s="8">
        <v>10</v>
      </c>
      <c r="K29" s="8" t="str">
        <f t="shared" si="1"/>
        <v/>
      </c>
      <c r="L29" s="8"/>
      <c r="M29" s="8"/>
    </row>
    <row r="30" spans="1:1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</row>
    <row r="31" spans="1:1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</row>
    <row r="32" spans="1:1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</row>
    <row r="33" spans="1:13">
      <c r="A33" s="9" t="s">
        <v>158</v>
      </c>
      <c r="B33" s="9" t="s">
        <v>159</v>
      </c>
      <c r="C33" s="9" t="s">
        <v>160</v>
      </c>
      <c r="D33" s="9" t="s">
        <v>161</v>
      </c>
      <c r="E33" s="9" t="s">
        <v>32</v>
      </c>
      <c r="F33" s="9" t="s">
        <v>162</v>
      </c>
      <c r="G33" s="8"/>
      <c r="H33" s="8"/>
      <c r="I33" s="8"/>
      <c r="J33" s="8"/>
      <c r="K33" s="8"/>
      <c r="L33" s="8"/>
      <c r="M33" s="8"/>
    </row>
    <row r="34" spans="1:13">
      <c r="A34" s="10" t="str">
        <f>IFERROR(SUM(K6:K29)/(SUMIF(I6:I29,"&gt;0",J6:J29)*4)*100,"")</f>
        <v/>
      </c>
      <c r="B34" s="2" t="str">
        <f>IF(A34="","",IF(A34&lt;40,"Early",IF(A34&lt;65,"Emerging",IF(A34&lt;85,"Mature","Fully Mature"))))</f>
        <v/>
      </c>
      <c r="C34" s="11">
        <f>COUNT(I6:I29)</f>
        <v>0</v>
      </c>
      <c r="D34" s="11">
        <f>COUNTA(C6:C29)</f>
        <v>24</v>
      </c>
      <c r="E34" s="11">
        <f>SUM(K6:K29)</f>
        <v>0</v>
      </c>
      <c r="F34" s="11">
        <f>SUMIF(I6:I29,"&gt;0",J6:J29)</f>
        <v>0</v>
      </c>
      <c r="G34" s="8"/>
      <c r="H34" s="8"/>
      <c r="I34" s="8"/>
      <c r="J34" s="8"/>
      <c r="K34" s="8"/>
      <c r="L34" s="8"/>
      <c r="M34" s="8"/>
    </row>
    <row r="35" spans="1:1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</row>
  </sheetData>
  <conditionalFormatting sqref="H6:H29">
    <cfRule type="containsText" dxfId="3" priority="1" operator="containsText" text="Early"/>
    <cfRule type="containsText" dxfId="2" priority="2" operator="containsText" text="Emerging"/>
    <cfRule type="containsText" dxfId="1" priority="3" operator="containsText" text="Mature"/>
    <cfRule type="containsText" dxfId="0" priority="4" operator="containsText" text="Fully Mature"/>
  </conditionalFormatting>
  <conditionalFormatting sqref="I6:I29">
    <cfRule type="colorScale" priority="5">
      <colorScale>
        <cfvo type="min"/>
        <cfvo type="percentile" val="50"/>
        <cfvo type="max"/>
        <color rgb="FFF8CBAD"/>
        <color rgb="FFFFE699"/>
        <color rgb="FFC6E0B4"/>
      </colorScale>
    </cfRule>
  </conditionalFormatting>
  <dataValidations count="1">
    <dataValidation type="list" allowBlank="1" sqref="H6:H29" xr:uid="{ED1D360F-274A-43CF-9424-AC3F60287FB8}">
      <formula1>"Early,Emerging,Mature,Fully Mature"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0A3FF-B901-4948-9929-DCAE29A9B157}">
  <dimension ref="A1:H25"/>
  <sheetViews>
    <sheetView topLeftCell="A24" zoomScale="80" zoomScaleNormal="80" workbookViewId="0">
      <selection activeCell="G25" sqref="G25"/>
    </sheetView>
  </sheetViews>
  <sheetFormatPr defaultColWidth="9" defaultRowHeight="14.4"/>
  <cols>
    <col min="1" max="1" width="30.3984375" style="4" bestFit="1" customWidth="1"/>
    <col min="2" max="5" width="9" style="4"/>
    <col min="6" max="6" width="30.09765625" style="4" bestFit="1" customWidth="1"/>
    <col min="7" max="16384" width="9" style="4"/>
  </cols>
  <sheetData>
    <row r="1" spans="1:8" ht="21">
      <c r="A1" s="1" t="s">
        <v>227</v>
      </c>
      <c r="B1" s="3"/>
      <c r="C1" s="3"/>
      <c r="D1" s="3"/>
      <c r="E1" s="3"/>
      <c r="F1" s="3"/>
      <c r="G1" s="3"/>
      <c r="H1" s="3"/>
    </row>
    <row r="3" spans="1:8" ht="28.8">
      <c r="A3" s="5" t="s">
        <v>3</v>
      </c>
      <c r="B3" s="5" t="s">
        <v>158</v>
      </c>
      <c r="C3" s="5" t="s">
        <v>159</v>
      </c>
      <c r="D3" s="5" t="s">
        <v>228</v>
      </c>
      <c r="E3" s="5" t="s">
        <v>161</v>
      </c>
      <c r="F3" s="5" t="s">
        <v>229</v>
      </c>
      <c r="G3" s="5" t="s">
        <v>230</v>
      </c>
      <c r="H3" s="5" t="s">
        <v>4</v>
      </c>
    </row>
    <row r="4" spans="1:8">
      <c r="A4" s="4" t="s">
        <v>5</v>
      </c>
      <c r="B4" s="6">
        <f>Applications_v2!A32</f>
        <v>25</v>
      </c>
      <c r="C4" s="4" t="str">
        <f>Applications_v2!B32</f>
        <v>Early</v>
      </c>
      <c r="D4" s="4">
        <f>Applications_v2!C32</f>
        <v>1</v>
      </c>
      <c r="E4" s="4">
        <f>Applications_v2!D32</f>
        <v>22</v>
      </c>
      <c r="F4" s="4" t="s">
        <v>231</v>
      </c>
      <c r="G4" s="6">
        <v>80</v>
      </c>
      <c r="H4" s="6">
        <f>IF(B4="","",G4-B4)</f>
        <v>55</v>
      </c>
    </row>
    <row r="5" spans="1:8">
      <c r="A5" s="4" t="s">
        <v>6</v>
      </c>
      <c r="B5" s="6">
        <f>'Huntsville Apps OT_v2'!A35</f>
        <v>75</v>
      </c>
      <c r="C5" s="4" t="str">
        <f>'Huntsville Apps OT_v2'!B35</f>
        <v>Mature</v>
      </c>
      <c r="D5" s="4">
        <f>'Huntsville Apps OT_v2'!C35</f>
        <v>1</v>
      </c>
      <c r="E5" s="4">
        <f>'Huntsville Apps OT_v2'!D35</f>
        <v>25</v>
      </c>
      <c r="F5" s="4" t="s">
        <v>231</v>
      </c>
      <c r="G5" s="6">
        <v>80</v>
      </c>
      <c r="H5" s="6">
        <f>IF(B5="","",G5-B5)</f>
        <v>5</v>
      </c>
    </row>
    <row r="6" spans="1:8">
      <c r="A6" s="4" t="s">
        <v>7</v>
      </c>
      <c r="B6" s="6" t="str">
        <f>'Data AI_v2'!A34</f>
        <v/>
      </c>
      <c r="C6" s="4" t="str">
        <f>'Data AI_v2'!B34</f>
        <v/>
      </c>
      <c r="D6" s="4">
        <f>'Data AI_v2'!C34</f>
        <v>0</v>
      </c>
      <c r="E6" s="4">
        <f>'Data AI_v2'!D34</f>
        <v>24</v>
      </c>
      <c r="F6" s="4" t="s">
        <v>231</v>
      </c>
      <c r="G6" s="6">
        <v>80</v>
      </c>
      <c r="H6" s="6" t="str">
        <f>IF(B6="","",G6-B6)</f>
        <v/>
      </c>
    </row>
    <row r="7" spans="1:8">
      <c r="A7" s="4" t="s">
        <v>8</v>
      </c>
      <c r="B7" s="6" t="str">
        <f>Infrastructure_v2!A34</f>
        <v/>
      </c>
      <c r="C7" s="4" t="str">
        <f>Infrastructure_v2!B34</f>
        <v/>
      </c>
      <c r="D7" s="4">
        <f>Infrastructure_v2!C34</f>
        <v>0</v>
      </c>
      <c r="E7" s="4">
        <f>Infrastructure_v2!D34</f>
        <v>24</v>
      </c>
      <c r="F7" s="4" t="s">
        <v>231</v>
      </c>
      <c r="G7" s="6">
        <v>80</v>
      </c>
      <c r="H7" s="6" t="str">
        <f>IF(B7="","",G7-B7)</f>
        <v/>
      </c>
    </row>
    <row r="10" spans="1:8" ht="28.8">
      <c r="A10" s="5" t="s">
        <v>9</v>
      </c>
      <c r="B10" s="5" t="s">
        <v>5</v>
      </c>
      <c r="C10" s="5" t="s">
        <v>6</v>
      </c>
      <c r="D10" s="5" t="s">
        <v>7</v>
      </c>
      <c r="E10" s="5" t="s">
        <v>8</v>
      </c>
    </row>
    <row r="11" spans="1:8">
      <c r="A11" s="4" t="s">
        <v>10</v>
      </c>
      <c r="B11" s="6" t="str">
        <f>IFERROR(SUMIFS(Applications_v2!$K$6:$K$27,Applications_v2!$A$6:$A$27,$A11)/(SUMIFS(Applications_v2!$J$6:$J$27,Applications_v2!$A$6:$A$27,$A11,Applications_v2!$I$6:$I$27,"&gt;0")*4)*100,"")</f>
        <v/>
      </c>
      <c r="C11" s="6" t="str">
        <f>IFERROR(SUMIFS('Huntsville Apps OT_v2'!$K$6:$K$30,'Huntsville Apps OT_v2'!$A$6:$A$30,$A11)/(SUMIFS('Huntsville Apps OT_v2'!$J$6:$J$30,'Huntsville Apps OT_v2'!$A$6:$A$30,$A11,'Huntsville Apps OT_v2'!$I$6:$I$30,"&gt;0")*4)*100,"")</f>
        <v/>
      </c>
      <c r="D11" s="6" t="str">
        <f>IFERROR(SUMIFS('Data AI_v2'!$K$6:$K$29,'Data AI_v2'!$A$6:$A$29,$A11)/(SUMIFS('Data AI_v2'!$J$6:$J$29,'Data AI_v2'!$A$6:$A$29,$A11,'Data AI_v2'!$I$6:$I$29,"&gt;0")*4)*100,"")</f>
        <v/>
      </c>
      <c r="E11" s="6" t="str">
        <f>IFERROR(SUMIFS(Infrastructure_v2!$K$6:$K$29,Infrastructure_v2!$A$6:$A$29,$A11)/(SUMIFS(Infrastructure_v2!$J$6:$J$29,Infrastructure_v2!$A$6:$A$29,$A11,Infrastructure_v2!$I$6:$I$29,"&gt;0")*4)*100,"")</f>
        <v/>
      </c>
    </row>
    <row r="12" spans="1:8">
      <c r="A12" s="4" t="s">
        <v>11</v>
      </c>
      <c r="B12" s="6" t="str">
        <f>IFERROR(SUMIFS(Applications_v2!$K$6:$K$27,Applications_v2!$A$6:$A$27,$A12)/(SUMIFS(Applications_v2!$J$6:$J$27,Applications_v2!$A$6:$A$27,$A12,Applications_v2!$I$6:$I$27,"&gt;0")*4)*100,"")</f>
        <v/>
      </c>
      <c r="C12" s="6" t="str">
        <f>IFERROR(SUMIFS('Huntsville Apps OT_v2'!$K$6:$K$30,'Huntsville Apps OT_v2'!$A$6:$A$30,$A12)/(SUMIFS('Huntsville Apps OT_v2'!$J$6:$J$30,'Huntsville Apps OT_v2'!$A$6:$A$30,$A12,'Huntsville Apps OT_v2'!$I$6:$I$30,"&gt;0")*4)*100,"")</f>
        <v/>
      </c>
      <c r="D12" s="6" t="str">
        <f>IFERROR(SUMIFS('Data AI_v2'!$K$6:$K$29,'Data AI_v2'!$A$6:$A$29,$A12)/(SUMIFS('Data AI_v2'!$J$6:$J$29,'Data AI_v2'!$A$6:$A$29,$A12,'Data AI_v2'!$I$6:$I$29,"&gt;0")*4)*100,"")</f>
        <v/>
      </c>
      <c r="E12" s="6" t="str">
        <f>IFERROR(SUMIFS(Infrastructure_v2!$K$6:$K$29,Infrastructure_v2!$A$6:$A$29,$A12)/(SUMIFS(Infrastructure_v2!$J$6:$J$29,Infrastructure_v2!$A$6:$A$29,$A12,Infrastructure_v2!$I$6:$I$29,"&gt;0")*4)*100,"")</f>
        <v/>
      </c>
    </row>
    <row r="13" spans="1:8">
      <c r="A13" s="4" t="s">
        <v>182</v>
      </c>
      <c r="B13" s="6" t="str">
        <f>IFERROR(SUMIFS(Applications_v2!$K$6:$K$27,Applications_v2!$A$6:$A$27,$A13)/(SUMIFS(Applications_v2!$J$6:$J$27,Applications_v2!$A$6:$A$27,$A13,Applications_v2!$I$6:$I$27,"&gt;0")*4)*100,"")</f>
        <v/>
      </c>
      <c r="C13" s="6" t="str">
        <f>IFERROR(SUMIFS('Huntsville Apps OT_v2'!$K$6:$K$30,'Huntsville Apps OT_v2'!$A$6:$A$30,$A13)/(SUMIFS('Huntsville Apps OT_v2'!$J$6:$J$30,'Huntsville Apps OT_v2'!$A$6:$A$30,$A13,'Huntsville Apps OT_v2'!$I$6:$I$30,"&gt;0")*4)*100,"")</f>
        <v/>
      </c>
      <c r="D13" s="6" t="str">
        <f>IFERROR(SUMIFS('Data AI_v2'!$K$6:$K$29,'Data AI_v2'!$A$6:$A$29,$A13)/(SUMIFS('Data AI_v2'!$J$6:$J$29,'Data AI_v2'!$A$6:$A$29,$A13,'Data AI_v2'!$I$6:$I$29,"&gt;0")*4)*100,"")</f>
        <v/>
      </c>
      <c r="E13" s="6" t="str">
        <f>IFERROR(SUMIFS(Infrastructure_v2!$K$6:$K$29,Infrastructure_v2!$A$6:$A$29,$A13)/(SUMIFS(Infrastructure_v2!$J$6:$J$29,Infrastructure_v2!$A$6:$A$29,$A13,Infrastructure_v2!$I$6:$I$29,"&gt;0")*4)*100,"")</f>
        <v/>
      </c>
    </row>
    <row r="14" spans="1:8">
      <c r="A14" s="4" t="s">
        <v>35</v>
      </c>
      <c r="B14" s="6">
        <f>IFERROR(SUMIFS(Applications_v2!$K$6:$K$27,Applications_v2!$A$6:$A$27,$A14)/(SUMIFS(Applications_v2!$J$6:$J$27,Applications_v2!$A$6:$A$27,$A14,Applications_v2!$I$6:$I$27,"&gt;0")*4)*100,"")</f>
        <v>25</v>
      </c>
      <c r="C14" s="6">
        <f>IFERROR(SUMIFS('Huntsville Apps OT_v2'!$K$6:$K$30,'Huntsville Apps OT_v2'!$A$6:$A$30,$A14)/(SUMIFS('Huntsville Apps OT_v2'!$J$6:$J$30,'Huntsville Apps OT_v2'!$A$6:$A$30,$A14,'Huntsville Apps OT_v2'!$I$6:$I$30,"&gt;0")*4)*100,"")</f>
        <v>75</v>
      </c>
      <c r="D14" s="6" t="str">
        <f>IFERROR(SUMIFS('Data AI_v2'!$K$6:$K$29,'Data AI_v2'!$A$6:$A$29,$A14)/(SUMIFS('Data AI_v2'!$J$6:$J$29,'Data AI_v2'!$A$6:$A$29,$A14,'Data AI_v2'!$I$6:$I$29,"&gt;0")*4)*100,"")</f>
        <v/>
      </c>
      <c r="E14" s="6" t="str">
        <f>IFERROR(SUMIFS(Infrastructure_v2!$K$6:$K$29,Infrastructure_v2!$A$6:$A$29,$A14)/(SUMIFS(Infrastructure_v2!$J$6:$J$29,Infrastructure_v2!$A$6:$A$29,$A14,Infrastructure_v2!$I$6:$I$29,"&gt;0")*4)*100,"")</f>
        <v/>
      </c>
    </row>
    <row r="15" spans="1:8">
      <c r="A15" s="4" t="s">
        <v>12</v>
      </c>
      <c r="B15" s="6" t="str">
        <f>IFERROR(SUMIFS(Applications_v2!$K$6:$K$27,Applications_v2!$A$6:$A$27,$A15)/(SUMIFS(Applications_v2!$J$6:$J$27,Applications_v2!$A$6:$A$27,$A15,Applications_v2!$I$6:$I$27,"&gt;0")*4)*100,"")</f>
        <v/>
      </c>
      <c r="C15" s="6" t="str">
        <f>IFERROR(SUMIFS('Huntsville Apps OT_v2'!$K$6:$K$30,'Huntsville Apps OT_v2'!$A$6:$A$30,$A15)/(SUMIFS('Huntsville Apps OT_v2'!$J$6:$J$30,'Huntsville Apps OT_v2'!$A$6:$A$30,$A15,'Huntsville Apps OT_v2'!$I$6:$I$30,"&gt;0")*4)*100,"")</f>
        <v/>
      </c>
      <c r="D15" s="6" t="str">
        <f>IFERROR(SUMIFS('Data AI_v2'!$K$6:$K$29,'Data AI_v2'!$A$6:$A$29,$A15)/(SUMIFS('Data AI_v2'!$J$6:$J$29,'Data AI_v2'!$A$6:$A$29,$A15,'Data AI_v2'!$I$6:$I$29,"&gt;0")*4)*100,"")</f>
        <v/>
      </c>
      <c r="E15" s="6" t="str">
        <f>IFERROR(SUMIFS(Infrastructure_v2!$K$6:$K$29,Infrastructure_v2!$A$6:$A$29,$A15)/(SUMIFS(Infrastructure_v2!$J$6:$J$29,Infrastructure_v2!$A$6:$A$29,$A15,Infrastructure_v2!$I$6:$I$29,"&gt;0")*4)*100,"")</f>
        <v/>
      </c>
    </row>
    <row r="16" spans="1:8">
      <c r="A16" s="4" t="s">
        <v>151</v>
      </c>
      <c r="B16" s="6" t="str">
        <f>IFERROR(SUMIFS(Applications_v2!$K$6:$K$27,Applications_v2!$A$6:$A$27,$A16)/(SUMIFS(Applications_v2!$J$6:$J$27,Applications_v2!$A$6:$A$27,$A16,Applications_v2!$I$6:$I$27,"&gt;0")*4)*100,"")</f>
        <v/>
      </c>
      <c r="C16" s="6" t="str">
        <f>IFERROR(SUMIFS('Huntsville Apps OT_v2'!$K$6:$K$30,'Huntsville Apps OT_v2'!$A$6:$A$30,$A16)/(SUMIFS('Huntsville Apps OT_v2'!$J$6:$J$30,'Huntsville Apps OT_v2'!$A$6:$A$30,$A16,'Huntsville Apps OT_v2'!$I$6:$I$30,"&gt;0")*4)*100,"")</f>
        <v/>
      </c>
      <c r="D16" s="6" t="str">
        <f>IFERROR(SUMIFS('Data AI_v2'!$K$6:$K$29,'Data AI_v2'!$A$6:$A$29,$A16)/(SUMIFS('Data AI_v2'!$J$6:$J$29,'Data AI_v2'!$A$6:$A$29,$A16,'Data AI_v2'!$I$6:$I$29,"&gt;0")*4)*100,"")</f>
        <v/>
      </c>
      <c r="E16" s="6" t="str">
        <f>IFERROR(SUMIFS(Infrastructure_v2!$K$6:$K$29,Infrastructure_v2!$A$6:$A$29,$A16)/(SUMIFS(Infrastructure_v2!$J$6:$J$29,Infrastructure_v2!$A$6:$A$29,$A16,Infrastructure_v2!$I$6:$I$29,"&gt;0")*4)*100,"")</f>
        <v/>
      </c>
    </row>
    <row r="17" spans="1:5">
      <c r="A17" s="4" t="s">
        <v>13</v>
      </c>
      <c r="B17" s="6" t="str">
        <f>IFERROR(SUMIFS(Applications_v2!$K$6:$K$27,Applications_v2!$A$6:$A$27,$A17)/(SUMIFS(Applications_v2!$J$6:$J$27,Applications_v2!$A$6:$A$27,$A17,Applications_v2!$I$6:$I$27,"&gt;0")*4)*100,"")</f>
        <v/>
      </c>
      <c r="C17" s="6" t="str">
        <f>IFERROR(SUMIFS('Huntsville Apps OT_v2'!$K$6:$K$30,'Huntsville Apps OT_v2'!$A$6:$A$30,$A17)/(SUMIFS('Huntsville Apps OT_v2'!$J$6:$J$30,'Huntsville Apps OT_v2'!$A$6:$A$30,$A17,'Huntsville Apps OT_v2'!$I$6:$I$30,"&gt;0")*4)*100,"")</f>
        <v/>
      </c>
      <c r="D17" s="6" t="str">
        <f>IFERROR(SUMIFS('Data AI_v2'!$K$6:$K$29,'Data AI_v2'!$A$6:$A$29,$A17)/(SUMIFS('Data AI_v2'!$J$6:$J$29,'Data AI_v2'!$A$6:$A$29,$A17,'Data AI_v2'!$I$6:$I$29,"&gt;0")*4)*100,"")</f>
        <v/>
      </c>
      <c r="E17" s="6" t="str">
        <f>IFERROR(SUMIFS(Infrastructure_v2!$K$6:$K$29,Infrastructure_v2!$A$6:$A$29,$A17)/(SUMIFS(Infrastructure_v2!$J$6:$J$29,Infrastructure_v2!$A$6:$A$29,$A17,Infrastructure_v2!$I$6:$I$29,"&gt;0")*4)*100,"")</f>
        <v/>
      </c>
    </row>
    <row r="18" spans="1:5">
      <c r="A18" s="4" t="s">
        <v>164</v>
      </c>
      <c r="B18" s="6" t="str">
        <f>IFERROR(SUMIFS(Applications_v2!$K$6:$K$27,Applications_v2!$A$6:$A$27,$A18)/(SUMIFS(Applications_v2!$J$6:$J$27,Applications_v2!$A$6:$A$27,$A18,Applications_v2!$I$6:$I$27,"&gt;0")*4)*100,"")</f>
        <v/>
      </c>
      <c r="C18" s="6" t="str">
        <f>IFERROR(SUMIFS('Huntsville Apps OT_v2'!$K$6:$K$30,'Huntsville Apps OT_v2'!$A$6:$A$30,$A18)/(SUMIFS('Huntsville Apps OT_v2'!$J$6:$J$30,'Huntsville Apps OT_v2'!$A$6:$A$30,$A18,'Huntsville Apps OT_v2'!$I$6:$I$30,"&gt;0")*4)*100,"")</f>
        <v/>
      </c>
      <c r="D18" s="6" t="str">
        <f>IFERROR(SUMIFS('Data AI_v2'!$K$6:$K$29,'Data AI_v2'!$A$6:$A$29,$A18)/(SUMIFS('Data AI_v2'!$J$6:$J$29,'Data AI_v2'!$A$6:$A$29,$A18,'Data AI_v2'!$I$6:$I$29,"&gt;0")*4)*100,"")</f>
        <v/>
      </c>
      <c r="E18" s="6" t="str">
        <f>IFERROR(SUMIFS(Infrastructure_v2!$K$6:$K$29,Infrastructure_v2!$A$6:$A$29,$A18)/(SUMIFS(Infrastructure_v2!$J$6:$J$29,Infrastructure_v2!$A$6:$A$29,$A18,Infrastructure_v2!$I$6:$I$29,"&gt;0")*4)*100,"")</f>
        <v/>
      </c>
    </row>
    <row r="19" spans="1:5">
      <c r="A19" s="4" t="s">
        <v>14</v>
      </c>
      <c r="B19" s="6" t="str">
        <f>IFERROR(SUMIFS(Applications_v2!$K$6:$K$27,Applications_v2!$A$6:$A$27,$A19)/(SUMIFS(Applications_v2!$J$6:$J$27,Applications_v2!$A$6:$A$27,$A19,Applications_v2!$I$6:$I$27,"&gt;0")*4)*100,"")</f>
        <v/>
      </c>
      <c r="C19" s="6" t="str">
        <f>IFERROR(SUMIFS('Huntsville Apps OT_v2'!$K$6:$K$30,'Huntsville Apps OT_v2'!$A$6:$A$30,$A19)/(SUMIFS('Huntsville Apps OT_v2'!$J$6:$J$30,'Huntsville Apps OT_v2'!$A$6:$A$30,$A19,'Huntsville Apps OT_v2'!$I$6:$I$30,"&gt;0")*4)*100,"")</f>
        <v/>
      </c>
      <c r="D19" s="6" t="str">
        <f>IFERROR(SUMIFS('Data AI_v2'!$K$6:$K$29,'Data AI_v2'!$A$6:$A$29,$A19)/(SUMIFS('Data AI_v2'!$J$6:$J$29,'Data AI_v2'!$A$6:$A$29,$A19,'Data AI_v2'!$I$6:$I$29,"&gt;0")*4)*100,"")</f>
        <v/>
      </c>
      <c r="E19" s="6" t="str">
        <f>IFERROR(SUMIFS(Infrastructure_v2!$K$6:$K$29,Infrastructure_v2!$A$6:$A$29,$A19)/(SUMIFS(Infrastructure_v2!$J$6:$J$29,Infrastructure_v2!$A$6:$A$29,$A19,Infrastructure_v2!$I$6:$I$29,"&gt;0")*4)*100,"")</f>
        <v/>
      </c>
    </row>
    <row r="20" spans="1:5">
      <c r="A20" s="4" t="s">
        <v>111</v>
      </c>
      <c r="B20" s="6" t="str">
        <f>IFERROR(SUMIFS(Applications_v2!$K$6:$K$27,Applications_v2!$A$6:$A$27,$A20)/(SUMIFS(Applications_v2!$J$6:$J$27,Applications_v2!$A$6:$A$27,$A20,Applications_v2!$I$6:$I$27,"&gt;0")*4)*100,"")</f>
        <v/>
      </c>
      <c r="C20" s="6" t="str">
        <f>IFERROR(SUMIFS('Huntsville Apps OT_v2'!$K$6:$K$30,'Huntsville Apps OT_v2'!$A$6:$A$30,$A20)/(SUMIFS('Huntsville Apps OT_v2'!$J$6:$J$30,'Huntsville Apps OT_v2'!$A$6:$A$30,$A20,'Huntsville Apps OT_v2'!$I$6:$I$30,"&gt;0")*4)*100,"")</f>
        <v/>
      </c>
      <c r="D20" s="6" t="str">
        <f>IFERROR(SUMIFS('Data AI_v2'!$K$6:$K$29,'Data AI_v2'!$A$6:$A$29,$A20)/(SUMIFS('Data AI_v2'!$J$6:$J$29,'Data AI_v2'!$A$6:$A$29,$A20,'Data AI_v2'!$I$6:$I$29,"&gt;0")*4)*100,"")</f>
        <v/>
      </c>
      <c r="E20" s="6" t="str">
        <f>IFERROR(SUMIFS(Infrastructure_v2!$K$6:$K$29,Infrastructure_v2!$A$6:$A$29,$A20)/(SUMIFS(Infrastructure_v2!$J$6:$J$29,Infrastructure_v2!$A$6:$A$29,$A20,Infrastructure_v2!$I$6:$I$29,"&gt;0")*4)*100,"")</f>
        <v/>
      </c>
    </row>
    <row r="21" spans="1:5">
      <c r="A21" s="4" t="s">
        <v>41</v>
      </c>
      <c r="B21" s="6" t="str">
        <f>IFERROR(SUMIFS(Applications_v2!$K$6:$K$27,Applications_v2!$A$6:$A$27,$A21)/(SUMIFS(Applications_v2!$J$6:$J$27,Applications_v2!$A$6:$A$27,$A21,Applications_v2!$I$6:$I$27,"&gt;0")*4)*100,"")</f>
        <v/>
      </c>
      <c r="C21" s="6" t="str">
        <f>IFERROR(SUMIFS('Huntsville Apps OT_v2'!$K$6:$K$30,'Huntsville Apps OT_v2'!$A$6:$A$30,$A21)/(SUMIFS('Huntsville Apps OT_v2'!$J$6:$J$30,'Huntsville Apps OT_v2'!$A$6:$A$30,$A21,'Huntsville Apps OT_v2'!$I$6:$I$30,"&gt;0")*4)*100,"")</f>
        <v/>
      </c>
      <c r="D21" s="6" t="str">
        <f>IFERROR(SUMIFS('Data AI_v2'!$K$6:$K$29,'Data AI_v2'!$A$6:$A$29,$A21)/(SUMIFS('Data AI_v2'!$J$6:$J$29,'Data AI_v2'!$A$6:$A$29,$A21,'Data AI_v2'!$I$6:$I$29,"&gt;0")*4)*100,"")</f>
        <v/>
      </c>
      <c r="E21" s="6" t="str">
        <f>IFERROR(SUMIFS(Infrastructure_v2!$K$6:$K$29,Infrastructure_v2!$A$6:$A$29,$A21)/(SUMIFS(Infrastructure_v2!$J$6:$J$29,Infrastructure_v2!$A$6:$A$29,$A21,Infrastructure_v2!$I$6:$I$29,"&gt;0")*4)*100,"")</f>
        <v/>
      </c>
    </row>
    <row r="22" spans="1:5">
      <c r="A22" s="4" t="s">
        <v>73</v>
      </c>
      <c r="B22" s="6" t="str">
        <f>IFERROR(SUMIFS(Applications_v2!$K$6:$K$27,Applications_v2!$A$6:$A$27,$A22)/(SUMIFS(Applications_v2!$J$6:$J$27,Applications_v2!$A$6:$A$27,$A22,Applications_v2!$I$6:$I$27,"&gt;0")*4)*100,"")</f>
        <v/>
      </c>
      <c r="C22" s="6" t="str">
        <f>IFERROR(SUMIFS('Huntsville Apps OT_v2'!$K$6:$K$30,'Huntsville Apps OT_v2'!$A$6:$A$30,$A22)/(SUMIFS('Huntsville Apps OT_v2'!$J$6:$J$30,'Huntsville Apps OT_v2'!$A$6:$A$30,$A22,'Huntsville Apps OT_v2'!$I$6:$I$30,"&gt;0")*4)*100,"")</f>
        <v/>
      </c>
      <c r="D22" s="6" t="str">
        <f>IFERROR(SUMIFS('Data AI_v2'!$K$6:$K$29,'Data AI_v2'!$A$6:$A$29,$A22)/(SUMIFS('Data AI_v2'!$J$6:$J$29,'Data AI_v2'!$A$6:$A$29,$A22,'Data AI_v2'!$I$6:$I$29,"&gt;0")*4)*100,"")</f>
        <v/>
      </c>
      <c r="E22" s="6" t="str">
        <f>IFERROR(SUMIFS(Infrastructure_v2!$K$6:$K$29,Infrastructure_v2!$A$6:$A$29,$A22)/(SUMIFS(Infrastructure_v2!$J$6:$J$29,Infrastructure_v2!$A$6:$A$29,$A22,Infrastructure_v2!$I$6:$I$29,"&gt;0")*4)*100,"")</f>
        <v/>
      </c>
    </row>
    <row r="23" spans="1:5">
      <c r="A23" s="4" t="s">
        <v>15</v>
      </c>
      <c r="B23" s="6" t="str">
        <f>IFERROR(SUMIFS(Applications_v2!$K$6:$K$27,Applications_v2!$A$6:$A$27,$A23)/(SUMIFS(Applications_v2!$J$6:$J$27,Applications_v2!$A$6:$A$27,$A23,Applications_v2!$I$6:$I$27,"&gt;0")*4)*100,"")</f>
        <v/>
      </c>
      <c r="C23" s="6" t="str">
        <f>IFERROR(SUMIFS('Huntsville Apps OT_v2'!$K$6:$K$30,'Huntsville Apps OT_v2'!$A$6:$A$30,$A23)/(SUMIFS('Huntsville Apps OT_v2'!$J$6:$J$30,'Huntsville Apps OT_v2'!$A$6:$A$30,$A23,'Huntsville Apps OT_v2'!$I$6:$I$30,"&gt;0")*4)*100,"")</f>
        <v/>
      </c>
      <c r="D23" s="6" t="str">
        <f>IFERROR(SUMIFS('Data AI_v2'!$K$6:$K$29,'Data AI_v2'!$A$6:$A$29,$A23)/(SUMIFS('Data AI_v2'!$J$6:$J$29,'Data AI_v2'!$A$6:$A$29,$A23,'Data AI_v2'!$I$6:$I$29,"&gt;0")*4)*100,"")</f>
        <v/>
      </c>
      <c r="E23" s="6" t="str">
        <f>IFERROR(SUMIFS(Infrastructure_v2!$K$6:$K$29,Infrastructure_v2!$A$6:$A$29,$A23)/(SUMIFS(Infrastructure_v2!$J$6:$J$29,Infrastructure_v2!$A$6:$A$29,$A23,Infrastructure_v2!$I$6:$I$29,"&gt;0")*4)*100,"")</f>
        <v/>
      </c>
    </row>
    <row r="24" spans="1:5">
      <c r="A24" s="4" t="s">
        <v>94</v>
      </c>
      <c r="B24" s="6" t="str">
        <f>IFERROR(SUMIFS(Applications_v2!$K$6:$K$27,Applications_v2!$A$6:$A$27,$A24)/(SUMIFS(Applications_v2!$J$6:$J$27,Applications_v2!$A$6:$A$27,$A24,Applications_v2!$I$6:$I$27,"&gt;0")*4)*100,"")</f>
        <v/>
      </c>
      <c r="C24" s="6" t="str">
        <f>IFERROR(SUMIFS('Huntsville Apps OT_v2'!$K$6:$K$30,'Huntsville Apps OT_v2'!$A$6:$A$30,$A24)/(SUMIFS('Huntsville Apps OT_v2'!$J$6:$J$30,'Huntsville Apps OT_v2'!$A$6:$A$30,$A24,'Huntsville Apps OT_v2'!$I$6:$I$30,"&gt;0")*4)*100,"")</f>
        <v/>
      </c>
      <c r="D24" s="6" t="str">
        <f>IFERROR(SUMIFS('Data AI_v2'!$K$6:$K$29,'Data AI_v2'!$A$6:$A$29,$A24)/(SUMIFS('Data AI_v2'!$J$6:$J$29,'Data AI_v2'!$A$6:$A$29,$A24,'Data AI_v2'!$I$6:$I$29,"&gt;0")*4)*100,"")</f>
        <v/>
      </c>
      <c r="E24" s="6" t="str">
        <f>IFERROR(SUMIFS(Infrastructure_v2!$K$6:$K$29,Infrastructure_v2!$A$6:$A$29,$A24)/(SUMIFS(Infrastructure_v2!$J$6:$J$29,Infrastructure_v2!$A$6:$A$29,$A24,Infrastructure_v2!$I$6:$I$29,"&gt;0")*4)*100,"")</f>
        <v/>
      </c>
    </row>
    <row r="25" spans="1:5">
      <c r="A25" s="4" t="s">
        <v>144</v>
      </c>
      <c r="B25" s="6" t="str">
        <f>IFERROR(SUMIFS(Applications_v2!$K$6:$K$27,Applications_v2!$A$6:$A$27,$A25)/(SUMIFS(Applications_v2!$J$6:$J$27,Applications_v2!$A$6:$A$27,$A25,Applications_v2!$I$6:$I$27,"&gt;0")*4)*100,"")</f>
        <v/>
      </c>
      <c r="C25" s="6" t="str">
        <f>IFERROR(SUMIFS('Huntsville Apps OT_v2'!$K$6:$K$30,'Huntsville Apps OT_v2'!$A$6:$A$30,$A25)/(SUMIFS('Huntsville Apps OT_v2'!$J$6:$J$30,'Huntsville Apps OT_v2'!$A$6:$A$30,$A25,'Huntsville Apps OT_v2'!$I$6:$I$30,"&gt;0")*4)*100,"")</f>
        <v/>
      </c>
      <c r="D25" s="6" t="str">
        <f>IFERROR(SUMIFS('Data AI_v2'!$K$6:$K$29,'Data AI_v2'!$A$6:$A$29,$A25)/(SUMIFS('Data AI_v2'!$J$6:$J$29,'Data AI_v2'!$A$6:$A$29,$A25,'Data AI_v2'!$I$6:$I$29,"&gt;0")*4)*100,"")</f>
        <v/>
      </c>
      <c r="E25" s="6" t="str">
        <f>IFERROR(SUMIFS(Infrastructure_v2!$K$6:$K$29,Infrastructure_v2!$A$6:$A$29,$A25)/(SUMIFS(Infrastructure_v2!$J$6:$J$29,Infrastructure_v2!$A$6:$A$29,$A25,Infrastructure_v2!$I$6:$I$29,"&gt;0")*4)*100,"")</f>
        <v/>
      </c>
    </row>
  </sheetData>
  <conditionalFormatting sqref="B4:B7">
    <cfRule type="colorScale" priority="1">
      <colorScale>
        <cfvo type="min"/>
        <cfvo type="percentile" val="50"/>
        <cfvo type="max"/>
        <color rgb="FFF8CBAD"/>
        <color rgb="FFFFE699"/>
        <color rgb="FFC6E0B4"/>
      </colorScale>
    </cfRule>
  </conditionalFormatting>
  <conditionalFormatting sqref="B11:E25">
    <cfRule type="colorScale" priority="2">
      <colorScale>
        <cfvo type="min"/>
        <cfvo type="percentile" val="50"/>
        <cfvo type="max"/>
        <color rgb="FFF8CBAD"/>
        <color rgb="FFFFE699"/>
        <color rgb="FFC6E0B4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Applications_v2</vt:lpstr>
      <vt:lpstr>Huntsville Apps OT_v2</vt:lpstr>
      <vt:lpstr>Data AI_v2</vt:lpstr>
      <vt:lpstr>Infrastructure_v2</vt:lpstr>
      <vt:lpstr>Executive Dashboard_v2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Prasanna Raghavendran</dc:creator>
  <cp:lastModifiedBy>A Vishnuu</cp:lastModifiedBy>
  <dcterms:created xsi:type="dcterms:W3CDTF">2026-06-11T19:25:15Z</dcterms:created>
  <dcterms:modified xsi:type="dcterms:W3CDTF">2026-06-12T17:47:14Z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c655256-13e9-4c0b-ba73-c54361842301_Enabled">
    <vt:lpwstr>true</vt:lpwstr>
  </property>
  <property fmtid="{D5CDD505-2E9C-101B-9397-08002B2CF9AE}" pid="3" name="MSIP_Label_ec655256-13e9-4c0b-ba73-c54361842301_SetDate">
    <vt:lpwstr>2026-06-11T18:08:15Z</vt:lpwstr>
  </property>
  <property fmtid="{D5CDD505-2E9C-101B-9397-08002B2CF9AE}" pid="4" name="MSIP_Label_ec655256-13e9-4c0b-ba73-c54361842301_Method">
    <vt:lpwstr>Privileged</vt:lpwstr>
  </property>
  <property fmtid="{D5CDD505-2E9C-101B-9397-08002B2CF9AE}" pid="5" name="MSIP_Label_ec655256-13e9-4c0b-ba73-c54361842301_Name">
    <vt:lpwstr>Public</vt:lpwstr>
  </property>
  <property fmtid="{D5CDD505-2E9C-101B-9397-08002B2CF9AE}" pid="6" name="MSIP_Label_ec655256-13e9-4c0b-ba73-c54361842301_SiteId">
    <vt:lpwstr>edf442f5-b994-4c86-a131-b42b03a16c95</vt:lpwstr>
  </property>
  <property fmtid="{D5CDD505-2E9C-101B-9397-08002B2CF9AE}" pid="7" name="MSIP_Label_ec655256-13e9-4c0b-ba73-c54361842301_ActionId">
    <vt:lpwstr>bcff5b8f-c265-40c7-aa99-540fec08589d</vt:lpwstr>
  </property>
  <property fmtid="{D5CDD505-2E9C-101B-9397-08002B2CF9AE}" pid="8" name="MSIP_Label_ec655256-13e9-4c0b-ba73-c54361842301_ContentBits">
    <vt:lpwstr>0</vt:lpwstr>
  </property>
  <property fmtid="{D5CDD505-2E9C-101B-9397-08002B2CF9AE}" pid="9" name="MSIP_Label_ec655256-13e9-4c0b-ba73-c54361842301_Tag">
    <vt:lpwstr>10, 0, 1, 1</vt:lpwstr>
  </property>
</Properties>
</file>