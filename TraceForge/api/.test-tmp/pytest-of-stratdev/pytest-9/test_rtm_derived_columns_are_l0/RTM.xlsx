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Scrip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Gaps" sheetId="5" state="visible" r:id="rId5"/>
    <sheet xmlns:r="http://schemas.openxmlformats.org/officeDocument/2006/relationships" name="Audit" sheetId="6" state="visible" r:id="rId6"/>
  </sheets>
  <definedNames>
    <definedName name="_xlnm._FilterDatabase" localSheetId="0" hidden="1">'RTM'!$A$1:$Q$1</definedName>
    <definedName name="_xlnm._FilterDatabase" localSheetId="1" hidden="1">'TestCases'!$A$1:$H$1</definedName>
    <definedName name="_xlnm._FilterDatabase" localSheetId="2" hidden="1">'Scripts'!$A$1:$G$1</definedName>
    <definedName name="_xlnm._FilterDatabase" localSheetId="5" hidden="1">'Audit'!$A$1:$F$1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equirements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8" customWidth="1" min="4" max="4"/>
    <col width="16" customWidth="1" min="5" max="5"/>
    <col width="10" customWidth="1" min="6" max="6"/>
    <col width="30" customWidth="1" min="7" max="7"/>
    <col width="40" customWidth="1" min="8" max="8"/>
    <col width="28" customWidth="1" min="9" max="9"/>
    <col width="2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6" customWidth="1" min="16" max="16"/>
    <col width="24" customWidth="1" min="17" max="17"/>
  </cols>
  <sheetData>
    <row r="1">
      <c r="A1" s="1" t="inlineStr">
        <is>
          <t>REQ-ID</t>
        </is>
      </c>
      <c r="B1" s="1" t="inlineStr">
        <is>
          <t>Level</t>
        </is>
      </c>
      <c r="C1" s="1" t="inlineStr">
        <is>
          <t>Statement</t>
        </is>
      </c>
      <c r="D1" s="1" t="inlineStr">
        <is>
          <t>Priority</t>
        </is>
      </c>
      <c r="E1" s="1" t="inlineStr">
        <is>
          <t>EARS Pattern</t>
        </is>
      </c>
      <c r="F1" s="1" t="inlineStr">
        <is>
          <t>Ambiguity Score</t>
        </is>
      </c>
      <c r="G1" s="1" t="inlineStr">
        <is>
          <t>Source Document(s)</t>
        </is>
      </c>
      <c r="H1" s="1" t="inlineStr">
        <is>
          <t>Source Locator(s)</t>
        </is>
      </c>
      <c r="I1" s="1" t="inlineStr">
        <is>
          <t>BRD Section</t>
        </is>
      </c>
      <c r="J1" s="1" t="inlineStr">
        <is>
          <t>Test Case IDs</t>
        </is>
      </c>
      <c r="K1" s="1" t="inlineStr">
        <is>
          <t>Test Count</t>
        </is>
      </c>
      <c r="L1" s="1" t="inlineStr">
        <is>
          <t>Positive Count</t>
        </is>
      </c>
      <c r="M1" s="1" t="inlineStr">
        <is>
          <t>Negative Count</t>
        </is>
      </c>
      <c r="N1" s="1" t="inlineStr">
        <is>
          <t>Script IDs</t>
        </is>
      </c>
      <c r="O1" s="1" t="inlineStr">
        <is>
          <t>Script Count</t>
        </is>
      </c>
      <c r="P1" s="1" t="inlineStr">
        <is>
          <t>Coverage Status</t>
        </is>
      </c>
      <c r="Q1" s="1" t="inlineStr">
        <is>
          <t>Approval Status</t>
        </is>
      </c>
    </row>
    <row r="2">
      <c r="A2" t="inlineStr">
        <is>
          <t>REQ-6b5c83</t>
        </is>
      </c>
      <c r="B2" t="inlineStr">
        <is>
          <t>FUNCTIONAL</t>
        </is>
      </c>
      <c r="C2" t="inlineStr">
        <is>
          <t>The system shall do X.</t>
        </is>
      </c>
      <c r="D2" t="inlineStr">
        <is>
          <t>SHOULD</t>
        </is>
      </c>
      <c r="E2" t="inlineStr">
        <is>
          <t>UBIQUITOUS</t>
        </is>
      </c>
      <c r="F2" t="n">
        <v>0.1</v>
      </c>
      <c r="G2" t="inlineStr">
        <is>
          <t>t.docx</t>
        </is>
      </c>
      <c r="H2" t="inlineStr">
        <is>
          <t>t.docx: shall do X....</t>
        </is>
      </c>
      <c r="I2" t="inlineStr">
        <is>
          <t>5. Functional Requirements</t>
        </is>
      </c>
      <c r="J2">
        <f>TEXTJOIN(", ",TRUE,IF(TestCases!$B$2:$B$5000=A2,TestCases!$A$2:$A$5000,""))</f>
        <v/>
      </c>
      <c r="K2">
        <f>IF(J2="",0,COUNTIF(TestCases!$B$2:$B$5000,A2))</f>
        <v/>
      </c>
      <c r="L2">
        <f>COUNTIFS(TestCases!$B$2:$B$5000,A2,TestCases!$C$2:$C$5000,"POSITIVE")</f>
        <v/>
      </c>
      <c r="M2">
        <f>COUNTIFS(TestCases!$B$2:$B$5000,A2,TestCases!$C$2:$C$5000,"NEGATIVE")</f>
        <v/>
      </c>
      <c r="N2">
        <f>TEXTJOIN(", ",TRUE,IF(Scripts!$C$2:$C$5000=A2,Scripts!$A$2:$A$5000,""))</f>
        <v/>
      </c>
      <c r="O2">
        <f>IF(N2="",0,COUNTIF(Scripts!$C$2:$C$5000,A2))</f>
        <v/>
      </c>
      <c r="P2">
        <f>IF(K2=0,"NO TESTS",IF(M2=0,"NO NEGATIVE",IF(O2=0,"NOT AUTOMATED","COVERED")))</f>
        <v/>
      </c>
      <c r="Q2" t="inlineStr">
        <is>
          <t>APPROVED</t>
        </is>
      </c>
    </row>
  </sheetData>
  <autoFilter ref="A1:Q1"/>
  <conditionalFormatting sqref="F2">
    <cfRule type="cellIs" priority="1" operator="lessThan" dxfId="0">
      <formula>0.2</formula>
    </cfRule>
    <cfRule type="cellIs" priority="2" operator="between" dxfId="1">
      <formula>0.2</formula>
      <formula>0.4</formula>
    </cfRule>
    <cfRule type="cellIs" priority="3" operator="greaterThan" dxfId="2">
      <formula>0.4</formula>
    </cfRule>
  </conditionalFormatting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8" customWidth="1" min="5" max="5"/>
    <col width="50" customWidth="1" min="6" max="6"/>
    <col width="12" customWidth="1" min="7" max="7"/>
    <col width="14" customWidth="1" min="8" max="8"/>
  </cols>
  <sheetData>
    <row r="1">
      <c r="A1" s="1" t="inlineStr">
        <is>
          <t>TC-ID</t>
        </is>
      </c>
      <c r="B1" s="1" t="inlineStr">
        <is>
          <t>REQ-ID</t>
        </is>
      </c>
      <c r="C1" s="1" t="inlineStr">
        <is>
          <t>Test Type</t>
        </is>
      </c>
      <c r="D1" s="1" t="inlineStr">
        <is>
          <t>Test Level</t>
        </is>
      </c>
      <c r="E1" s="1" t="inlineStr">
        <is>
          <t>Priority</t>
        </is>
      </c>
      <c r="F1" s="1" t="inlineStr">
        <is>
          <t>Title</t>
        </is>
      </c>
      <c r="G1" s="1" t="inlineStr">
        <is>
          <t>Status</t>
        </is>
      </c>
      <c r="H1" s="1" t="inlineStr">
        <is>
          <t>Steps (count)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40" customWidth="1" min="5" max="5"/>
    <col width="12" customWidth="1" min="6" max="6"/>
    <col width="12" customWidth="1" min="7" max="7"/>
  </cols>
  <sheetData>
    <row r="1">
      <c r="A1" s="1" t="inlineStr">
        <is>
          <t>TS-ID</t>
        </is>
      </c>
      <c r="B1" s="1" t="inlineStr">
        <is>
          <t>TC-ID</t>
        </is>
      </c>
      <c r="C1" s="1" t="inlineStr">
        <is>
          <t>REQ-ID</t>
        </is>
      </c>
      <c r="D1" s="1" t="inlineStr">
        <is>
          <t>Target</t>
        </is>
      </c>
      <c r="E1" s="1" t="inlineStr">
        <is>
          <t>File Path</t>
        </is>
      </c>
      <c r="F1" s="1" t="inlineStr">
        <is>
          <t>Compiles</t>
        </is>
      </c>
      <c r="G1" s="1" t="inlineStr">
        <is>
          <t>Status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</cols>
  <sheetData>
    <row r="1">
      <c r="A1" s="2" t="inlineStr">
        <is>
          <t>Coverage by Level</t>
        </is>
      </c>
    </row>
    <row r="3">
      <c r="A3" s="3" t="inlineStr">
        <is>
          <t>Level</t>
        </is>
      </c>
      <c r="B3" s="3" t="inlineStr">
        <is>
          <t>Total</t>
        </is>
      </c>
      <c r="C3" s="3" t="inlineStr">
        <is>
          <t>Covered</t>
        </is>
      </c>
      <c r="D3" s="3" t="inlineStr">
        <is>
          <t>Coverage %</t>
        </is>
      </c>
    </row>
    <row r="4">
      <c r="A4" t="inlineStr">
        <is>
          <t>BUSINESS</t>
        </is>
      </c>
      <c r="B4">
        <f>COUNTIF(RTM!$B$2:$B$2,A4)</f>
        <v/>
      </c>
      <c r="C4">
        <f>COUNTIFS(RTM!$B$2:$B$2,A4,RTM!$P$2:$P$2,"COVERED")</f>
        <v/>
      </c>
      <c r="D4" s="4">
        <f>IF(B4=0,"N/A",C4/B4)</f>
        <v/>
      </c>
    </row>
    <row r="5">
      <c r="A5" t="inlineStr">
        <is>
          <t>FUNCTIONAL</t>
        </is>
      </c>
      <c r="B5">
        <f>COUNTIF(RTM!$B$2:$B$2,A5)</f>
        <v/>
      </c>
      <c r="C5">
        <f>COUNTIFS(RTM!$B$2:$B$2,A5,RTM!$P$2:$P$2,"COVERED")</f>
        <v/>
      </c>
      <c r="D5" s="4">
        <f>IF(B5=0,"N/A",C5/B5)</f>
        <v/>
      </c>
    </row>
    <row r="6">
      <c r="A6" t="inlineStr">
        <is>
          <t>NON_FUNCTIONAL</t>
        </is>
      </c>
      <c r="B6">
        <f>COUNTIF(RTM!$B$2:$B$2,A6)</f>
        <v/>
      </c>
      <c r="C6">
        <f>COUNTIFS(RTM!$B$2:$B$2,A6,RTM!$P$2:$P$2,"COVERED")</f>
        <v/>
      </c>
      <c r="D6" s="4">
        <f>IF(B6=0,"N/A",C6/B6)</f>
        <v/>
      </c>
    </row>
    <row r="7">
      <c r="A7" t="inlineStr">
        <is>
          <t>ASSUMPTION</t>
        </is>
      </c>
      <c r="B7">
        <f>COUNTIF(RTM!$B$2:$B$2,A7)</f>
        <v/>
      </c>
      <c r="C7">
        <f>COUNTIFS(RTM!$B$2:$B$2,A7,RTM!$P$2:$P$2,"COVERED")</f>
        <v/>
      </c>
      <c r="D7" s="4">
        <f>IF(B7=0,"N/A",C7/B7)</f>
        <v/>
      </c>
    </row>
    <row r="8">
      <c r="A8" t="inlineStr">
        <is>
          <t>CONSTRAINT</t>
        </is>
      </c>
      <c r="B8">
        <f>COUNTIF(RTM!$B$2:$B$2,A8)</f>
        <v/>
      </c>
      <c r="C8">
        <f>COUNTIFS(RTM!$B$2:$B$2,A8,RTM!$P$2:$P$2,"COVERED")</f>
        <v/>
      </c>
      <c r="D8" s="4">
        <f>IF(B8=0,"N/A",C8/B8)</f>
        <v/>
      </c>
    </row>
    <row r="10">
      <c r="A10" s="3" t="inlineStr">
        <is>
          <t>TOTAL</t>
        </is>
      </c>
      <c r="B10">
        <f>SUM(B4:B8)</f>
        <v/>
      </c>
      <c r="C10">
        <f>SUM(C4:C8)</f>
        <v/>
      </c>
      <c r="D10" s="4">
        <f>IF(B10=0,"N/A",C10/B10)</f>
        <v/>
      </c>
    </row>
    <row r="12">
      <c r="A12" s="3" t="inlineStr">
        <is>
          <t>Ambiguity distribution (score &gt; 0.4)</t>
        </is>
      </c>
    </row>
    <row r="13">
      <c r="A13" t="inlineStr">
        <is>
          <t>Blocked requirements</t>
        </is>
      </c>
      <c r="B13">
        <f>COUNTIF(RTM!$F$2:$F$2,"&gt;0.4")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Requirements with Coverage Status &lt;&gt; COVERED — live view (Excel 365 FILTER)</t>
        </is>
      </c>
    </row>
    <row r="2">
      <c r="A2">
        <f>IFERROR(FILTER(RTM!A2:Q2,RTM!P2:P2&lt;&gt;"COVERED"),"No gaps.")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6" customWidth="1" min="4" max="4"/>
    <col width="14" customWidth="1" min="5" max="5"/>
    <col width="60" customWidth="1" min="6" max="6"/>
  </cols>
  <sheetData>
    <row r="1">
      <c r="A1" s="1" t="inlineStr">
        <is>
          <t>At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Entity Type</t>
        </is>
      </c>
      <c r="E1" s="1" t="inlineStr">
        <is>
          <t>Entity ID</t>
        </is>
      </c>
      <c r="F1" s="1" t="inlineStr">
        <is>
          <t>Rationale/Detail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2026-08-07T15:44:19Z</dcterms:created>
  <dcterms:modified xmlns:dcterms="http://purl.org/dc/terms/" xmlns:xsi="http://www.w3.org/2001/XMLSchema-instance" xsi:type="dcterms:W3CDTF">2026-08-07T15:44:19Z</dcterms:modified>
</cp:coreProperties>
</file>