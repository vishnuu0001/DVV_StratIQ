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033c70ca72401d" /></Relationships>
</file>

<file path=xl/workbook.xml><?xml version="1.0" encoding="utf-8"?>
<x:workbook xmlns:x="http://schemas.openxmlformats.org/spreadsheetml/2006/main">
  <x:sheets>
    <x:sheet xmlns:r="http://schemas.openxmlformats.org/officeDocument/2006/relationships" name="Test Plan Summary" sheetId="1" r:id="Rb9bc2c39129946da"/>
    <x:sheet xmlns:r="http://schemas.openxmlformats.org/officeDocument/2006/relationships" name="Test Cases" sheetId="2" r:id="Rb156dcd6cc294421"/>
    <x:sheet xmlns:r="http://schemas.openxmlformats.org/officeDocument/2006/relationships" name="Requirements Traceability" sheetId="3" r:id="R864cec90deeb4b9f"/>
    <x:sheet xmlns:r="http://schemas.openxmlformats.org/officeDocument/2006/relationships" name="Test Data" sheetId="4" r:id="R6074c2c6b04141a6"/>
    <x:sheet xmlns:r="http://schemas.openxmlformats.org/officeDocument/2006/relationships" name="Defect Log" sheetId="5" r:id="R2fc424e2b5fc45b2"/>
    <x:sheet xmlns:r="http://schemas.openxmlformats.org/officeDocument/2006/relationships" name="Lists" sheetId="6" r:id="R4585f98a3c4f49e6"/>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name val="Carlito"/>
    </x:font>
    <x:font>
      <x:b/>
      <x:sz val="12"/>
      <x:color rgb="FF1F1F1F"/>
      <x:name val="Carlito"/>
    </x:font>
    <x:font>
      <x:b/>
      <x:sz val="11"/>
      <x:color rgb="FFFFFFFF"/>
      <x:name val="Carlito"/>
    </x:font>
    <x:font>
      <x:sz val="11"/>
      <x:color rgb="FF000000"/>
      <x:name val="Carlito"/>
    </x:font>
    <x:font>
      <x:sz val="12"/>
      <x:color rgb="FF000000"/>
      <x:name val="Carlito"/>
    </x:font>
  </x:fonts>
  <x:fills count="7">
    <x:fill>
      <x:patternFill patternType="none"/>
    </x:fill>
    <x:fill>
      <x:patternFill patternType="gray125"/>
    </x:fill>
    <x:fill>
      <x:patternFill patternType="solid">
        <x:fgColor rgb="FF1F4E78"/>
      </x:patternFill>
    </x:fill>
    <x:fill>
      <x:patternFill patternType="solid">
        <x:fgColor rgb="FFD9E1F2"/>
      </x:patternFill>
    </x:fill>
    <x:fill>
      <x:patternFill patternType="solid">
        <x:fgColor rgb="FFD9EAF7"/>
      </x:patternFill>
    </x:fill>
    <x:fill>
      <x:patternFill patternType="solid">
        <x:fgColor rgb="FF4472C4"/>
      </x:patternFill>
    </x:fill>
    <x:fill>
      <x:patternFill patternType="solid">
        <x:fgColor rgb="FFFFFFFF"/>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4" fillId="6" borderId="0" xfId="0" applyNumberFormat="1" applyFont="1" applyFill="1" applyBorder="1" applyAlignment="1">
      <x:alignment horizontal="center" vertical="top" wrapText="1"/>
    </x:xf>
    <x:xf numFmtId="0" fontId="5"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0"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4" fillId="6" borderId="1" xfId="0" applyNumberFormat="1" applyFont="1" applyFill="1" applyBorder="1" applyAlignment="1">
      <x:alignment horizontal="center" vertical="top" wrapText="1"/>
    </x:xf>
    <x:xf numFmtId="0" fontId="5" fillId="6" borderId="1" xfId="0" applyNumberFormat="1" applyFont="1" applyFill="1" applyBorder="1" applyAlignment="1">
      <x:alignment vertical="top" wrapText="1"/>
    </x:xf>
    <x:xf numFmtId="0" fontId="6" fillId="6" borderId="1" xfId="0" applyNumberFormat="1" applyFont="1" applyFill="1" applyBorder="1" applyAlignment="1">
      <x:alignment vertical="top" wrapText="1"/>
    </x:xf>
    <x:xf numFmtId="0" fontId="5" fillId="6" borderId="1" xfId="0" applyNumberFormat="1" applyFont="1" applyFill="1" applyBorder="1" applyAlignment="1">
      <x:alignment horizontal="center" vertical="top" wrapText="1"/>
    </x:xf>
    <x:xf numFmtId="0" fontId="3" fillId="6" borderId="0" xfId="0" applyNumberFormat="1" applyFont="1" applyFill="1" applyBorder="1" applyAlignment="1">
      <x:alignment vertical="center"/>
    </x:xf>
    <x:xf numFmtId="0" fontId="4" fillId="6" borderId="0" xfId="0" applyNumberFormat="1" applyFont="1" applyFill="1" applyBorder="1" applyAlignment="1">
      <x:alignment horizontal="center" vertical="center" wrapText="1"/>
    </x:xf>
    <x:xf numFmtId="0" fontId="6" fillId="6" borderId="0" xfId="0" applyNumberFormat="1" applyFont="1" applyFill="1" applyBorder="1" applyAlignment="1">
      <x:alignment vertical="center"/>
    </x:xf>
    <x:xf numFmtId="0" fontId="5" fillId="6" borderId="0" xfId="0" applyNumberFormat="1" applyFont="1" applyFill="1" applyBorder="1" applyAlignment="1">
      <x:alignment horizontal="center" vertical="center" wrapText="1"/>
    </x:xf>
    <x:xf numFmtId="0" fontId="3" fillId="6" borderId="1" xfId="0" applyNumberFormat="1" applyFont="1" applyFill="1" applyBorder="1" applyAlignment="1">
      <x:alignment vertical="center"/>
    </x:xf>
    <x:xf numFmtId="0"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x:xf>
    <x:xf numFmtId="0" fontId="5" fillId="6" borderId="1" xfId="0" applyNumberFormat="1" applyFont="1" applyFill="1" applyBorder="1" applyAlignment="1">
      <x:alignment horizontal="center" vertical="center" wrapText="1"/>
    </x:xf>
  </x:cellXfs>
  <x:cellStyles count="1">
    <x:cellStyle name="Normal" xfId="0"/>
  </x:cellStyles>
  <x:dxfs count="4">
    <x:dxf>
      <x:fill>
        <x:patternFill patternType="solid">
          <x:bgColor rgb="FFC6E0B4"/>
        </x:patternFill>
      </x:fill>
    </x:dxf>
    <x:dxf>
      <x:fill>
        <x:patternFill patternType="solid">
          <x:bgColor rgb="FFF4CCCC"/>
        </x:patternFill>
      </x:fill>
    </x:dxf>
    <x:dxf>
      <x:fill>
        <x:patternFill patternType="solid">
          <x:bgColor rgb="FFFFD966"/>
        </x:patternFill>
      </x:fill>
    </x:dxf>
    <x:dxf>
      <x:font>
        <x:b/>
        <x:color rgb="FFC00000"/>
      </x:font>
    </x:dxf>
  </x:dxfs>
</x:styleSheet>
</file>

<file path=xl/_rels/workbook.xml.rels>&#65279;<?xml version="1.0" encoding="utf-8"?><Relationships xmlns="http://schemas.openxmlformats.org/package/2006/relationships"><Relationship Type="http://schemas.openxmlformats.org/officeDocument/2006/relationships/styles" Target="/xl/styles.xml" Id="R640983c8f4844900" /><Relationship Type="http://schemas.openxmlformats.org/officeDocument/2006/relationships/theme" Target="/xl/theme/theme1.xml" Id="Re0752f1f2435430a" /><Relationship Type="http://schemas.openxmlformats.org/officeDocument/2006/relationships/sharedStrings" Target="/xl/sharedStrings.xml" Id="R9f57b9038867472c" /><Relationship Type="http://schemas.openxmlformats.org/officeDocument/2006/relationships/worksheet" Target="/xl/worksheets/sheet1.xml" Id="Rb9bc2c39129946da" /><Relationship Type="http://schemas.openxmlformats.org/officeDocument/2006/relationships/worksheet" Target="/xl/worksheets/sheet2.xml" Id="Rb156dcd6cc294421" /><Relationship Type="http://schemas.openxmlformats.org/officeDocument/2006/relationships/worksheet" Target="/xl/worksheets/sheet3.xml" Id="R864cec90deeb4b9f" /><Relationship Type="http://schemas.openxmlformats.org/officeDocument/2006/relationships/worksheet" Target="/xl/worksheets/sheet4.xml" Id="R6074c2c6b04141a6" /><Relationship Type="http://schemas.openxmlformats.org/officeDocument/2006/relationships/worksheet" Target="/xl/worksheets/sheet5.xml" Id="R2fc424e2b5fc45b2" /><Relationship Type="http://schemas.openxmlformats.org/officeDocument/2006/relationships/worksheet" Target="/xl/worksheets/sheet6.xml" Id="R4585f98a3c4f49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6dcdd63b85604d0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Cases by Process Area</a:t>
            </a:r>
          </a:p>
        </c:rich>
      </c:tx>
      <c:overlay val="0"/>
    </c:title>
    <c:autoTitleDeleted val="0"/>
    <c:plotArea>
      <c:layout/>
      <c:barChart>
        <c:barDir val="col"/>
        <c:varyColors val="0"/>
        <c:ser>
          <c:idx val="0"/>
          <c:order val="0"/>
          <c:tx>
            <c:v>Case Count</c:v>
          </c:tx>
          <c:cat>
            <c:strRef>
              <c:f>'Test Plan Summary'!$D$13:$D$33</c:f>
              <c:strCache>
                <c:ptCount val="0"/>
              </c:strCache>
            </c:strRef>
          </c:cat>
          <c:val>
            <c:numRef>
              <c:f>'Test Plan Summary'!$E$13:$E$33</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4</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dcdd63b85604d02"/>
        </a:graphicData>
      </a:graphic>
    </xdr:graphicFrame>
    <xdr:clientData/>
  </xdr:twoCellAnchor>
</xdr:wsDr>
</file>

<file path=xl/tables/table1.xml><?xml version="1.0" encoding="utf-8"?>
<x:table xmlns:x="http://schemas.openxmlformats.org/spreadsheetml/2006/main" id="1" name="TestCasesTable" displayName="TestCasesTable" ref="A1:Q83" headerRowCount="1">
  <x:tableColumns count="17">
    <x:tableColumn id="1" name="Test Case ID"/>
    <x:tableColumn id="2" name="Requirement ID"/>
    <x:tableColumn id="3" name="Process Area"/>
    <x:tableColumn id="4" name="Test Case Title"/>
    <x:tableColumn id="5" name="Test Type"/>
    <x:tableColumn id="6" name="Priority"/>
    <x:tableColumn id="7" name="Preconditions"/>
    <x:tableColumn id="8" name="Test Data"/>
    <x:tableColumn id="9" name="Test Steps"/>
    <x:tableColumn id="10" name="Expected Result"/>
    <x:tableColumn id="11" name="Assumption / Note"/>
    <x:tableColumn id="12" name="Owner"/>
    <x:tableColumn id="13" name="Status"/>
    <x:tableColumn id="14" name="Execution Cycle"/>
    <x:tableColumn id="15" name="Actual Result"/>
    <x:tableColumn id="16" name="Defect ID"/>
    <x:tableColumn id="17" name="Evidence Link"/>
  </x:tableColumns>
  <x:tableStyleInfo name="TableStyleMedium2" showRowStripes="1"/>
</x:table>
</file>

<file path=xl/tables/table2.xml><?xml version="1.0" encoding="utf-8"?>
<x:table xmlns:x="http://schemas.openxmlformats.org/spreadsheetml/2006/main" id="2" name="RTMTable" displayName="RTMTable" ref="A1:G15" headerRowCount="1">
  <x:tableColumns count="7">
    <x:tableColumn id="1" name="Requirement ID"/>
    <x:tableColumn id="2" name="Requirement Description"/>
    <x:tableColumn id="3" name="Source Section"/>
    <x:tableColumn id="4" name="Mapped Test Cases"/>
    <x:tableColumn id="5" name="Case Count"/>
    <x:tableColumn id="6" name="Coverage Status"/>
    <x:tableColumn id="7" name="Business Notes"/>
  </x:tableColumns>
  <x:tableStyleInfo name="TableStyleMedium2" showRowStripes="1"/>
</x:table>
</file>

<file path=xl/tables/table3.xml><?xml version="1.0" encoding="utf-8"?>
<x:table xmlns:x="http://schemas.openxmlformats.org/spreadsheetml/2006/main" id="3" name="TestDataTable" displayName="TestDataTable" ref="A1:E15" headerRowCount="1">
  <x:tableColumns count="5">
    <x:tableColumn id="1" name="Data ID"/>
    <x:tableColumn id="2" name="Data Domain"/>
    <x:tableColumn id="3" name="Required Data"/>
    <x:tableColumn id="4" name="Known / Proposed Value"/>
    <x:tableColumn id="5" name="Readiness"/>
  </x:tableColumns>
  <x:tableStyleInfo name="TableStyleMedium2" showRowStripes="1"/>
</x:table>
</file>

<file path=xl/tables/table4.xml><?xml version="1.0" encoding="utf-8"?>
<x:table xmlns:x="http://schemas.openxmlformats.org/spreadsheetml/2006/main" id="4" name="DefectLogTable" displayName="DefectLogTable" ref="A1:P31" headerRowCount="1">
  <x:tableColumns count="16">
    <x:tableColumn id="1" name="Defect ID"/>
    <x:tableColumn id="2" name="Summary"/>
    <x:tableColumn id="3" name="Severity"/>
    <x:tableColumn id="4" name="Priority"/>
    <x:tableColumn id="5" name="Test Case ID"/>
    <x:tableColumn id="6" name="Process Area"/>
    <x:tableColumn id="7" name="Detected Cycle"/>
    <x:tableColumn id="8" name="Status"/>
    <x:tableColumn id="9" name="Owner"/>
    <x:tableColumn id="10" name="Description"/>
    <x:tableColumn id="11" name="Expected Result"/>
    <x:tableColumn id="12" name="Actual Result"/>
    <x:tableColumn id="13" name="Root Cause"/>
    <x:tableColumn id="14" name="Resolution"/>
    <x:tableColumn id="15" name="Retest Result"/>
    <x:tableColumn id="16" name="Evidence Li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89e9f7b6b9a4ba0" /></Relationships>
</file>

<file path=xl/worksheets/_rels/sheet2.xml.rels>&#65279;<?xml version="1.0" encoding="utf-8"?><Relationships xmlns="http://schemas.openxmlformats.org/package/2006/relationships"><Relationship Type="http://schemas.openxmlformats.org/officeDocument/2006/relationships/table" Target="/xl/tables/table1.xml" Id="R08537d2963ae432a" /></Relationships>
</file>

<file path=xl/worksheets/_rels/sheet3.xml.rels>&#65279;<?xml version="1.0" encoding="utf-8"?><Relationships xmlns="http://schemas.openxmlformats.org/package/2006/relationships"><Relationship Type="http://schemas.openxmlformats.org/officeDocument/2006/relationships/table" Target="/xl/tables/table2.xml" Id="R2583bc25c9714066" /></Relationships>
</file>

<file path=xl/worksheets/_rels/sheet4.xml.rels>&#65279;<?xml version="1.0" encoding="utf-8"?><Relationships xmlns="http://schemas.openxmlformats.org/package/2006/relationships"><Relationship Type="http://schemas.openxmlformats.org/officeDocument/2006/relationships/table" Target="/xl/tables/table3.xml" Id="R6d1e935f747f42ea" /></Relationships>
</file>

<file path=xl/worksheets/_rels/sheet5.xml.rels>&#65279;<?xml version="1.0" encoding="utf-8"?><Relationships xmlns="http://schemas.openxmlformats.org/package/2006/relationships"><Relationship Type="http://schemas.openxmlformats.org/officeDocument/2006/relationships/table" Target="/xl/tables/table4.xml" Id="Rc08e05f69ad94ae5" /></Relationships>
</file>

<file path=xl/worksheets/sheet1.xml><?xml version="1.0" encoding="utf-8"?>
<x:worksheet xmlns:x="http://schemas.openxmlformats.org/spreadsheetml/2006/main">
  <x:sheetFormatPr defaultRowHeight="15"/>
  <x:cols>
    <x:col min="1" max="1" width="22" hidden="0" customWidth="1"/>
    <x:col min="2" max="2" width="58" hidden="0" customWidth="1"/>
    <x:col min="3" max="3" width="52" hidden="0" customWidth="1"/>
    <x:col min="4" max="4" width="24" hidden="0" customWidth="1"/>
    <x:col min="5" max="5" width="14" hidden="0" customWidth="1"/>
    <x:col min="6" max="6" width="12" hidden="0" customWidth="1"/>
    <x:col min="7" max="7" width="12" hidden="0" customWidth="1"/>
    <x:col min="8" max="8" width="12" hidden="0" customWidth="1"/>
  </x:cols>
  <x:sheetData>
    <x:row r="1" ht="26" customHeight="1">
      <x:c r="A1" s="5" t="str">
        <x:v>Outbound E2E 01 – Detailed Test Plan &amp; Test Case Pack</x:v>
      </x:c>
      <x:c r="B1" s="5"/>
      <x:c r="C1" s="5"/>
      <x:c r="D1" s="5"/>
      <x:c r="E1" s="5"/>
      <x:c r="F1" s="5"/>
      <x:c r="G1" s="5"/>
      <x:c r="H1" s="5"/>
    </x:row>
    <x:row r="2" ht="26" customHeight="1">
      <x:c r="A2" s="5"/>
      <x:c r="B2" s="5"/>
      <x:c r="C2" s="5"/>
      <x:c r="D2" s="5"/>
      <x:c r="E2" s="5"/>
      <x:c r="F2" s="5"/>
      <x:c r="G2" s="5"/>
      <x:c r="H2" s="5"/>
    </x:row>
    <x:row r="4" ht="34" customHeight="1">
      <x:c r="A4" s="13" t="str">
        <x:v>Scenario ID</x:v>
      </x:c>
      <x:c r="B4" s="20" t="str">
        <x:v>Outbound E2E 01</x:v>
      </x:c>
      <x:c r="D4" s="25" t="str">
        <x:v>Coverage Summary</x:v>
      </x:c>
      <x:c r="E4" s="25"/>
      <x:c r="F4" s="25"/>
      <x:c r="G4" s="25"/>
      <x:c r="H4" s="25"/>
    </x:row>
    <x:row r="5" ht="34" customHeight="1">
      <x:c r="A5" s="13" t="str">
        <x:v>Scenario Name</x:v>
      </x:c>
      <x:c r="B5" s="20" t="str">
        <x:v>Direct Order – Twin Reel With FSC Requirements</x:v>
      </x:c>
      <x:c r="D5" s="33" t="str">
        <x:v>Metric</x:v>
      </x:c>
      <x:c r="E5" s="33" t="str">
        <x:v>Value</x:v>
      </x:c>
    </x:row>
    <x:row r="6" ht="34" customHeight="1">
      <x:c r="A6" s="13" t="str">
        <x:v>Wave / Release</x:v>
      </x:c>
      <x:c r="B6" s="20" t="str">
        <x:v>Wave 1a</x:v>
      </x:c>
      <x:c r="D6" s="13" t="str">
        <x:v>Total test cases</x:v>
      </x:c>
      <x:c r="E6" s="20" t="n">
        <x:f>COUNTA('Test Cases'!A2:A500)</x:f>
        <x:v>82</x:v>
      </x:c>
    </x:row>
    <x:row r="7" ht="34" customHeight="1">
      <x:c r="A7" s="13" t="str">
        <x:v>Site</x:v>
      </x:c>
      <x:c r="B7" s="20" t="str">
        <x:v>Ställdalen</x:v>
      </x:c>
      <x:c r="D7" s="13" t="str">
        <x:v>P1 test cases</x:v>
      </x:c>
      <x:c r="E7" s="20" t="n">
        <x:f>COUNTIF('Test Cases'!F2:F500,"P1")</x:f>
        <x:v>69</x:v>
      </x:c>
    </x:row>
    <x:row r="8" ht="34" customHeight="1">
      <x:c r="A8" s="13" t="str">
        <x:v>Criticality</x:v>
      </x:c>
      <x:c r="B8" s="20" t="str">
        <x:v>High</x:v>
      </x:c>
      <x:c r="D8" s="13" t="str">
        <x:v>P2 test cases</x:v>
      </x:c>
      <x:c r="E8" s="20" t="n">
        <x:f>COUNTIF('Test Cases'!F2:F500,"P2")</x:f>
        <x:v>13</x:v>
      </x:c>
    </x:row>
    <x:row r="9" ht="34" customHeight="1">
      <x:c r="A9" s="13" t="str">
        <x:v>Business Frequency</x:v>
      </x:c>
      <x:c r="B9" s="20" t="str">
        <x:v>Weekly basis</x:v>
      </x:c>
      <x:c r="D9" s="13" t="str">
        <x:v>Requirements</x:v>
      </x:c>
      <x:c r="E9" s="20" t="n">
        <x:v>14</x:v>
      </x:c>
    </x:row>
    <x:row r="10" ht="34" customHeight="1">
      <x:c r="A10" s="13" t="str">
        <x:v>Grade</x:v>
      </x:c>
      <x:c r="B10" s="20" t="str">
        <x:v>SD0792060</x:v>
      </x:c>
    </x:row>
    <x:row r="11" ht="34" customHeight="1">
      <x:c r="A11" s="13" t="str">
        <x:v>Customer</x:v>
      </x:c>
      <x:c r="B11" s="20" t="str">
        <x:v>Business confirmation required: narrative says Suominen; reference table says Albaad DE</x:v>
      </x:c>
    </x:row>
    <x:row r="12" ht="34" customHeight="1">
      <x:c r="A12" s="13" t="str">
        <x:v>Production Configuration</x:v>
      </x:c>
      <x:c r="B12" s="20" t="str">
        <x:v>16 twin/double-roll reels plus 1 single reel (exact UoM and order quantity to be confirmed)</x:v>
      </x:c>
      <x:c r="D12" s="33" t="str">
        <x:v>Process Area</x:v>
      </x:c>
      <x:c r="E12" s="33" t="str">
        <x:v>Case Count</x:v>
      </x:c>
      <x:c r="F12" s="33" t="str">
        <x:v>P1 Count</x:v>
      </x:c>
    </x:row>
    <x:row r="13">
      <x:c r="D13" s="54" t="str">
        <x:v>Master Data</x:v>
      </x:c>
      <x:c r="E13" s="54" t="n">
        <x:f>COUNTIF('Test Cases'!C:C,D13)</x:f>
        <x:v>7</x:v>
      </x:c>
      <x:c r="F13" s="54" t="n">
        <x:f>COUNTIFS('Test Cases'!C:C,D13,'Test Cases'!F:F,"P1")</x:f>
        <x:v>6</x:v>
      </x:c>
    </x:row>
    <x:row r="14">
      <x:c r="D14" s="54" t="str">
        <x:v>Security and Roles</x:v>
      </x:c>
      <x:c r="E14" s="54" t="n">
        <x:f>COUNTIF('Test Cases'!C:C,D14)</x:f>
        <x:v>1</x:v>
      </x:c>
      <x:c r="F14" s="54" t="n">
        <x:f>COUNTIFS('Test Cases'!C:C,D14,'Test Cases'!F:F,"P1")</x:f>
        <x:v>1</x:v>
      </x:c>
    </x:row>
    <x:row r="15">
      <x:c r="A15" s="25" t="str">
        <x:v>Suggested Execution Cycles</x:v>
      </x:c>
      <x:c r="B15" s="25"/>
      <x:c r="C15" s="25"/>
      <x:c r="D15" s="54" t="str">
        <x:v>Sales Order</x:v>
      </x:c>
      <x:c r="E15" s="54" t="n">
        <x:f>COUNTIF('Test Cases'!C:C,D15)</x:f>
        <x:v>10</x:v>
      </x:c>
      <x:c r="F15" s="54" t="n">
        <x:f>COUNTIFS('Test Cases'!C:C,D15,'Test Cases'!F:F,"P1")</x:f>
        <x:v>9</x:v>
      </x:c>
    </x:row>
    <x:row r="16">
      <x:c r="A16" s="33" t="str">
        <x:v>Cycle</x:v>
      </x:c>
      <x:c r="B16" s="33" t="str">
        <x:v>Purpose</x:v>
      </x:c>
      <x:c r="C16" s="33" t="str">
        <x:v>Test Cases</x:v>
      </x:c>
      <x:c r="D16" s="54" t="str">
        <x:v>MRP / TIPS</x:v>
      </x:c>
      <x:c r="E16" s="54" t="n">
        <x:f>COUNTIF('Test Cases'!C:C,D16)</x:f>
        <x:v>9</x:v>
      </x:c>
      <x:c r="F16" s="54" t="n">
        <x:f>COUNTIFS('Test Cases'!C:C,D16,'Test Cases'!F:F,"P1")</x:f>
        <x:v>8</x:v>
      </x:c>
    </x:row>
    <x:row r="17" ht="60" customHeight="1">
      <x:c r="A17" s="20" t="str">
        <x:v>Cycle 0 – Readiness</x:v>
      </x:c>
      <x:c r="B17" s="20" t="str">
        <x:v>Resolve open items, validate master data, roles, interfaces, forms, and expected accounting/FSC values.</x:v>
      </x:c>
      <x:c r="C17" s="20" t="str">
        <x:v>TC-001–TC-008</x:v>
      </x:c>
      <x:c r="D17" s="54" t="str">
        <x:v>Production</x:v>
      </x:c>
      <x:c r="E17" s="54" t="n">
        <x:f>COUNTIF('Test Cases'!C:C,D17)</x:f>
        <x:v>5</x:v>
      </x:c>
      <x:c r="F17" s="54" t="n">
        <x:f>COUNTIFS('Test Cases'!C:C,D17,'Test Cases'!F:F,"P1")</x:f>
        <x:v>5</x:v>
      </x:c>
    </x:row>
    <x:row r="18" ht="60" customHeight="1">
      <x:c r="A18" s="20" t="str">
        <x:v>Cycle 1 – Happy Path</x:v>
      </x:c>
      <x:c r="B18" s="20" t="str">
        <x:v>Execute order-to-cash flow with sufficient FSC, correct 16+1 production, passing BIO result, external warehouse dispatch, invoice, R2R/BC.</x:v>
      </x:c>
      <x:c r="C18" s="20" t="str">
        <x:v>TC-009, TC-014, TC-018–TC-020, TC-022–TC-033, TC-036, TC-039, TC-042–TC-044, TC-046, TC-052–TC-055, TC-057, TC-059–TC-064</x:v>
      </x:c>
      <x:c r="D18" s="54" t="str">
        <x:v>Production Quality</x:v>
      </x:c>
      <x:c r="E18" s="54" t="n">
        <x:f>COUNTIF('Test Cases'!C:C,D18)</x:f>
        <x:v>3</x:v>
      </x:c>
      <x:c r="F18" s="54" t="n">
        <x:f>COUNTIFS('Test Cases'!C:C,D18,'Test Cases'!F:F,"P1")</x:f>
        <x:v>3</x:v>
      </x:c>
    </x:row>
    <x:row r="19" ht="60" customHeight="1">
      <x:c r="A19" s="20" t="str">
        <x:v>Cycle 2 – Negative Controls</x:v>
      </x:c>
      <x:c r="B19" s="20" t="str">
        <x:v>Verify FSC, configuration, quality, release, authorization, and timing blocks.</x:v>
      </x:c>
      <x:c r="C19" s="20" t="str">
        <x:v>TC-010–TC-013, TC-015–TC-017, TC-021, TC-034–TC-041, TC-045, TC-047–TC-051, TC-056, TC-058</x:v>
      </x:c>
      <x:c r="D19" s="54" t="str">
        <x:v>BIO-Burden Quality</x:v>
      </x:c>
      <x:c r="E19" s="54" t="n">
        <x:f>COUNTIF('Test Cases'!C:C,D19)</x:f>
        <x:v>7</x:v>
      </x:c>
      <x:c r="F19" s="54" t="n">
        <x:f>COUNTIFS('Test Cases'!C:C,D19,'Test Cases'!F:F,"P1")</x:f>
        <x:v>6</x:v>
      </x:c>
    </x:row>
    <x:row r="20" ht="60" customHeight="1">
      <x:c r="A20" s="20" t="str">
        <x:v>Cycle 3 – Return/Recall</x:v>
      </x:c>
      <x:c r="B20" s="20" t="str">
        <x:v>Execute quality exception after dispatch/invoice, full recall, stock return, invoice/R2R/FSC reversal, and closure.</x:v>
      </x:c>
      <x:c r="C20" s="20" t="str">
        <x:v>TC-065–TC-074</x:v>
      </x:c>
      <x:c r="D20" s="54" t="str">
        <x:v>Packaging</x:v>
      </x:c>
      <x:c r="E20" s="54" t="n">
        <x:f>COUNTIF('Test Cases'!C:C,D20)</x:f>
        <x:v>3</x:v>
      </x:c>
      <x:c r="F20" s="54" t="n">
        <x:f>COUNTIFS('Test Cases'!C:C,D20,'Test Cases'!F:F,"P1")</x:f>
        <x:v>2</x:v>
      </x:c>
    </x:row>
    <x:row r="21" ht="60" customHeight="1">
      <x:c r="A21" s="20" t="str">
        <x:v>Cycle 4 – Integration/Regression</x:v>
      </x:c>
      <x:c r="B21" s="20" t="str">
        <x:v>Validate recovery, idempotence, calendar handling, auditability, and unaffected standard flows.</x:v>
      </x:c>
      <x:c r="C21" s="20" t="str">
        <x:v>TC-075–TC-082</x:v>
      </x:c>
      <x:c r="D21" s="54" t="str">
        <x:v>External Warehouse</x:v>
      </x:c>
      <x:c r="E21" s="54" t="n">
        <x:f>COUNTIF('Test Cases'!C:C,D21)</x:f>
        <x:v>3</x:v>
      </x:c>
      <x:c r="F21" s="54" t="n">
        <x:f>COUNTIFS('Test Cases'!C:C,D21,'Test Cases'!F:F,"P1")</x:f>
        <x:v>2</x:v>
      </x:c>
    </x:row>
    <x:row r="22">
      <x:c r="D22" s="54" t="str">
        <x:v>Outbound Logistics</x:v>
      </x:c>
      <x:c r="E22" s="54" t="n">
        <x:f>COUNTIF('Test Cases'!C:C,D22)</x:f>
        <x:v>8</x:v>
      </x:c>
      <x:c r="F22" s="54" t="n">
        <x:f>COUNTIFS('Test Cases'!C:C,D22,'Test Cases'!F:F,"P1")</x:f>
        <x:v>6</x:v>
      </x:c>
    </x:row>
    <x:row r="23">
      <x:c r="D23" s="54" t="str">
        <x:v>Billing</x:v>
      </x:c>
      <x:c r="E23" s="54" t="n">
        <x:f>COUNTIF('Test Cases'!C:C,D23)</x:f>
        <x:v>4</x:v>
      </x:c>
      <x:c r="F23" s="54" t="n">
        <x:f>COUNTIFS('Test Cases'!C:C,D23,'Test Cases'!F:F,"P1")</x:f>
        <x:v>3</x:v>
      </x:c>
    </x:row>
    <x:row r="24">
      <x:c r="A24" s="65"/>
      <x:c r="B24" s="65"/>
      <x:c r="C24" s="65"/>
      <x:c r="D24" s="55" t="str">
        <x:v>FSC Accounting</x:v>
      </x:c>
      <x:c r="E24" s="55" t="n">
        <x:f>COUNTIF('Test Cases'!C:C,D24)</x:f>
        <x:v>2</x:v>
      </x:c>
      <x:c r="F24" s="55" t="n">
        <x:f>COUNTIFS('Test Cases'!C:C,D24,'Test Cases'!F:F,"P1")</x:f>
        <x:v>2</x:v>
      </x:c>
      <x:c r="G24" s="25"/>
      <x:c r="H24" s="25"/>
    </x:row>
    <x:row r="25">
      <x:c r="A25" s="66"/>
      <x:c r="B25" s="66"/>
      <x:c r="C25" s="66"/>
      <x:c r="D25" s="56" t="str">
        <x:v>R2R</x:v>
      </x:c>
      <x:c r="E25" s="54" t="n">
        <x:f>COUNTIF('Test Cases'!C:C,D25)</x:f>
        <x:v>2</x:v>
      </x:c>
      <x:c r="F25" s="54" t="n">
        <x:f>COUNTIFS('Test Cases'!C:C,D25,'Test Cases'!F:F,"P1")</x:f>
        <x:v>2</x:v>
      </x:c>
    </x:row>
    <x:row r="26" ht="54" customHeight="1">
      <x:c r="A26" s="20"/>
      <x:c r="B26" s="20"/>
      <x:c r="C26" s="20"/>
      <x:c r="D26" s="54" t="str">
        <x:v>BC Checks</x:v>
      </x:c>
      <x:c r="E26" s="54" t="n">
        <x:f>COUNTIF('Test Cases'!C:C,D26)</x:f>
        <x:v>1</x:v>
      </x:c>
      <x:c r="F26" s="54" t="n">
        <x:f>COUNTIFS('Test Cases'!C:C,D26,'Test Cases'!F:F,"P1")</x:f>
        <x:v>0</x:v>
      </x:c>
    </x:row>
    <x:row r="27" ht="54" customHeight="1">
      <x:c r="A27" s="20"/>
      <x:c r="B27" s="20"/>
      <x:c r="C27" s="20"/>
      <x:c r="D27" s="54" t="str">
        <x:v>Reconciliation</x:v>
      </x:c>
      <x:c r="E27" s="54" t="n">
        <x:f>COUNTIF('Test Cases'!C:C,D27)</x:f>
        <x:v>1</x:v>
      </x:c>
      <x:c r="F27" s="54" t="n">
        <x:f>COUNTIFS('Test Cases'!C:C,D27,'Test Cases'!F:F,"P1")</x:f>
        <x:v>1</x:v>
      </x:c>
    </x:row>
    <x:row r="28" ht="54" customHeight="1">
      <x:c r="A28" s="20"/>
      <x:c r="B28" s="20"/>
      <x:c r="C28" s="20"/>
      <x:c r="D28" s="54" t="str">
        <x:v>Customer Return</x:v>
      </x:c>
      <x:c r="E28" s="54" t="n">
        <x:f>COUNTIF('Test Cases'!C:C,D28)</x:f>
        <x:v>8</x:v>
      </x:c>
      <x:c r="F28" s="54" t="n">
        <x:f>COUNTIFS('Test Cases'!C:C,D28,'Test Cases'!F:F,"P1")</x:f>
        <x:v>8</x:v>
      </x:c>
    </x:row>
    <x:row r="29" ht="54" customHeight="1">
      <x:c r="A29" s="20"/>
      <x:c r="B29" s="20"/>
      <x:c r="C29" s="20"/>
      <x:c r="D29" s="54" t="str">
        <x:v>Integration Recovery</x:v>
      </x:c>
      <x:c r="E29" s="54" t="n">
        <x:f>COUNTIF('Test Cases'!C:C,D29)</x:f>
        <x:v>4</x:v>
      </x:c>
      <x:c r="F29" s="54" t="n">
        <x:f>COUNTIFS('Test Cases'!C:C,D29,'Test Cases'!F:F,"P1")</x:f>
        <x:v>4</x:v>
      </x:c>
    </x:row>
    <x:row r="30" ht="54" customHeight="1">
      <x:c r="A30" s="20"/>
      <x:c r="B30" s="20"/>
      <x:c r="C30" s="20"/>
      <x:c r="D30" s="54" t="str">
        <x:v>Change Control</x:v>
      </x:c>
      <x:c r="E30" s="54" t="n">
        <x:f>COUNTIF('Test Cases'!C:C,D30)</x:f>
        <x:v>1</x:v>
      </x:c>
      <x:c r="F30" s="54" t="n">
        <x:f>COUNTIFS('Test Cases'!C:C,D30,'Test Cases'!F:F,"P1")</x:f>
        <x:v>0</x:v>
      </x:c>
    </x:row>
    <x:row r="31" ht="54" customHeight="1">
      <x:c r="A31" s="20"/>
      <x:c r="B31" s="20"/>
      <x:c r="C31" s="20"/>
      <x:c r="D31" s="54" t="str">
        <x:v>Time and Calendar</x:v>
      </x:c>
      <x:c r="E31" s="54" t="n">
        <x:f>COUNTIF('Test Cases'!C:C,D31)</x:f>
        <x:v>1</x:v>
      </x:c>
      <x:c r="F31" s="54" t="n">
        <x:f>COUNTIFS('Test Cases'!C:C,D31,'Test Cases'!F:F,"P1")</x:f>
        <x:v>0</x:v>
      </x:c>
    </x:row>
    <x:row r="32" ht="54" customHeight="1">
      <x:c r="A32" s="20"/>
      <x:c r="B32" s="20"/>
      <x:c r="C32" s="20"/>
      <x:c r="D32" s="54" t="str">
        <x:v>Audit and Compliance</x:v>
      </x:c>
      <x:c r="E32" s="54" t="n">
        <x:f>COUNTIF('Test Cases'!C:C,D32)</x:f>
        <x:v>1</x:v>
      </x:c>
      <x:c r="F32" s="54" t="n">
        <x:f>COUNTIFS('Test Cases'!C:C,D32,'Test Cases'!F:F,"P1")</x:f>
        <x:v>1</x:v>
      </x:c>
    </x:row>
    <x:row r="33" ht="54" customHeight="1">
      <x:c r="A33" s="20"/>
      <x:c r="B33" s="20"/>
      <x:c r="C33" s="20"/>
      <x:c r="D33" s="54" t="str">
        <x:v>Regression</x:v>
      </x:c>
      <x:c r="E33" s="54" t="n">
        <x:f>COUNTIF('Test Cases'!C:C,D33)</x:f>
        <x:v>1</x:v>
      </x:c>
      <x:c r="F33" s="54" t="n">
        <x:f>COUNTIFS('Test Cases'!C:C,D33,'Test Cases'!F:F,"P1")</x:f>
        <x:v>0</x:v>
      </x:c>
    </x:row>
    <x:row r="34" ht="54" customHeight="1">
      <x:c r="A34" s="20"/>
      <x:c r="B34" s="20"/>
      <x:c r="C34" s="20"/>
      <x:c r="D34" s="20"/>
    </x:row>
    <x:row r="35" ht="54" customHeight="1">
      <x:c r="A35" s="20"/>
      <x:c r="B35" s="20"/>
      <x:c r="C35" s="20"/>
      <x:c r="D35" s="20"/>
    </x:row>
    <x:row r="36" ht="54" customHeight="1">
      <x:c r="A36" s="41" t="str">
        <x:v>Critical Open Items / Business Confirmations</x:v>
      </x:c>
      <x:c r="B36" s="41"/>
      <x:c r="C36" s="41"/>
      <x:c r="D36" s="41"/>
      <x:c r="E36" s="25"/>
      <x:c r="F36" s="25"/>
    </x:row>
    <x:row r="37" ht="54" customHeight="1">
      <x:c r="A37" s="33" t="str">
        <x:v>ID</x:v>
      </x:c>
      <x:c r="B37" s="33" t="str">
        <x:v>Topic</x:v>
      </x:c>
      <x:c r="C37" s="33" t="str">
        <x:v>Issue</x:v>
      </x:c>
      <x:c r="D37" s="33" t="str">
        <x:v>Required Decision</x:v>
      </x:c>
    </x:row>
    <x:row r="38" ht="54" customHeight="1">
      <x:c r="A38" s="20" t="str">
        <x:v>OI-01</x:v>
      </x:c>
      <x:c r="B38" s="20" t="str">
        <x:v>Customer identity conflict</x:v>
      </x:c>
      <x:c r="C38" s="20" t="str">
        <x:v>Narrative states the order is placed by Suominen, while the reference table identifies customer Albaad DE.</x:v>
      </x:c>
      <x:c r="D38" s="20" t="str">
        <x:v>Confirm sold-to, ship-to, bill-to, and customer-product assignments before test data creation.</x:v>
      </x:c>
    </x:row>
    <x:row r="39" ht="54" customHeight="1">
      <x:c r="A39" s="20" t="str">
        <x:v>OI-02</x:v>
      </x:c>
      <x:c r="B39" s="20" t="str">
        <x:v>Raw-material destination conflict</x:v>
      </x:c>
      <x:c r="C39" s="20" t="str">
        <x:v>Production description says ÖMAG to PSA; detailed narrative says ÖMAG to mälderi.</x:v>
      </x:c>
      <x:c r="D39" s="20" t="str">
        <x:v>Confirm destination plant/storage location and interface terminology.</x:v>
      </x:c>
    </x:row>
    <x:row r="40" ht="54" customHeight="1">
      <x:c r="A40" s="20" t="str">
        <x:v>OI-03</x:v>
      </x:c>
      <x:c r="B40" s="20" t="str">
        <x:v>Production quantity/UoM</x:v>
      </x:c>
      <x:c r="C40" s="20" t="str">
        <x:v>“16 double rolls on a single core and 1 single core reel” is not fully explicit as order quantity, reel count, roll count, or packaging unit.</x:v>
      </x:c>
      <x:c r="D40" s="20" t="str">
        <x:v>Confirm exact quantities, UoM, tolerances, and over/under-delivery rules.</x:v>
      </x:c>
    </x:row>
    <x:row r="41" ht="54" customHeight="1">
      <x:c r="A41" s="20" t="str">
        <x:v>OI-04</x:v>
      </x:c>
      <x:c r="B41" s="20" t="str">
        <x:v>FSC blocking point</x:v>
      </x:c>
      <x:c r="C41" s="20" t="str">
        <x:v>Requirement says balance is verified before order creation and imbalance blocks certification; exact system behavior is not defined.</x:v>
      </x:c>
      <x:c r="D41" s="20" t="str">
        <x:v>Confirm whether order save is blocked, order is put on hold, or only FSC claim/certification is blocked.</x:v>
      </x:c>
    </x:row>
    <x:row r="42" ht="54" customHeight="1">
      <x:c r="A42" s="20" t="str">
        <x:v>OI-05</x:v>
      </x:c>
      <x:c r="B42" s="20" t="str">
        <x:v>System landscape</x:v>
      </x:c>
      <x:c r="C42" s="20" t="str">
        <x:v>Only TIPS and SUO are named; ERP, QMS/LIMS, WMS/external warehouse, R2R, and BC applications/interfaces are not identified.</x:v>
      </x:c>
      <x:c r="D42" s="20" t="str">
        <x:v>Map logical components and interface ownership.</x:v>
      </x:c>
    </x:row>
    <x:row r="43" ht="54" customHeight="1">
      <x:c r="A43" s="20" t="str">
        <x:v>OI-06</x:v>
      </x:c>
      <x:c r="B43" s="20" t="str">
        <x:v>BIO-Burden specification</x:v>
      </x:c>
      <x:c r="C43" s="20" t="str">
        <x:v>Sampling plan, acceptance limits, retest rules, result codes, and approver roles are not provided.</x:v>
      </x:c>
      <x:c r="D43" s="20" t="str">
        <x:v>Provide approved inspection plan and decision rules.</x:v>
      </x:c>
    </x:row>
    <x:row r="44" ht="54" customHeight="1">
      <x:c r="A44" s="20" t="str">
        <x:v>OI-07</x:v>
      </x:c>
      <x:c r="B44" s="20" t="str">
        <x:v>Quality release statuses</x:v>
      </x:c>
      <x:c r="C44" s="20" t="str">
        <x:v>The formal release workflow, status codes, authorization, and override rules are not stated.</x:v>
      </x:c>
      <x:c r="D44" s="20" t="str">
        <x:v>Define release/hold/reject statuses and segregation of duties.</x:v>
      </x:c>
    </x:row>
    <x:row r="45" ht="54" customHeight="1">
      <x:c r="A45" s="20" t="str">
        <x:v>OI-08</x:v>
      </x:c>
      <x:c r="B45" s="20" t="str">
        <x:v>Return stock status</x:v>
      </x:c>
      <x:c r="C45" s="20" t="str">
        <x:v>Requirement says return all material back in stock but does not specify unrestricted, quality inspection, blocked, or scrap status.</x:v>
      </x:c>
      <x:c r="D45" s="20" t="str">
        <x:v>Confirm required return movement type and final stock status.</x:v>
      </x:c>
    </x:row>
    <x:row r="46" ht="54" customHeight="1">
      <x:c r="A46" s="20" t="str">
        <x:v>OI-09</x:v>
      </x:c>
      <x:c r="B46" s="20" t="str">
        <x:v>Invoice “deletion” method</x:v>
      </x:c>
      <x:c r="C46" s="20" t="str">
        <x:v>Legal/accounting handling may require cancellation, credit memo, or reversal rather than physical deletion.</x:v>
      </x:c>
      <x:c r="D46" s="20" t="str">
        <x:v>Confirm approved country/legal process and accounting documents.</x:v>
      </x:c>
    </x:row>
    <x:row r="47" ht="54" customHeight="1">
      <x:c r="A47" s="20" t="str">
        <x:v>OI-10</x:v>
      </x:c>
      <x:c r="B47" s="20" t="str">
        <x:v>FSC reversal on return</x:v>
      </x:c>
      <x:c r="C47" s="20" t="str">
        <x:v>The requirement does not state how FSC consumption/reservation is reversed after full return and invoice cancellation.</x:v>
      </x:c>
      <x:c r="D47" s="20" t="str">
        <x:v>Confirm chain-of-custody accounting treatment.</x:v>
      </x:c>
    </x:row>
    <x:row r="48" ht="54" customHeight="1">
      <x:c r="A48" s="20" t="str">
        <x:v>OI-11</x:v>
      </x:c>
      <x:c r="B48" s="20" t="str">
        <x:v>Document content</x:v>
      </x:c>
      <x:c r="C48" s="20" t="str">
        <x:v>Templates and mandatory fields for order forms, labels, invoice, CoA, and packing list are not supplied.</x:v>
      </x:c>
      <x:c r="D48" s="20" t="str">
        <x:v>Provide approved forms and field-level acceptance criteria.</x:v>
      </x:c>
    </x:row>
    <x:row r="49" ht="54" customHeight="1">
      <x:c r="A49" s="20" t="str">
        <x:v>OI-12</x:v>
      </x:c>
      <x:c r="B49" s="20" t="str">
        <x:v>Roles and approvals</x:v>
      </x:c>
      <x:c r="C49" s="20" t="str">
        <x:v>Test users and roles are explicitly deferred to a later stage.</x:v>
      </x:c>
      <x:c r="D49" s="20" t="str">
        <x:v>Define creator, planner, producer, sampler, quality approver, warehouse, shipping, invoicing, and finance roles.</x:v>
      </x:c>
    </x:row>
  </x:sheetData>
  <x:mergeCells>
    <x:mergeCell ref="A1:H2"/>
    <x:mergeCell ref="D4:H4"/>
    <x:mergeCell ref="A15:B15"/>
    <x:mergeCell ref="A15:C15"/>
    <x:mergeCell ref="A36:F36"/>
  </x:mergeCells>
  <x:pageMargins left="0.7" right="0.7" top="0.75" bottom="0.75" header="0.3" footer="0.3"/>
  <x:drawing xmlns:r="http://schemas.openxmlformats.org/officeDocument/2006/relationships" r:id="R289e9f7b6b9a4ba0"/>
</x:worksheet>
</file>

<file path=xl/worksheets/sheet2.xml><?xml version="1.0" encoding="utf-8"?>
<x:worksheet xmlns:x="http://schemas.openxmlformats.org/spreadsheetml/2006/main">
  <x:sheetFormatPr defaultRowHeight="15"/>
  <x:cols>
    <x:col min="1" max="1" width="11" hidden="0" customWidth="1"/>
    <x:col min="2" max="2" width="18" hidden="0" customWidth="1"/>
    <x:col min="3" max="3" width="20" hidden="0" customWidth="1"/>
    <x:col min="4" max="4" width="36" hidden="0" customWidth="1"/>
    <x:col min="5" max="5" width="20" hidden="0" customWidth="1"/>
    <x:col min="6" max="6" width="9" hidden="0" customWidth="1"/>
    <x:col min="7" max="7" width="38" hidden="0" customWidth="1"/>
    <x:col min="8" max="8" width="34" hidden="0" customWidth="1"/>
    <x:col min="9" max="9" width="56" hidden="0" customWidth="1"/>
    <x:col min="10" max="10" width="48" hidden="0" customWidth="1"/>
    <x:col min="11" max="11" width="36" hidden="0" customWidth="1"/>
    <x:col min="12" max="12" width="16" hidden="0" customWidth="1"/>
    <x:col min="13" max="13" width="15" hidden="0" customWidth="1"/>
    <x:col min="14" max="14" width="18" hidden="0" customWidth="1"/>
    <x:col min="15" max="15" width="38" hidden="0" customWidth="1"/>
    <x:col min="16" max="16" width="14" hidden="0" customWidth="1"/>
    <x:col min="17" max="17" width="24" hidden="0" customWidth="1"/>
  </x:cols>
  <x:sheetData>
    <x:row r="1">
      <x:c r="A1" s="33" t="str">
        <x:v>Test Case ID</x:v>
      </x:c>
      <x:c r="B1" s="33" t="str">
        <x:v>Requirement ID</x:v>
      </x:c>
      <x:c r="C1" s="33" t="str">
        <x:v>Process Area</x:v>
      </x:c>
      <x:c r="D1" s="33" t="str">
        <x:v>Test Case Title</x:v>
      </x:c>
      <x:c r="E1" s="33" t="str">
        <x:v>Test Type</x:v>
      </x:c>
      <x:c r="F1" s="33" t="str">
        <x:v>Priority</x:v>
      </x:c>
      <x:c r="G1" s="33" t="str">
        <x:v>Preconditions</x:v>
      </x:c>
      <x:c r="H1" s="33" t="str">
        <x:v>Test Data</x:v>
      </x:c>
      <x:c r="I1" s="33" t="str">
        <x:v>Test Steps</x:v>
      </x:c>
      <x:c r="J1" s="33" t="str">
        <x:v>Expected Result</x:v>
      </x:c>
      <x:c r="K1" s="33" t="str">
        <x:v>Assumption / Note</x:v>
      </x:c>
      <x:c r="L1" s="33" t="str">
        <x:v>Owner</x:v>
      </x:c>
      <x:c r="M1" s="33" t="str">
        <x:v>Status</x:v>
      </x:c>
      <x:c r="N1" s="33" t="str">
        <x:v>Execution Cycle</x:v>
      </x:c>
      <x:c r="O1" s="33" t="str">
        <x:v>Actual Result</x:v>
      </x:c>
      <x:c r="P1" s="33" t="str">
        <x:v>Defect ID</x:v>
      </x:c>
      <x:c r="Q1" s="33" t="str">
        <x:v>Evidence Link</x:v>
      </x:c>
    </x:row>
    <x:row r="2" ht="86" customHeight="1">
      <x:c r="A2" s="20" t="str">
        <x:v>TC-001</x:v>
      </x:c>
      <x:c r="B2" s="20" t="str">
        <x:v>REQ-14</x:v>
      </x:c>
      <x:c r="C2" s="20" t="str">
        <x:v>Master Data</x:v>
      </x:c>
      <x:c r="D2" s="20" t="str">
        <x:v>Validate business-approved customer and partner master</x:v>
      </x:c>
      <x:c r="E2" s="20" t="str">
        <x:v>Data validation</x:v>
      </x:c>
      <x:c r="F2" s="20" t="str">
        <x:v>P1</x:v>
      </x:c>
      <x:c r="G2" s="20" t="str">
        <x:v>Business confirms OI-01 and provides approved sold-to/ship-to/bill-to records.</x:v>
      </x:c>
      <x:c r="H2" s="20" t="str">
        <x:v>Confirmed customer; site Ställdalen; direct-order sales area.</x:v>
      </x:c>
      <x:c r="I2" s="20" t="str">
        <x:v>1. Open customer master and partner functions.
2. Verify sold-to, ship-to, bill-to, payer, delivery address, incoterms, and sales-area extension.
3. Verify customer is eligible for the relevant FSC claim and direct-order process.
4. Record business approval/evidence.</x:v>
      </x:c>
      <x:c r="J2" s="20" t="str">
        <x:v>All approved partner records exist, are active, and resolve consistently in the sales order; no unapproved customer identity is used.</x:v>
      </x:c>
      <x:c r="K2" s="20" t="str">
        <x:v>Customer name is parameterized until OI-01 is resolved.</x:v>
      </x:c>
      <x:c r="L2" s="20" t="str"/>
      <x:c r="M2" s="20" t="str">
        <x:v>Not Started</x:v>
      </x:c>
      <x:c r="N2" s="20" t="str"/>
      <x:c r="O2" s="20" t="str"/>
      <x:c r="P2" s="20" t="str"/>
      <x:c r="Q2" s="20" t="str"/>
    </x:row>
    <x:row r="3" ht="86" customHeight="1">
      <x:c r="A3" s="20" t="str">
        <x:v>TC-002</x:v>
      </x:c>
      <x:c r="B3" s="20" t="str">
        <x:v>REQ-01, REQ-03</x:v>
      </x:c>
      <x:c r="C3" s="20" t="str">
        <x:v>Master Data</x:v>
      </x:c>
      <x:c r="D3" s="20" t="str">
        <x:v>Validate grade and customer-product references</x:v>
      </x:c>
      <x:c r="E3" s="20" t="str">
        <x:v>Data validation</x:v>
      </x:c>
      <x:c r="F3" s="20" t="str">
        <x:v>P1</x:v>
      </x:c>
      <x:c r="G3" s="20" t="str">
        <x:v>Material masters are loaded in the test environment.</x:v>
      </x:c>
      <x:c r="H3" s="20" t="str">
        <x:v>Grade SD0792060; Single Reel 284532; Twin Reel 329192.</x:v>
      </x:c>
      <x:c r="I3" s="20" t="str">
        <x:v>1. Display grade/material master records.
2. Verify customer-material mappings for single and twin reels.
3. Verify descriptions, UoM, dimensions, sales status, production status, and site extension.
4. Attempt order entry using each customer product reference.</x:v>
      </x:c>
      <x:c r="J3" s="20" t="str">
        <x:v>Both product references resolve to the intended grade/configuration and can be used together in one order without substitution or ambiguity.</x:v>
      </x:c>
      <x:c r="K3" s="20" t="str"/>
      <x:c r="L3" s="20" t="str"/>
      <x:c r="M3" s="20" t="str">
        <x:v>Not Started</x:v>
      </x:c>
      <x:c r="N3" s="20" t="str"/>
      <x:c r="O3" s="20" t="str"/>
      <x:c r="P3" s="20" t="str"/>
      <x:c r="Q3" s="20" t="str"/>
    </x:row>
    <x:row r="4" ht="86" customHeight="1">
      <x:c r="A4" s="20" t="str">
        <x:v>TC-003</x:v>
      </x:c>
      <x:c r="B4" s="20" t="str">
        <x:v>REQ-02</x:v>
      </x:c>
      <x:c r="C4" s="20" t="str">
        <x:v>Master Data</x:v>
      </x:c>
      <x:c r="D4" s="20" t="str">
        <x:v>Validate FSC Credit Mix master data and opening balance</x:v>
      </x:c>
      <x:c r="E4" s="20" t="str">
        <x:v>Data validation / Control</x:v>
      </x:c>
      <x:c r="F4" s="20" t="str">
        <x:v>P1</x:v>
      </x:c>
      <x:c r="G4" s="20" t="str">
        <x:v>FSC chain-of-custody configuration is available.</x:v>
      </x:c>
      <x:c r="H4" s="20" t="str">
        <x:v>Approved FSC Credit Mix opening balance, validity period, site, and material scope.</x:v>
      </x:c>
      <x:c r="I4" s="20" t="str">
        <x:v>1. Verify FSC claim configuration for grade/material and site.
2. Load or confirm opening certified-input/credit balance.
3. Verify validity dates and unit conversion.
4. Run FSC availability inquiry for the planned order quantity.</x:v>
      </x:c>
      <x:c r="J4" s="20" t="str">
        <x:v>System returns an auditable FSC Credit Mix availability for the correct site/material/UoM and does not mix expired or out-of-scope credit.</x:v>
      </x:c>
      <x:c r="K4" s="20" t="str"/>
      <x:c r="L4" s="20" t="str"/>
      <x:c r="M4" s="20" t="str">
        <x:v>Not Started</x:v>
      </x:c>
      <x:c r="N4" s="20" t="str"/>
      <x:c r="O4" s="20" t="str"/>
      <x:c r="P4" s="20" t="str"/>
      <x:c r="Q4" s="20" t="str"/>
    </x:row>
    <x:row r="5" ht="86" customHeight="1">
      <x:c r="A5" s="20" t="str">
        <x:v>TC-004</x:v>
      </x:c>
      <x:c r="B5" s="20" t="str">
        <x:v>REQ-03, REQ-04</x:v>
      </x:c>
      <x:c r="C5" s="20" t="str">
        <x:v>Master Data</x:v>
      </x:c>
      <x:c r="D5" s="20" t="str">
        <x:v>Validate BOM, routing, and 16+1 production configuration</x:v>
      </x:c>
      <x:c r="E5" s="20" t="str">
        <x:v>Data validation</x:v>
      </x:c>
      <x:c r="F5" s="20" t="str">
        <x:v>P1</x:v>
      </x:c>
      <x:c r="G5" s="20" t="str">
        <x:v>Business-approved BOM/routing/version is available.</x:v>
      </x:c>
      <x:c r="H5" s="20" t="str">
        <x:v>Södra Blue pulp; Lyocell 1.4×10mm; 16 twin reels + 1 single reel.</x:v>
      </x:c>
      <x:c r="I5" s="20" t="str">
        <x:v>1. Display BOM and routing/recipe.
2. Verify both raw materials and approved quantities/scrap factors.
3. Verify operations support twin and single reel production in one linked plan.
4. Verify single-reel inspection activity and reel identification are represented.</x:v>
      </x:c>
      <x:c r="J5" s="20" t="str">
        <x:v>Released BOM/routing supports the business-confirmed 16+1 configuration and required inspection without manual quantity distortion.</x:v>
      </x:c>
      <x:c r="K5" s="20" t="str">
        <x:v>Exact UoM and tolerances depend on OI-03.</x:v>
      </x:c>
      <x:c r="L5" s="20" t="str"/>
      <x:c r="M5" s="20" t="str">
        <x:v>Not Started</x:v>
      </x:c>
      <x:c r="N5" s="20" t="str"/>
      <x:c r="O5" s="20" t="str"/>
      <x:c r="P5" s="20" t="str"/>
      <x:c r="Q5" s="20" t="str"/>
    </x:row>
    <x:row r="6" ht="86" customHeight="1">
      <x:c r="A6" s="20" t="str">
        <x:v>TC-005</x:v>
      </x:c>
      <x:c r="B6" s="20" t="str">
        <x:v>REQ-04, REQ-09</x:v>
      </x:c>
      <x:c r="C6" s="20" t="str">
        <x:v>Master Data</x:v>
      </x:c>
      <x:c r="D6" s="20" t="str">
        <x:v>Validate storage locations and external-warehouse route</x:v>
      </x:c>
      <x:c r="E6" s="20" t="str">
        <x:v>Data validation / Integration</x:v>
      </x:c>
      <x:c r="F6" s="20" t="str">
        <x:v>P1</x:v>
      </x:c>
      <x:c r="G6" s="20" t="str">
        <x:v>OI-02 is resolved and logistics master data is loaded.</x:v>
      </x:c>
      <x:c r="H6" s="20" t="str">
        <x:v>ÖMAG source; confirmed production destination; external warehouse; shuttle route.</x:v>
      </x:c>
      <x:c r="I6" s="20" t="str">
        <x:v>1. Verify source and destination storage locations.
2. Verify transfer route/movement type from ÖMAG to production destination.
3. Verify external-warehouse storage location, shipping point, and shuttle route.
4. Verify inventory ownership and batch/reel traceability settings.</x:v>
      </x:c>
      <x:c r="J6" s="20" t="str">
        <x:v>All locations and routes are active and support end-to-end stock movements without losing batch, reel, quality, or FSC attributes.</x:v>
      </x:c>
      <x:c r="K6" s="20" t="str"/>
      <x:c r="L6" s="20" t="str"/>
      <x:c r="M6" s="20" t="str">
        <x:v>Not Started</x:v>
      </x:c>
      <x:c r="N6" s="20" t="str"/>
      <x:c r="O6" s="20" t="str"/>
      <x:c r="P6" s="20" t="str"/>
      <x:c r="Q6" s="20" t="str"/>
    </x:row>
    <x:row r="7" ht="86" customHeight="1">
      <x:c r="A7" s="20" t="str">
        <x:v>TC-006</x:v>
      </x:c>
      <x:c r="B7" s="20" t="str">
        <x:v>REQ-07, REQ-08</x:v>
      </x:c>
      <x:c r="C7" s="20" t="str">
        <x:v>Master Data</x:v>
      </x:c>
      <x:c r="D7" s="20" t="str">
        <x:v>Validate BIO-Burden inspection plan and quality-release workflow</x:v>
      </x:c>
      <x:c r="E7" s="20" t="str">
        <x:v>Data validation / Control</x:v>
      </x:c>
      <x:c r="F7" s="20" t="str">
        <x:v>P1</x:v>
      </x:c>
      <x:c r="G7" s="20" t="str">
        <x:v>Business provides approved BIO-Burden specification and roles.</x:v>
      </x:c>
      <x:c r="H7" s="20" t="str">
        <x:v>Inspection type; sampling point; result limits; release/hold/reject statuses.</x:v>
      </x:c>
      <x:c r="I7" s="20" t="str">
        <x:v>1. Display inspection plan/specification.
2. Verify sample creation trigger and required characteristic(s).
3. Verify result valuation and approval workflow.
4. Verify quality status maps to warehouse shipment block/release.</x:v>
      </x:c>
      <x:c r="J7" s="20" t="str">
        <x:v>A mandatory BIO-Burden inspection and controlled Quality Release are configured; incomplete or failed results cannot create a shippable status.</x:v>
      </x:c>
      <x:c r="K7" s="20" t="str">
        <x:v>Acceptance limits and retest rules depend on OI-06/OI-07.</x:v>
      </x:c>
      <x:c r="L7" s="20" t="str"/>
      <x:c r="M7" s="20" t="str">
        <x:v>Not Started</x:v>
      </x:c>
      <x:c r="N7" s="20" t="str"/>
      <x:c r="O7" s="20" t="str"/>
      <x:c r="P7" s="20" t="str"/>
      <x:c r="Q7" s="20" t="str"/>
    </x:row>
    <x:row r="8" ht="86" customHeight="1">
      <x:c r="A8" s="20" t="str">
        <x:v>TC-007</x:v>
      </x:c>
      <x:c r="B8" s="20" t="str">
        <x:v>REQ-11</x:v>
      </x:c>
      <x:c r="C8" s="20" t="str">
        <x:v>Master Data</x:v>
      </x:c>
      <x:c r="D8" s="20" t="str">
        <x:v>Validate pricing, tax, currency, and account determination</x:v>
      </x:c>
      <x:c r="E8" s="20" t="str">
        <x:v>Data validation</x:v>
      </x:c>
      <x:c r="F8" s="20" t="str">
        <x:v>P2</x:v>
      </x:c>
      <x:c r="G8" s="20" t="str">
        <x:v>Commercial and finance master data are approved.</x:v>
      </x:c>
      <x:c r="H8" s="20" t="str">
        <x:v>Approved price; currency; tax; payment terms; G/L/account determination.</x:v>
      </x:c>
      <x:c r="I8" s="20" t="str">
        <x:v>1. Create a pricing simulation for both products.
2. Verify condition records and tax determination.
3. Verify invoice account determination and customer reconciliation account.
4. Record expected accounting entries for comparison.</x:v>
      </x:c>
      <x:c r="J8" s="20" t="str">
        <x:v>Pricing and accounting determination are complete and consistent for both single and twin items.</x:v>
      </x:c>
      <x:c r="K8" s="20" t="str"/>
      <x:c r="L8" s="20" t="str"/>
      <x:c r="M8" s="20" t="str">
        <x:v>Not Started</x:v>
      </x:c>
      <x:c r="N8" s="20" t="str"/>
      <x:c r="O8" s="20" t="str"/>
      <x:c r="P8" s="20" t="str"/>
      <x:c r="Q8" s="20" t="str"/>
    </x:row>
    <x:row r="9" ht="86" customHeight="1">
      <x:c r="A9" s="20" t="str">
        <x:v>TC-008</x:v>
      </x:c>
      <x:c r="B9" s="20" t="str">
        <x:v>REQ-14</x:v>
      </x:c>
      <x:c r="C9" s="20" t="str">
        <x:v>Security and Roles</x:v>
      </x:c>
      <x:c r="D9" s="20" t="str">
        <x:v>Validate role assignments and segregation of duties</x:v>
      </x:c>
      <x:c r="E9" s="20" t="str">
        <x:v>Authorization / Control</x:v>
      </x:c>
      <x:c r="F9" s="20" t="str">
        <x:v>P1</x:v>
      </x:c>
      <x:c r="G9" s="20" t="str">
        <x:v>Named test users are created.</x:v>
      </x:c>
      <x:c r="H9" s="20" t="str">
        <x:v>Order creator; planner; production operator; sampler; quality approver; warehouse; shipping; billing; finance.</x:v>
      </x:c>
      <x:c r="I9" s="20" t="str">
        <x:v>1. Log in with each test role.
2. Verify permitted transactions/actions.
3. Attempt restricted actions such as quality release by warehouse user and invoice reversal by order creator.
4. Review authorization logs.</x:v>
      </x:c>
      <x:c r="J9" s="20" t="str">
        <x:v>Each role can perform assigned steps only; critical release, shipment, and finance actions are restricted and auditable.</x:v>
      </x:c>
      <x:c r="K9" s="20" t="str">
        <x:v>Final role matrix depends on OI-12.</x:v>
      </x:c>
      <x:c r="L9" s="20" t="str"/>
      <x:c r="M9" s="20" t="str">
        <x:v>Not Started</x:v>
      </x:c>
      <x:c r="N9" s="20" t="str"/>
      <x:c r="O9" s="20" t="str"/>
      <x:c r="P9" s="20" t="str"/>
      <x:c r="Q9" s="20" t="str"/>
    </x:row>
    <x:row r="10" ht="86" customHeight="1">
      <x:c r="A10" s="20" t="str">
        <x:v>TC-009</x:v>
      </x:c>
      <x:c r="B10" s="20" t="str">
        <x:v>REQ-01, REQ-02</x:v>
      </x:c>
      <x:c r="C10" s="20" t="str">
        <x:v>Sales Order</x:v>
      </x:c>
      <x:c r="D10" s="20" t="str">
        <x:v>Create valid direct order with both single and twin reel items</x:v>
      </x:c>
      <x:c r="E10" s="20" t="str">
        <x:v>Positive E2E</x:v>
      </x:c>
      <x:c r="F10" s="20" t="str">
        <x:v>P1</x:v>
      </x:c>
      <x:c r="G10" s="20" t="str">
        <x:v>TC-001 to TC-003 passed; sufficient FSC credit exists.</x:v>
      </x:c>
      <x:c r="H10" s="20" t="str">
        <x:v>Confirmed customer; Single 284532; Twin 329192; approved quantities and requested date.</x:v>
      </x:c>
      <x:c r="I10" s="20" t="str">
        <x:v>1. Create a direct sales order for the confirmed customer.
2. Enter twin-reel and single-reel customer products as separate lines.
3. Enter requested quantity, UoM, date, site, and FSC claim.
4. Save the order and capture order number/status.</x:v>
      </x:c>
      <x:c r="J10" s="20" t="str">
        <x:v>Order saves successfully with both lines, correct product mapping, FSC availability confirmation/reservation, and no incompletion errors.</x:v>
      </x:c>
      <x:c r="K10" s="20" t="str"/>
      <x:c r="L10" s="20" t="str"/>
      <x:c r="M10" s="20" t="str">
        <x:v>Not Started</x:v>
      </x:c>
      <x:c r="N10" s="20" t="str"/>
      <x:c r="O10" s="20" t="str"/>
      <x:c r="P10" s="20" t="str"/>
      <x:c r="Q10" s="20" t="str"/>
    </x:row>
    <x:row r="11" ht="86" customHeight="1">
      <x:c r="A11" s="20" t="str">
        <x:v>TC-010</x:v>
      </x:c>
      <x:c r="B11" s="20" t="str">
        <x:v>REQ-01, REQ-03, REQ-06</x:v>
      </x:c>
      <x:c r="C11" s="20" t="str">
        <x:v>Sales Order</x:v>
      </x:c>
      <x:c r="D11" s="20" t="str">
        <x:v>Attempt order without the required single reel</x:v>
      </x:c>
      <x:c r="E11" s="20" t="str">
        <x:v>Negative / Control</x:v>
      </x:c>
      <x:c r="F11" s="20" t="str">
        <x:v>P1</x:v>
      </x:c>
      <x:c r="G11" s="20" t="str">
        <x:v>Order-entry validations are configured.</x:v>
      </x:c>
      <x:c r="H11" s="20" t="str">
        <x:v>Valid twin item only; sufficient FSC balance.</x:v>
      </x:c>
      <x:c r="I11" s="20" t="str">
        <x:v>1. Create a new order with only the twin-reel item.
2. Run completeness/availability/FSC checks.
3. Attempt to save or release the order to planning.</x:v>
      </x:c>
      <x:c r="J11" s="20" t="str">
        <x:v>System blocks or places the order on an explicit hold/incompletion status because the quality-reference single reel is missing; reason is visible.</x:v>
      </x:c>
      <x:c r="K11" s="20" t="str">
        <x:v>Exact blocking behavior to be confirmed with business.</x:v>
      </x:c>
      <x:c r="L11" s="20" t="str"/>
      <x:c r="M11" s="20" t="str">
        <x:v>Not Started</x:v>
      </x:c>
      <x:c r="N11" s="20" t="str"/>
      <x:c r="O11" s="20" t="str"/>
      <x:c r="P11" s="20" t="str"/>
      <x:c r="Q11" s="20" t="str"/>
    </x:row>
    <x:row r="12" ht="86" customHeight="1">
      <x:c r="A12" s="20" t="str">
        <x:v>TC-011</x:v>
      </x:c>
      <x:c r="B12" s="20" t="str">
        <x:v>REQ-01, REQ-03</x:v>
      </x:c>
      <x:c r="C12" s="20" t="str">
        <x:v>Sales Order</x:v>
      </x:c>
      <x:c r="D12" s="20" t="str">
        <x:v>Attempt order without the twin-reel item</x:v>
      </x:c>
      <x:c r="E12" s="20" t="str">
        <x:v>Negative</x:v>
      </x:c>
      <x:c r="F12" s="20" t="str">
        <x:v>P2</x:v>
      </x:c>
      <x:c r="G12" s="20" t="str">
        <x:v>Order-entry validations are configured.</x:v>
      </x:c>
      <x:c r="H12" s="20" t="str">
        <x:v>Valid single item only.</x:v>
      </x:c>
      <x:c r="I12" s="20" t="str">
        <x:v>1. Create a new order with only the single-reel item.
2. Run completeness checks.
3. Attempt to save/release to planning.</x:v>
      </x:c>
      <x:c r="J12" s="20" t="str">
        <x:v>Order is rejected or identified as not representing this scenario; it cannot be mistaken for the Twin Reel FSC E2E order.</x:v>
      </x:c>
      <x:c r="K12" s="20" t="str"/>
      <x:c r="L12" s="20" t="str"/>
      <x:c r="M12" s="20" t="str">
        <x:v>Not Started</x:v>
      </x:c>
      <x:c r="N12" s="20" t="str"/>
      <x:c r="O12" s="20" t="str"/>
      <x:c r="P12" s="20" t="str"/>
      <x:c r="Q12" s="20" t="str"/>
    </x:row>
    <x:row r="13" ht="86" customHeight="1">
      <x:c r="A13" s="20" t="str">
        <x:v>TC-012</x:v>
      </x:c>
      <x:c r="B13" s="20" t="str">
        <x:v>REQ-03</x:v>
      </x:c>
      <x:c r="C13" s="20" t="str">
        <x:v>Sales Order</x:v>
      </x:c>
      <x:c r="D13" s="20" t="str">
        <x:v>Validate incorrect quantity ratio or UoM</x:v>
      </x:c>
      <x:c r="E13" s="20" t="str">
        <x:v>Negative / Boundary</x:v>
      </x:c>
      <x:c r="F13" s="20" t="str">
        <x:v>P1</x:v>
      </x:c>
      <x:c r="G13" s="20" t="str">
        <x:v>OI-03 is resolved and quantity rules are configured.</x:v>
      </x:c>
      <x:c r="H13" s="20" t="str">
        <x:v>Examples: 15 twin + 1 single; 16 twin + 0 single; incompatible UoM.</x:v>
      </x:c>
      <x:c r="I13" s="20" t="str">
        <x:v>1. Create orders using each invalid quantity/UoM combination.
2. Run configuration and completeness checks.
3. Attempt planning release.</x:v>
      </x:c>
      <x:c r="J13" s="20" t="str">
        <x:v>Invalid combinations are blocked or clearly flagged; only the approved quantity/UoM pattern proceeds.</x:v>
      </x:c>
      <x:c r="K13" s="20" t="str"/>
      <x:c r="L13" s="20" t="str"/>
      <x:c r="M13" s="20" t="str">
        <x:v>Not Started</x:v>
      </x:c>
      <x:c r="N13" s="20" t="str"/>
      <x:c r="O13" s="20" t="str"/>
      <x:c r="P13" s="20" t="str"/>
      <x:c r="Q13" s="20" t="str"/>
    </x:row>
    <x:row r="14" ht="86" customHeight="1">
      <x:c r="A14" s="20" t="str">
        <x:v>TC-013</x:v>
      </x:c>
      <x:c r="B14" s="20" t="str">
        <x:v>REQ-02</x:v>
      </x:c>
      <x:c r="C14" s="20" t="str">
        <x:v>Sales Order</x:v>
      </x:c>
      <x:c r="D14" s="20" t="str">
        <x:v>Block order when FSC Credit Mix balance is insufficient</x:v>
      </x:c>
      <x:c r="E14" s="20" t="str">
        <x:v>Negative / Control</x:v>
      </x:c>
      <x:c r="F14" s="20" t="str">
        <x:v>P1</x:v>
      </x:c>
      <x:c r="G14" s="20" t="str">
        <x:v>FSC available balance is below required order consumption.</x:v>
      </x:c>
      <x:c r="H14" s="20" t="str">
        <x:v>Order quantity requiring more FSC credit than available.</x:v>
      </x:c>
      <x:c r="I14" s="20" t="str">
        <x:v>1. Check opening FSC balance.
2. Enter both order lines and required FSC claim.
3. Attempt to save/create/release the order.
4. Review FSC ledger/reservation after failure.</x:v>
      </x:c>
      <x:c r="J14" s="20" t="str">
        <x:v>Configured blocking control is triggered; certification is not granted, no excessive FSC reservation is posted, and the shortage is clearly reported.</x:v>
      </x:c>
      <x:c r="K14" s="20" t="str">
        <x:v>OI-04 determines whether save or subsequent release is blocked.</x:v>
      </x:c>
      <x:c r="L14" s="20" t="str"/>
      <x:c r="M14" s="20" t="str">
        <x:v>Not Started</x:v>
      </x:c>
      <x:c r="N14" s="20" t="str"/>
      <x:c r="O14" s="20" t="str"/>
      <x:c r="P14" s="20" t="str"/>
      <x:c r="Q14" s="20" t="str"/>
    </x:row>
    <x:row r="15" ht="86" customHeight="1">
      <x:c r="A15" s="20" t="str">
        <x:v>TC-014</x:v>
      </x:c>
      <x:c r="B15" s="20" t="str">
        <x:v>REQ-02</x:v>
      </x:c>
      <x:c r="C15" s="20" t="str">
        <x:v>Sales Order</x:v>
      </x:c>
      <x:c r="D15" s="20" t="str">
        <x:v>Validate exact-balance FSC boundary</x:v>
      </x:c>
      <x:c r="E15" s="20" t="str">
        <x:v>Boundary / Control</x:v>
      </x:c>
      <x:c r="F15" s="20" t="str">
        <x:v>P1</x:v>
      </x:c>
      <x:c r="G15" s="20" t="str">
        <x:v>FSC available balance equals the order requirement exactly.</x:v>
      </x:c>
      <x:c r="H15" s="20" t="str">
        <x:v>Opening FSC balance = calculated order FSC consumption.</x:v>
      </x:c>
      <x:c r="I15" s="20" t="str">
        <x:v>1. Create the valid order.
2. Run FSC availability and reservation.
3. Save/release the order.
4. Recheck remaining FSC balance.</x:v>
      </x:c>
      <x:c r="J15" s="20" t="str">
        <x:v>Order is accepted, exact amount is reserved/consumed according to design, and remaining available FSC balance is zero without rounding error.</x:v>
      </x:c>
      <x:c r="K15" s="20" t="str"/>
      <x:c r="L15" s="20" t="str"/>
      <x:c r="M15" s="20" t="str">
        <x:v>Not Started</x:v>
      </x:c>
      <x:c r="N15" s="20" t="str"/>
      <x:c r="O15" s="20" t="str"/>
      <x:c r="P15" s="20" t="str"/>
      <x:c r="Q15" s="20" t="str"/>
    </x:row>
    <x:row r="16" ht="86" customHeight="1">
      <x:c r="A16" s="20" t="str">
        <x:v>TC-015</x:v>
      </x:c>
      <x:c r="B16" s="20" t="str">
        <x:v>REQ-02</x:v>
      </x:c>
      <x:c r="C16" s="20" t="str">
        <x:v>Sales Order</x:v>
      </x:c>
      <x:c r="D16" s="20" t="str">
        <x:v>Prevent over-allocation by concurrent orders</x:v>
      </x:c>
      <x:c r="E16" s="20" t="str">
        <x:v>Concurrency / Control</x:v>
      </x:c>
      <x:c r="F16" s="20" t="str">
        <x:v>P1</x:v>
      </x:c>
      <x:c r="G16" s="20" t="str">
        <x:v>Two users/sessions and FSC balance sufficient for only one order.</x:v>
      </x:c>
      <x:c r="H16" s="20" t="str">
        <x:v>Two valid orders each requiring the same limited FSC balance.</x:v>
      </x:c>
      <x:c r="I16" s="20" t="str">
        <x:v>1. User A creates order and pauses before final save/release.
2. User B creates and saves/releases competing order.
3. User A completes save/release.
4. Review FSC reservations and messages.</x:v>
      </x:c>
      <x:c r="J16" s="20" t="str">
        <x:v>Only quantities supported by the FSC balance are accepted; locking/reservation prevents negative balance or duplicate certification.</x:v>
      </x:c>
      <x:c r="K16" s="20" t="str"/>
      <x:c r="L16" s="20" t="str"/>
      <x:c r="M16" s="20" t="str">
        <x:v>Not Started</x:v>
      </x:c>
      <x:c r="N16" s="20" t="str"/>
      <x:c r="O16" s="20" t="str"/>
      <x:c r="P16" s="20" t="str"/>
      <x:c r="Q16" s="20" t="str"/>
    </x:row>
    <x:row r="17" ht="86" customHeight="1">
      <x:c r="A17" s="20" t="str">
        <x:v>TC-016</x:v>
      </x:c>
      <x:c r="B17" s="20" t="str">
        <x:v>REQ-02</x:v>
      </x:c>
      <x:c r="C17" s="20" t="str">
        <x:v>Sales Order</x:v>
      </x:c>
      <x:c r="D17" s="20" t="str">
        <x:v>Revalidate FSC after order quantity increase</x:v>
      </x:c>
      <x:c r="E17" s="20" t="str">
        <x:v>Change / Negative</x:v>
      </x:c>
      <x:c r="F17" s="20" t="str">
        <x:v>P1</x:v>
      </x:c>
      <x:c r="G17" s="20" t="str">
        <x:v>Valid order exists; remaining FSC balance is insufficient for the increase.</x:v>
      </x:c>
      <x:c r="H17" s="20" t="str">
        <x:v>Increase twin quantity and corresponding single/configuration quantity.</x:v>
      </x:c>
      <x:c r="I17" s="20" t="str">
        <x:v>1. Open the valid order.
2. Increase quantity.
3. Save and rerun FSC check.
4. Review order and FSC statuses.</x:v>
      </x:c>
      <x:c r="J17" s="20" t="str">
        <x:v>System recalculates FSC requirement and blocks/holds the change if insufficient; original valid reservation remains consistent.</x:v>
      </x:c>
      <x:c r="K17" s="20" t="str"/>
      <x:c r="L17" s="20" t="str"/>
      <x:c r="M17" s="20" t="str">
        <x:v>Not Started</x:v>
      </x:c>
      <x:c r="N17" s="20" t="str"/>
      <x:c r="O17" s="20" t="str"/>
      <x:c r="P17" s="20" t="str"/>
      <x:c r="Q17" s="20" t="str"/>
    </x:row>
    <x:row r="18" ht="86" customHeight="1">
      <x:c r="A18" s="20" t="str">
        <x:v>TC-017</x:v>
      </x:c>
      <x:c r="B18" s="20" t="str">
        <x:v>REQ-02</x:v>
      </x:c>
      <x:c r="C18" s="20" t="str">
        <x:v>Sales Order</x:v>
      </x:c>
      <x:c r="D18" s="20" t="str">
        <x:v>Release FSC reservation after order reduction or cancellation</x:v>
      </x:c>
      <x:c r="E18" s="20" t="str">
        <x:v>Change / Reconciliation</x:v>
      </x:c>
      <x:c r="F18" s="20" t="str">
        <x:v>P1</x:v>
      </x:c>
      <x:c r="G18" s="20" t="str">
        <x:v>Order has an FSC reservation and has not been invoiced.</x:v>
      </x:c>
      <x:c r="H18" s="20" t="str">
        <x:v>Reduce quantity; then cancel remaining order.</x:v>
      </x:c>
      <x:c r="I18" s="20" t="str">
        <x:v>1. Record FSC reserved and available balances.
2. Reduce order quantity and save.
3. Verify partial reservation release.
4. Cancel remaining order and verify final release.</x:v>
      </x:c>
      <x:c r="J18" s="20" t="str">
        <x:v>FSC ledger/reservation is adjusted exactly once, releasing unused credit and retaining a complete audit trail.</x:v>
      </x:c>
      <x:c r="K18" s="20" t="str"/>
      <x:c r="L18" s="20" t="str"/>
      <x:c r="M18" s="20" t="str">
        <x:v>Not Started</x:v>
      </x:c>
      <x:c r="N18" s="20" t="str"/>
      <x:c r="O18" s="20" t="str"/>
      <x:c r="P18" s="20" t="str"/>
      <x:c r="Q18" s="20" t="str"/>
    </x:row>
    <x:row r="19" ht="86" customHeight="1">
      <x:c r="A19" s="20" t="str">
        <x:v>TC-018</x:v>
      </x:c>
      <x:c r="B19" s="20" t="str">
        <x:v>REQ-02, REQ-13</x:v>
      </x:c>
      <x:c r="C19" s="20" t="str">
        <x:v>Sales Order</x:v>
      </x:c>
      <x:c r="D19" s="20" t="str">
        <x:v>Trace FSC claim from order through invoice</x:v>
      </x:c>
      <x:c r="E19" s="20" t="str">
        <x:v>Traceability / E2E</x:v>
      </x:c>
      <x:c r="F19" s="20" t="str">
        <x:v>P1</x:v>
      </x:c>
      <x:c r="G19" s="20" t="str">
        <x:v>A full successful order is available.</x:v>
      </x:c>
      <x:c r="H19" s="20" t="str">
        <x:v>Order, production, delivery, shipment, invoice, and FSC ledger identifiers.</x:v>
      </x:c>
      <x:c r="I19" s="20" t="str">
        <x:v>1. Record FSC claim/reference at order creation.
2. Trace it through planning, production batch/reels, warehouse stock, delivery, and invoice.
3. Compare quantities/UoM at each stage.</x:v>
      </x:c>
      <x:c r="J19" s="20" t="str">
        <x:v>A complete, consistent chain-of-custody trail links certified input/credit, ordered quantity, produced reels, shipped quantity, and invoiced FSC claim.</x:v>
      </x:c>
      <x:c r="K19" s="20" t="str"/>
      <x:c r="L19" s="20" t="str"/>
      <x:c r="M19" s="20" t="str">
        <x:v>Not Started</x:v>
      </x:c>
      <x:c r="N19" s="20" t="str"/>
      <x:c r="O19" s="20" t="str"/>
      <x:c r="P19" s="20" t="str"/>
      <x:c r="Q19" s="20" t="str"/>
    </x:row>
    <x:row r="20" ht="86" customHeight="1">
      <x:c r="A20" s="20" t="str">
        <x:v>TC-019</x:v>
      </x:c>
      <x:c r="B20" s="20" t="str">
        <x:v>REQ-03, REQ-05</x:v>
      </x:c>
      <x:c r="C20" s="20" t="str">
        <x:v>MRP / TIPS</x:v>
      </x:c>
      <x:c r="D20" s="20" t="str">
        <x:v>MRP creates requirements for both reel configurations</x:v>
      </x:c>
      <x:c r="E20" s="20" t="str">
        <x:v>Positive / Integration</x:v>
      </x:c>
      <x:c r="F20" s="20" t="str">
        <x:v>P1</x:v>
      </x:c>
      <x:c r="G20" s="20" t="str">
        <x:v>Valid sales order is released to planning.</x:v>
      </x:c>
      <x:c r="H20" s="20" t="str">
        <x:v>Approved 16+1 quantity pattern and dates.</x:v>
      </x:c>
      <x:c r="I20" s="20" t="str">
        <x:v>1. Run MRP for site/material.
2. Review planned requirements for twin and single products.
3. Trace requirements back to sales-order lines.</x:v>
      </x:c>
      <x:c r="J20" s="20" t="str">
        <x:v>MRP creates linked, dated requirements for both configurations with no missing or duplicate demand.</x:v>
      </x:c>
      <x:c r="K20" s="20" t="str"/>
      <x:c r="L20" s="20" t="str"/>
      <x:c r="M20" s="20" t="str">
        <x:v>Not Started</x:v>
      </x:c>
      <x:c r="N20" s="20" t="str"/>
      <x:c r="O20" s="20" t="str"/>
      <x:c r="P20" s="20" t="str"/>
      <x:c r="Q20" s="20" t="str"/>
    </x:row>
    <x:row r="21" ht="86" customHeight="1">
      <x:c r="A21" s="20" t="str">
        <x:v>TC-020</x:v>
      </x:c>
      <x:c r="B21" s="20" t="str">
        <x:v>REQ-04</x:v>
      </x:c>
      <x:c r="C21" s="20" t="str">
        <x:v>MRP / TIPS</x:v>
      </x:c>
      <x:c r="D21" s="20" t="str">
        <x:v>MRP calculates Södra Blue and Lyocell requirements</x:v>
      </x:c>
      <x:c r="E21" s="20" t="str">
        <x:v>Positive</x:v>
      </x:c>
      <x:c r="F21" s="20" t="str">
        <x:v>P1</x:v>
      </x:c>
      <x:c r="G21" s="20" t="str">
        <x:v>Valid BOM and sales demand exist.</x:v>
      </x:c>
      <x:c r="H21" s="20" t="str">
        <x:v>Approved BOM quantities and inventory.</x:v>
      </x:c>
      <x:c r="I21" s="20" t="str">
        <x:v>1. Run MRP/requirements calculation.
2. Review dependent requirements for both raw materials.
3. Compare quantities to BOM, lot size, scrap, and order quantity.</x:v>
      </x:c>
      <x:c r="J21" s="20" t="str">
        <x:v>Dependent requirements are generated for both Södra Blue pulp and Lyocell 1.4×10mm with correct quantity and date.</x:v>
      </x:c>
      <x:c r="K21" s="20" t="str"/>
      <x:c r="L21" s="20" t="str"/>
      <x:c r="M21" s="20" t="str">
        <x:v>Not Started</x:v>
      </x:c>
      <x:c r="N21" s="20" t="str"/>
      <x:c r="O21" s="20" t="str"/>
      <x:c r="P21" s="20" t="str"/>
      <x:c r="Q21" s="20" t="str"/>
    </x:row>
    <x:row r="22" ht="86" customHeight="1">
      <x:c r="A22" s="20" t="str">
        <x:v>TC-021</x:v>
      </x:c>
      <x:c r="B22" s="20" t="str">
        <x:v>REQ-04</x:v>
      </x:c>
      <x:c r="C22" s="20" t="str">
        <x:v>MRP / TIPS</x:v>
      </x:c>
      <x:c r="D22" s="20" t="str">
        <x:v>Handle insufficient raw material availability</x:v>
      </x:c>
      <x:c r="E22" s="20" t="str">
        <x:v>Negative / Planning</x:v>
      </x:c>
      <x:c r="F22" s="20" t="str">
        <x:v>P1</x:v>
      </x:c>
      <x:c r="G22" s="20" t="str">
        <x:v>One required raw material is below demand.</x:v>
      </x:c>
      <x:c r="H22" s="20" t="str">
        <x:v>Shortage of Södra Blue or Lyocell.</x:v>
      </x:c>
      <x:c r="I22" s="20" t="str">
        <x:v>1. Run MRP.
2. Review exception messages and material availability.
3. Attempt production-order release.</x:v>
      </x:c>
      <x:c r="J22" s="20" t="str">
        <x:v>Shortage is visible to planners; system creates approved replenishment/transfer proposal or blocks release according to design; no false availability is shown.</x:v>
      </x:c>
      <x:c r="K22" s="20" t="str"/>
      <x:c r="L22" s="20" t="str"/>
      <x:c r="M22" s="20" t="str">
        <x:v>Not Started</x:v>
      </x:c>
      <x:c r="N22" s="20" t="str"/>
      <x:c r="O22" s="20" t="str"/>
      <x:c r="P22" s="20" t="str"/>
      <x:c r="Q22" s="20" t="str"/>
    </x:row>
    <x:row r="23" ht="86" customHeight="1">
      <x:c r="A23" s="20" t="str">
        <x:v>TC-022</x:v>
      </x:c>
      <x:c r="B23" s="20" t="str">
        <x:v>REQ-04</x:v>
      </x:c>
      <x:c r="C23" s="20" t="str">
        <x:v>MRP / TIPS</x:v>
      </x:c>
      <x:c r="D23" s="20" t="str">
        <x:v>Create and execute raw-material transfer from ÖMAG</x:v>
      </x:c>
      <x:c r="E23" s="20" t="str">
        <x:v>Positive / Integration</x:v>
      </x:c>
      <x:c r="F23" s="20" t="str">
        <x:v>P1</x:v>
      </x:c>
      <x:c r="G23" s="20" t="str">
        <x:v>OI-02 resolved; source stock is available.</x:v>
      </x:c>
      <x:c r="H23" s="20" t="str">
        <x:v>Södra Blue and Lyocell lots at ÖMAG; confirmed destination.</x:v>
      </x:c>
      <x:c r="I23" s="20" t="str">
        <x:v>1. Create transfer requirement/order.
2. Pick/issue stock from ÖMAG.
3. Receive at confirmed destination.
4. Reconcile source, in-transit, and destination quantities/batches.</x:v>
      </x:c>
      <x:c r="J23" s="20" t="str">
        <x:v>Both materials move to the correct destination with exact quantity, batch/FSC attributes, and accounting/stock movement trace.</x:v>
      </x:c>
      <x:c r="K23" s="20" t="str"/>
      <x:c r="L23" s="20" t="str"/>
      <x:c r="M23" s="20" t="str">
        <x:v>Not Started</x:v>
      </x:c>
      <x:c r="N23" s="20" t="str"/>
      <x:c r="O23" s="20" t="str"/>
      <x:c r="P23" s="20" t="str"/>
      <x:c r="Q23" s="20" t="str"/>
    </x:row>
    <x:row r="24" ht="86" customHeight="1">
      <x:c r="A24" s="20" t="str">
        <x:v>TC-023</x:v>
      </x:c>
      <x:c r="B24" s="20" t="str">
        <x:v>REQ-05</x:v>
      </x:c>
      <x:c r="C24" s="20" t="str">
        <x:v>MRP / TIPS</x:v>
      </x:c>
      <x:c r="D24" s="20" t="str">
        <x:v>Transfer sales-order demand to TIPS</x:v>
      </x:c>
      <x:c r="E24" s="20" t="str">
        <x:v>Interface / Positive</x:v>
      </x:c>
      <x:c r="F24" s="20" t="str">
        <x:v>P1</x:v>
      </x:c>
      <x:c r="G24" s="20" t="str">
        <x:v>Sales order and MRP requirements are ready; TIPS interface is active.</x:v>
      </x:c>
      <x:c r="H24" s="20" t="str">
        <x:v>Order number, items, quantities, dates, grade, customer, and FSC indicator.</x:v>
      </x:c>
      <x:c r="I24" s="20" t="str">
        <x:v>1. Trigger or wait for interface transmission.
2. Locate order in TIPS.
3. Compare all key fields with source order.
4. Confirm interface acknowledgement/status.</x:v>
      </x:c>
      <x:c r="J24" s="20" t="str">
        <x:v>TIPS receives one complete order with correct item split, quantities, dates, grade, site, and traceable source identifier.</x:v>
      </x:c>
      <x:c r="K24" s="20" t="str"/>
      <x:c r="L24" s="20" t="str"/>
      <x:c r="M24" s="20" t="str">
        <x:v>Not Started</x:v>
      </x:c>
      <x:c r="N24" s="20" t="str"/>
      <x:c r="O24" s="20" t="str"/>
      <x:c r="P24" s="20" t="str"/>
      <x:c r="Q24" s="20" t="str"/>
    </x:row>
    <x:row r="25" ht="86" customHeight="1">
      <x:c r="A25" s="20" t="str">
        <x:v>TC-024</x:v>
      </x:c>
      <x:c r="B25" s="20" t="str">
        <x:v>REQ-03, REQ-05</x:v>
      </x:c>
      <x:c r="C25" s="20" t="str">
        <x:v>MRP / TIPS</x:v>
      </x:c>
      <x:c r="D25" s="20" t="str">
        <x:v>Plan the approved 16 twin + 1 single configuration in TIPS</x:v>
      </x:c>
      <x:c r="E25" s="20" t="str">
        <x:v>Positive / Planning</x:v>
      </x:c>
      <x:c r="F25" s="20" t="str">
        <x:v>P1</x:v>
      </x:c>
      <x:c r="G25" s="20" t="str">
        <x:v>Order is available in TIPS; capacity/master data are available.</x:v>
      </x:c>
      <x:c r="H25" s="20" t="str">
        <x:v>Approved 16+1 configuration.</x:v>
      </x:c>
      <x:c r="I25" s="20" t="str">
        <x:v>1. Create production plan in TIPS.
2. Assign twin and single reel outputs.
3. Verify planned jumbo shifts, machine, sequence, and dates.
4. Release/confirm plan.</x:v>
      </x:c>
      <x:c r="J25" s="20" t="str">
        <x:v>TIPS plan contains the complete approved configuration, linked outputs, and feasible sequence without unassigned reels.</x:v>
      </x:c>
      <x:c r="K25" s="20" t="str"/>
      <x:c r="L25" s="20" t="str"/>
      <x:c r="M25" s="20" t="str">
        <x:v>Not Started</x:v>
      </x:c>
      <x:c r="N25" s="20" t="str"/>
      <x:c r="O25" s="20" t="str"/>
      <x:c r="P25" s="20" t="str"/>
      <x:c r="Q25" s="20" t="str"/>
    </x:row>
    <x:row r="26" ht="86" customHeight="1">
      <x:c r="A26" s="20" t="str">
        <x:v>TC-025</x:v>
      </x:c>
      <x:c r="B26" s="20" t="str">
        <x:v>REQ-03, REQ-06</x:v>
      </x:c>
      <x:c r="C26" s="20" t="str">
        <x:v>MRP / TIPS</x:v>
      </x:c>
      <x:c r="D26" s="20" t="str">
        <x:v>Plan linked simultaneous twin and single reel production</x:v>
      </x:c>
      <x:c r="E26" s="20" t="str">
        <x:v>Positive / Control</x:v>
      </x:c>
      <x:c r="F26" s="20" t="str">
        <x:v>P1</x:v>
      </x:c>
      <x:c r="G26" s="20" t="str">
        <x:v>TIPS supports linked production configuration.</x:v>
      </x:c>
      <x:c r="H26" s="20" t="str">
        <x:v>Twin and single items from the same order.</x:v>
      </x:c>
      <x:c r="I26" s="20" t="str">
        <x:v>1. Review/define production linkage.
2. Schedule twin and single reel production together.
3. Check that removing or rescheduling one component creates a planning warning.</x:v>
      </x:c>
      <x:c r="J26" s="20" t="str">
        <x:v>Twin and single outputs remain linked as one quality-controlled production scenario and cannot silently separate in planning.</x:v>
      </x:c>
      <x:c r="K26" s="20" t="str"/>
      <x:c r="L26" s="20" t="str"/>
      <x:c r="M26" s="20" t="str">
        <x:v>Not Started</x:v>
      </x:c>
      <x:c r="N26" s="20" t="str"/>
      <x:c r="O26" s="20" t="str"/>
      <x:c r="P26" s="20" t="str"/>
      <x:c r="Q26" s="20" t="str"/>
    </x:row>
    <x:row r="27" ht="86" customHeight="1">
      <x:c r="A27" s="20" t="str">
        <x:v>TC-026</x:v>
      </x:c>
      <x:c r="B27" s="20" t="str">
        <x:v>REQ-06</x:v>
      </x:c>
      <x:c r="C27" s="20" t="str">
        <x:v>MRP / TIPS</x:v>
      </x:c>
      <x:c r="D27" s="20" t="str">
        <x:v>Generate backside/frontside alternation sequence per jumbo shift</x:v>
      </x:c>
      <x:c r="E27" s="20" t="str">
        <x:v>Positive / Control</x:v>
      </x:c>
      <x:c r="F27" s="20" t="str">
        <x:v>P1</x:v>
      </x:c>
      <x:c r="G27" s="20" t="str">
        <x:v>Number of jumbo shifts is known.</x:v>
      </x:c>
      <x:c r="H27" s="20" t="str">
        <x:v>Single reel starting orientation and expected alternating sequence.</x:v>
      </x:c>
      <x:c r="I27" s="20" t="str">
        <x:v>1. Generate or enter the shift sequence.
2. Verify orientation for each consecutive jumbo shift.
3. Compare with expected B/F/B/F pattern (or approved starting side).</x:v>
      </x:c>
      <x:c r="J27" s="20" t="str">
        <x:v>Every jumbo shift has exactly one expected single-reel orientation and consecutive shifts alternate without repetition or omission.</x:v>
      </x:c>
      <x:c r="K27" s="20" t="str">
        <x:v>Starting orientation must be confirmed by operations.</x:v>
      </x:c>
      <x:c r="L27" s="20" t="str"/>
      <x:c r="M27" s="20" t="str">
        <x:v>Not Started</x:v>
      </x:c>
      <x:c r="N27" s="20" t="str"/>
      <x:c r="O27" s="20" t="str"/>
      <x:c r="P27" s="20" t="str"/>
      <x:c r="Q27" s="20" t="str"/>
    </x:row>
    <x:row r="28" ht="86" customHeight="1">
      <x:c r="A28" s="20" t="str">
        <x:v>TC-027</x:v>
      </x:c>
      <x:c r="B28" s="20" t="str">
        <x:v>REQ-03, REQ-05</x:v>
      </x:c>
      <x:c r="C28" s="20" t="str">
        <x:v>MRP / TIPS</x:v>
      </x:c>
      <x:c r="D28" s="20" t="str">
        <x:v>Replan after quantity/date change or production disruption</x:v>
      </x:c>
      <x:c r="E28" s="20" t="str">
        <x:v>Change / Regression</x:v>
      </x:c>
      <x:c r="F28" s="20" t="str">
        <x:v>P2</x:v>
      </x:c>
      <x:c r="G28" s="20" t="str">
        <x:v>TIPS plan exists and is not fully produced.</x:v>
      </x:c>
      <x:c r="H28" s="20" t="str">
        <x:v>Changed delivery date, quantity, capacity downtime, or raw-material delay.</x:v>
      </x:c>
      <x:c r="I28" s="20" t="str">
        <x:v>1. Apply one planning change.
2. Run replanning.
3. Review twin/single quantities, linkage, alternation, and dates.
4. Verify downstream updates and no duplicate orders.</x:v>
      </x:c>
      <x:c r="J28" s="20" t="str">
        <x:v>Replanning preserves the approved configuration and QC logic, updates downstream demand once, and identifies any unmet requirement.</x:v>
      </x:c>
      <x:c r="K28" s="20" t="str"/>
      <x:c r="L28" s="20" t="str"/>
      <x:c r="M28" s="20" t="str">
        <x:v>Not Started</x:v>
      </x:c>
      <x:c r="N28" s="20" t="str"/>
      <x:c r="O28" s="20" t="str"/>
      <x:c r="P28" s="20" t="str"/>
      <x:c r="Q28" s="20" t="str"/>
    </x:row>
    <x:row r="29" ht="86" customHeight="1">
      <x:c r="A29" s="20" t="str">
        <x:v>TC-028</x:v>
      </x:c>
      <x:c r="B29" s="20" t="str">
        <x:v>REQ-04</x:v>
      </x:c>
      <x:c r="C29" s="20" t="str">
        <x:v>Production</x:v>
      </x:c>
      <x:c r="D29" s="20" t="str">
        <x:v>Issue correct raw-material lots to production</x:v>
      </x:c>
      <x:c r="E29" s="20" t="str">
        <x:v>Positive / Traceability</x:v>
      </x:c>
      <x:c r="F29" s="20" t="str">
        <x:v>P1</x:v>
      </x:c>
      <x:c r="G29" s="20" t="str">
        <x:v>Transferred materials are available at production destination.</x:v>
      </x:c>
      <x:c r="H29" s="20" t="str">
        <x:v>Approved Södra Blue and Lyocell lots with FSC attributes.</x:v>
      </x:c>
      <x:c r="I29" s="20" t="str">
        <x:v>1. Release production order.
2. Stage and issue both raw materials.
3. Verify batch/lot, quantity, UoM, and FSC status.
4. Reconcile consumption posting.</x:v>
      </x:c>
      <x:c r="J29" s="20" t="str">
        <x:v>Only approved lots are issued; consumption is traceable to production order and FSC chain-of-custody records.</x:v>
      </x:c>
      <x:c r="K29" s="20" t="str"/>
      <x:c r="L29" s="20" t="str"/>
      <x:c r="M29" s="20" t="str">
        <x:v>Not Started</x:v>
      </x:c>
      <x:c r="N29" s="20" t="str"/>
      <x:c r="O29" s="20" t="str"/>
      <x:c r="P29" s="20" t="str"/>
      <x:c r="Q29" s="20" t="str"/>
    </x:row>
    <x:row r="30" ht="86" customHeight="1">
      <x:c r="A30" s="20" t="str">
        <x:v>TC-029</x:v>
      </x:c>
      <x:c r="B30" s="20" t="str">
        <x:v>REQ-02, REQ-04</x:v>
      </x:c>
      <x:c r="C30" s="20" t="str">
        <x:v>Production</x:v>
      </x:c>
      <x:c r="D30" s="20" t="str">
        <x:v>Prevent use of wrong or non-compliant raw material</x:v>
      </x:c>
      <x:c r="E30" s="20" t="str">
        <x:v>Negative / Control</x:v>
      </x:c>
      <x:c r="F30" s="20" t="str">
        <x:v>P1</x:v>
      </x:c>
      <x:c r="G30" s="20" t="str">
        <x:v>A non-approved, expired, wrong-grade, or non-FSC lot is available.</x:v>
      </x:c>
      <x:c r="H30" s="20" t="str">
        <x:v>Invalid Södra/Lyocell substitute or FSC-ineligible lot.</x:v>
      </x:c>
      <x:c r="I30" s="20" t="str">
        <x:v>1. Attempt to stage/issue invalid lot.
2. Attempt production confirmation.
3. Review error/hold and audit log.</x:v>
      </x:c>
      <x:c r="J30" s="20" t="str">
        <x:v>System blocks or explicitly quarantines the invalid component; FSC-compliant output cannot be declared from non-compliant input.</x:v>
      </x:c>
      <x:c r="K30" s="20" t="str"/>
      <x:c r="L30" s="20" t="str"/>
      <x:c r="M30" s="20" t="str">
        <x:v>Not Started</x:v>
      </x:c>
      <x:c r="N30" s="20" t="str"/>
      <x:c r="O30" s="20" t="str"/>
      <x:c r="P30" s="20" t="str"/>
      <x:c r="Q30" s="20" t="str"/>
    </x:row>
    <x:row r="31" ht="86" customHeight="1">
      <x:c r="A31" s="20" t="str">
        <x:v>TC-030</x:v>
      </x:c>
      <x:c r="B31" s="20" t="str">
        <x:v>REQ-03</x:v>
      </x:c>
      <x:c r="C31" s="20" t="str">
        <x:v>Production</x:v>
      </x:c>
      <x:c r="D31" s="20" t="str">
        <x:v>Produce and confirm 16 twin reels</x:v>
      </x:c>
      <x:c r="E31" s="20" t="str">
        <x:v>Positive</x:v>
      </x:c>
      <x:c r="F31" s="20" t="str">
        <x:v>P1</x:v>
      </x:c>
      <x:c r="G31" s="20" t="str">
        <x:v>Production plan/order is released.</x:v>
      </x:c>
      <x:c r="H31" s="20" t="str">
        <x:v>Approved twin-reel quantity/configuration.</x:v>
      </x:c>
      <x:c r="I31" s="20" t="str">
        <x:v>1. Start production.
2. Confirm each twin reel/output quantity.
3. Capture reel ID, core relationship, dimensions, weight/length, and status.
4. Complete twin output confirmation.</x:v>
      </x:c>
      <x:c r="J31" s="20" t="str">
        <x:v>Exactly the approved twin-reel output is recorded with unique identifiers and correct association of two rolls on each shared core.</x:v>
      </x:c>
      <x:c r="K31" s="20" t="str"/>
      <x:c r="L31" s="20" t="str"/>
      <x:c r="M31" s="20" t="str">
        <x:v>Not Started</x:v>
      </x:c>
      <x:c r="N31" s="20" t="str"/>
      <x:c r="O31" s="20" t="str"/>
      <x:c r="P31" s="20" t="str"/>
      <x:c r="Q31" s="20" t="str"/>
    </x:row>
    <x:row r="32" ht="86" customHeight="1">
      <x:c r="A32" s="20" t="str">
        <x:v>TC-031</x:v>
      </x:c>
      <x:c r="B32" s="20" t="str">
        <x:v>REQ-03, REQ-06</x:v>
      </x:c>
      <x:c r="C32" s="20" t="str">
        <x:v>Production</x:v>
      </x:c>
      <x:c r="D32" s="20" t="str">
        <x:v>Produce and confirm the required single reel</x:v>
      </x:c>
      <x:c r="E32" s="20" t="str">
        <x:v>Positive / Control</x:v>
      </x:c>
      <x:c r="F32" s="20" t="str">
        <x:v>P1</x:v>
      </x:c>
      <x:c r="G32" s="20" t="str">
        <x:v>Linked production order is active.</x:v>
      </x:c>
      <x:c r="H32" s="20" t="str">
        <x:v>One single reel for quality reference.</x:v>
      </x:c>
      <x:c r="I32" s="20" t="str">
        <x:v>1. Produce the single reel in parallel/linked sequence.
2. Record reel ID, position/orientation, dimensions, and output quantity.
3. Confirm linkage to the same order/jumbo sequence.</x:v>
      </x:c>
      <x:c r="J32" s="20" t="str">
        <x:v>One approved single reel is produced, uniquely identified, linked to the twin production, and available as the cut-inspection reference.</x:v>
      </x:c>
      <x:c r="K32" s="20" t="str"/>
      <x:c r="L32" s="20" t="str"/>
      <x:c r="M32" s="20" t="str">
        <x:v>Not Started</x:v>
      </x:c>
      <x:c r="N32" s="20" t="str"/>
      <x:c r="O32" s="20" t="str"/>
      <x:c r="P32" s="20" t="str"/>
      <x:c r="Q32" s="20" t="str"/>
    </x:row>
    <x:row r="33" ht="86" customHeight="1">
      <x:c r="A33" s="20" t="str">
        <x:v>TC-032</x:v>
      </x:c>
      <x:c r="B33" s="20" t="str">
        <x:v>REQ-01, REQ-03</x:v>
      </x:c>
      <x:c r="C33" s="20" t="str">
        <x:v>Production</x:v>
      </x:c>
      <x:c r="D33" s="20" t="str">
        <x:v>Validate unique reel IDs and customer-product assignment</x:v>
      </x:c>
      <x:c r="E33" s="20" t="str">
        <x:v>Data integrity</x:v>
      </x:c>
      <x:c r="F33" s="20" t="str">
        <x:v>P1</x:v>
      </x:c>
      <x:c r="G33" s="20" t="str">
        <x:v>Twin and single reels have been produced.</x:v>
      </x:c>
      <x:c r="H33" s="20" t="str">
        <x:v>All reel IDs and product mappings.</x:v>
      </x:c>
      <x:c r="I33" s="20" t="str">
        <x:v>1. List produced reel IDs.
2. Check for duplicates or missing IDs.
3. Verify twin reels map to 329192 and single reel maps to 284532.
4. Trace each reel to production/order.</x:v>
      </x:c>
      <x:c r="J33" s="20" t="str">
        <x:v>Every physical output has one unique system identity and correct customer-product/order assignment; no cross-mapping occurs.</x:v>
      </x:c>
      <x:c r="K33" s="20" t="str"/>
      <x:c r="L33" s="20" t="str"/>
      <x:c r="M33" s="20" t="str">
        <x:v>Not Started</x:v>
      </x:c>
      <x:c r="N33" s="20" t="str"/>
      <x:c r="O33" s="20" t="str"/>
      <x:c r="P33" s="20" t="str"/>
      <x:c r="Q33" s="20" t="str"/>
    </x:row>
    <x:row r="34" ht="86" customHeight="1">
      <x:c r="A34" s="20" t="str">
        <x:v>TC-033</x:v>
      </x:c>
      <x:c r="B34" s="20" t="str">
        <x:v>REQ-06</x:v>
      </x:c>
      <x:c r="C34" s="20" t="str">
        <x:v>Production Quality</x:v>
      </x:c>
      <x:c r="D34" s="20" t="str">
        <x:v>Record cut inspection using the single reel at every shift</x:v>
      </x:c>
      <x:c r="E34" s="20" t="str">
        <x:v>Positive / Control</x:v>
      </x:c>
      <x:c r="F34" s="20" t="str">
        <x:v>P1</x:v>
      </x:c>
      <x:c r="G34" s="20" t="str">
        <x:v>Production sequence and single-reel orientations exist.</x:v>
      </x:c>
      <x:c r="H34" s="20" t="str">
        <x:v>Inspection record for each jumbo shift.</x:v>
      </x:c>
      <x:c r="I34" s="20" t="str">
        <x:v>1. For each shift, inspect the visible cut using the single reel.
2. Record orientation, result, operator, date/time, and referenced twin output.
3. Complete all planned shift inspections.</x:v>
      </x:c>
      <x:c r="J34" s="20" t="str">
        <x:v>Every jumbo shift has a complete, traceable cut-inspection result linked to the correct single-reel orientation and twin output.</x:v>
      </x:c>
      <x:c r="K34" s="20" t="str"/>
      <x:c r="L34" s="20" t="str"/>
      <x:c r="M34" s="20" t="str">
        <x:v>Not Started</x:v>
      </x:c>
      <x:c r="N34" s="20" t="str"/>
      <x:c r="O34" s="20" t="str"/>
      <x:c r="P34" s="20" t="str"/>
      <x:c r="Q34" s="20" t="str"/>
    </x:row>
    <x:row r="35" ht="86" customHeight="1">
      <x:c r="A35" s="20" t="str">
        <x:v>TC-034</x:v>
      </x:c>
      <x:c r="B35" s="20" t="str">
        <x:v>REQ-06</x:v>
      </x:c>
      <x:c r="C35" s="20" t="str">
        <x:v>Production Quality</x:v>
      </x:c>
      <x:c r="D35" s="20" t="str">
        <x:v>Detect missed or repeated single-reel orientation</x:v>
      </x:c>
      <x:c r="E35" s="20" t="str">
        <x:v>Negative / Control</x:v>
      </x:c>
      <x:c r="F35" s="20" t="str">
        <x:v>P1</x:v>
      </x:c>
      <x:c r="G35" s="20" t="str">
        <x:v>At least two consecutive shifts are planned.</x:v>
      </x:c>
      <x:c r="H35" s="20" t="str">
        <x:v>Repeat backside twice, skip a shift, or omit orientation record.</x:v>
      </x:c>
      <x:c r="I35" s="20" t="str">
        <x:v>1. Enter/confirm the invalid sequence.
2. Attempt shift/order completion.
3. Review warnings/holds.</x:v>
      </x:c>
      <x:c r="J35" s="20" t="str">
        <x:v>System or documented control detects the sequence breach and prevents quality completion/release until corrected and approved.</x:v>
      </x:c>
      <x:c r="K35" s="20" t="str"/>
      <x:c r="L35" s="20" t="str"/>
      <x:c r="M35" s="20" t="str">
        <x:v>Not Started</x:v>
      </x:c>
      <x:c r="N35" s="20" t="str"/>
      <x:c r="O35" s="20" t="str"/>
      <x:c r="P35" s="20" t="str"/>
      <x:c r="Q35" s="20" t="str"/>
    </x:row>
    <x:row r="36" ht="86" customHeight="1">
      <x:c r="A36" s="20" t="str">
        <x:v>TC-035</x:v>
      </x:c>
      <x:c r="B36" s="20" t="str">
        <x:v>REQ-06, REQ-08</x:v>
      </x:c>
      <x:c r="C36" s="20" t="str">
        <x:v>Production Quality</x:v>
      </x:c>
      <x:c r="D36" s="20" t="str">
        <x:v>Handle failed cut inspection</x:v>
      </x:c>
      <x:c r="E36" s="20" t="str">
        <x:v>Negative / Quality</x:v>
      </x:c>
      <x:c r="F36" s="20" t="str">
        <x:v>P1</x:v>
      </x:c>
      <x:c r="G36" s="20" t="str">
        <x:v>Cut-inspection step is active.</x:v>
      </x:c>
      <x:c r="H36" s="20" t="str">
        <x:v>One shift result = failed/out of tolerance.</x:v>
      </x:c>
      <x:c r="I36" s="20" t="str">
        <x:v>1. Record failed inspection.
2. Attempt production completion and warehouse release.
3. Initiate disposition/rework decision.</x:v>
      </x:c>
      <x:c r="J36" s="20" t="str">
        <x:v>Affected reels/order are placed on quality hold; no Quality Release or shipment is possible until approved disposition and retest/reinspection.</x:v>
      </x:c>
      <x:c r="K36" s="20" t="str"/>
      <x:c r="L36" s="20" t="str"/>
      <x:c r="M36" s="20" t="str">
        <x:v>Not Started</x:v>
      </x:c>
      <x:c r="N36" s="20" t="str"/>
      <x:c r="O36" s="20" t="str"/>
      <x:c r="P36" s="20" t="str"/>
      <x:c r="Q36" s="20" t="str"/>
    </x:row>
    <x:row r="37" ht="86" customHeight="1">
      <x:c r="A37" s="20" t="str">
        <x:v>TC-036</x:v>
      </x:c>
      <x:c r="B37" s="20" t="str">
        <x:v>REQ-07</x:v>
      </x:c>
      <x:c r="C37" s="20" t="str">
        <x:v>BIO-Burden Quality</x:v>
      </x:c>
      <x:c r="D37" s="20" t="str">
        <x:v>Create BIO-Burden sample at the required production stage</x:v>
      </x:c>
      <x:c r="E37" s="20" t="str">
        <x:v>Positive</x:v>
      </x:c>
      <x:c r="F37" s="20" t="str">
        <x:v>P1</x:v>
      </x:c>
      <x:c r="G37" s="20" t="str">
        <x:v>Production reaches the sampling point.</x:v>
      </x:c>
      <x:c r="H37" s="20" t="str">
        <x:v>Approved sample plan and production lot/reel references.</x:v>
      </x:c>
      <x:c r="I37" s="20" t="str">
        <x:v>1. Trigger/create BIO-Burden inspection sample.
2. Record sample ID, lot/reels, date/time, sampler, and quantity.
3. Send/transfer sample to testing process.</x:v>
      </x:c>
      <x:c r="J37" s="20" t="str">
        <x:v>One valid, traceable BIO-Burden sample is created for the correct production lot/reels and inspection status becomes pending.</x:v>
      </x:c>
      <x:c r="K37" s="20" t="str"/>
      <x:c r="L37" s="20" t="str"/>
      <x:c r="M37" s="20" t="str">
        <x:v>Not Started</x:v>
      </x:c>
      <x:c r="N37" s="20" t="str"/>
      <x:c r="O37" s="20" t="str"/>
      <x:c r="P37" s="20" t="str"/>
      <x:c r="Q37" s="20" t="str"/>
    </x:row>
    <x:row r="38" ht="86" customHeight="1">
      <x:c r="A38" s="20" t="str">
        <x:v>TC-037</x:v>
      </x:c>
      <x:c r="B38" s="20" t="str">
        <x:v>REQ-07, REQ-08</x:v>
      </x:c>
      <x:c r="C38" s="20" t="str">
        <x:v>BIO-Burden Quality</x:v>
      </x:c>
      <x:c r="D38" s="20" t="str">
        <x:v>Block release when BIO-Burden sample is missing</x:v>
      </x:c>
      <x:c r="E38" s="20" t="str">
        <x:v>Negative / Control</x:v>
      </x:c>
      <x:c r="F38" s="20" t="str">
        <x:v>P1</x:v>
      </x:c>
      <x:c r="G38" s="20" t="str">
        <x:v>Finished goods are produced but no sample exists.</x:v>
      </x:c>
      <x:c r="H38" s="20" t="str">
        <x:v>Produced reel stock without BIO sample.</x:v>
      </x:c>
      <x:c r="I38" s="20" t="str">
        <x:v>1. Attempt quality decision/release.
2. Attempt external-warehouse shipment execution.
3. Review quality status and messages.</x:v>
      </x:c>
      <x:c r="J38" s="20" t="str">
        <x:v>Quality Release and shipment are blocked; missing mandatory sample is clearly identified.</x:v>
      </x:c>
      <x:c r="K38" s="20" t="str"/>
      <x:c r="L38" s="20" t="str"/>
      <x:c r="M38" s="20" t="str">
        <x:v>Not Started</x:v>
      </x:c>
      <x:c r="N38" s="20" t="str"/>
      <x:c r="O38" s="20" t="str"/>
      <x:c r="P38" s="20" t="str"/>
      <x:c r="Q38" s="20" t="str"/>
    </x:row>
    <x:row r="39" ht="86" customHeight="1">
      <x:c r="A39" s="20" t="str">
        <x:v>TC-038</x:v>
      </x:c>
      <x:c r="B39" s="20" t="str">
        <x:v>REQ-07, REQ-08</x:v>
      </x:c>
      <x:c r="C39" s="20" t="str">
        <x:v>BIO-Burden Quality</x:v>
      </x:c>
      <x:c r="D39" s="20" t="str">
        <x:v>Maintain shipment block while BIO-Burden result is pending for 7–10 days</x:v>
      </x:c>
      <x:c r="E39" s="20" t="str">
        <x:v>Time-based / Control</x:v>
      </x:c>
      <x:c r="F39" s="20" t="str">
        <x:v>P1</x:v>
      </x:c>
      <x:c r="G39" s="20" t="str">
        <x:v>Valid sample exists and result is pending.</x:v>
      </x:c>
      <x:c r="H39" s="20" t="str">
        <x:v>Dates across day 0 through day 10; weekends if relevant.</x:v>
      </x:c>
      <x:c r="I39" s="20" t="str">
        <x:v>1. Check stock and delivery status immediately after sampling.
2. Recheck during the expected 7–10 day test period.
3. Attempt pick/load/dispatch at selected intervals.</x:v>
      </x:c>
      <x:c r="J39" s="20" t="str">
        <x:v>Material remains non-shippable until an approved result and formal Quality Release exist; elapsed time alone never releases stock.</x:v>
      </x:c>
      <x:c r="K39" s="20" t="str"/>
      <x:c r="L39" s="20" t="str"/>
      <x:c r="M39" s="20" t="str">
        <x:v>Not Started</x:v>
      </x:c>
      <x:c r="N39" s="20" t="str"/>
      <x:c r="O39" s="20" t="str"/>
      <x:c r="P39" s="20" t="str"/>
      <x:c r="Q39" s="20" t="str"/>
    </x:row>
    <x:row r="40" ht="86" customHeight="1">
      <x:c r="A40" s="20" t="str">
        <x:v>TC-039</x:v>
      </x:c>
      <x:c r="B40" s="20" t="str">
        <x:v>REQ-07, REQ-08</x:v>
      </x:c>
      <x:c r="C40" s="20" t="str">
        <x:v>BIO-Burden Quality</x:v>
      </x:c>
      <x:c r="D40" s="20" t="str">
        <x:v>Approve passing BIO-Burden result and issue Quality Release</x:v>
      </x:c>
      <x:c r="E40" s="20" t="str">
        <x:v>Positive / Control</x:v>
      </x:c>
      <x:c r="F40" s="20" t="str">
        <x:v>P1</x:v>
      </x:c>
      <x:c r="G40" s="20" t="str">
        <x:v>Valid pending sample; authorized quality approver.</x:v>
      </x:c>
      <x:c r="H40" s="20" t="str">
        <x:v>Passing result within approved specification.</x:v>
      </x:c>
      <x:c r="I40" s="20" t="str">
        <x:v>1. Enter/import test result.
2. Perform result valuation.
3. Approve and issue formal Quality Release.
4. Verify stock/delivery status update and audit trail.</x:v>
      </x:c>
      <x:c r="J40" s="20" t="str">
        <x:v>Passing result is approved once by an authorized user; formal release is linked to lot/reels and makes material eligible for shipment subject to remaining controls.</x:v>
      </x:c>
      <x:c r="K40" s="20" t="str"/>
      <x:c r="L40" s="20" t="str"/>
      <x:c r="M40" s="20" t="str">
        <x:v>Not Started</x:v>
      </x:c>
      <x:c r="N40" s="20" t="str"/>
      <x:c r="O40" s="20" t="str"/>
      <x:c r="P40" s="20" t="str"/>
      <x:c r="Q40" s="20" t="str"/>
    </x:row>
    <x:row r="41" ht="86" customHeight="1">
      <x:c r="A41" s="20" t="str">
        <x:v>TC-040</x:v>
      </x:c>
      <x:c r="B41" s="20" t="str">
        <x:v>REQ-07, REQ-08</x:v>
      </x:c>
      <x:c r="C41" s="20" t="str">
        <x:v>BIO-Burden Quality</x:v>
      </x:c>
      <x:c r="D41" s="20" t="str">
        <x:v>Reject failed BIO-Burden result</x:v>
      </x:c>
      <x:c r="E41" s="20" t="str">
        <x:v>Negative / Control</x:v>
      </x:c>
      <x:c r="F41" s="20" t="str">
        <x:v>P1</x:v>
      </x:c>
      <x:c r="G41" s="20" t="str">
        <x:v>Valid pending sample.</x:v>
      </x:c>
      <x:c r="H41" s="20" t="str">
        <x:v>Failing/out-of-specification result.</x:v>
      </x:c>
      <x:c r="I41" s="20" t="str">
        <x:v>1. Enter/import failed result.
2. Perform valuation.
3. Attempt Quality Release and shipment.
4. Initiate approved investigation/disposition.</x:v>
      </x:c>
      <x:c r="J41" s="20" t="str">
        <x:v>Result is rejected/failed; stock remains blocked and no Quality Release, pick, dispatch, or invoice can be completed.</x:v>
      </x:c>
      <x:c r="K41" s="20" t="str"/>
      <x:c r="L41" s="20" t="str"/>
      <x:c r="M41" s="20" t="str">
        <x:v>Not Started</x:v>
      </x:c>
      <x:c r="N41" s="20" t="str"/>
      <x:c r="O41" s="20" t="str"/>
      <x:c r="P41" s="20" t="str"/>
      <x:c r="Q41" s="20" t="str"/>
    </x:row>
    <x:row r="42" ht="86" customHeight="1">
      <x:c r="A42" s="20" t="str">
        <x:v>TC-041</x:v>
      </x:c>
      <x:c r="B42" s="20" t="str">
        <x:v>REQ-08, REQ-14</x:v>
      </x:c>
      <x:c r="C42" s="20" t="str">
        <x:v>BIO-Burden Quality</x:v>
      </x:c>
      <x:c r="D42" s="20" t="str">
        <x:v>Prevent unauthorized Quality Release</x:v>
      </x:c>
      <x:c r="E42" s="20" t="str">
        <x:v>Authorization / Negative</x:v>
      </x:c>
      <x:c r="F42" s="20" t="str">
        <x:v>P1</x:v>
      </x:c>
      <x:c r="G42" s="20" t="str">
        <x:v>Passing result exists; user lacks quality-approver role.</x:v>
      </x:c>
      <x:c r="H42" s="20" t="str">
        <x:v>Warehouse, production, or order-entry user.</x:v>
      </x:c>
      <x:c r="I42" s="20" t="str">
        <x:v>1. Log in as unauthorized user.
2. Attempt to issue or override Quality Release.
3. Review status and security log.</x:v>
      </x:c>
      <x:c r="J42" s="20" t="str">
        <x:v>Release attempt is denied; stock remains unchanged and the attempt is auditable.</x:v>
      </x:c>
      <x:c r="K42" s="20" t="str"/>
      <x:c r="L42" s="20" t="str"/>
      <x:c r="M42" s="20" t="str">
        <x:v>Not Started</x:v>
      </x:c>
      <x:c r="N42" s="20" t="str"/>
      <x:c r="O42" s="20" t="str"/>
      <x:c r="P42" s="20" t="str"/>
      <x:c r="Q42" s="20" t="str"/>
    </x:row>
    <x:row r="43" ht="86" customHeight="1">
      <x:c r="A43" s="20" t="str">
        <x:v>TC-042</x:v>
      </x:c>
      <x:c r="B43" s="20" t="str">
        <x:v>REQ-03, REQ-13</x:v>
      </x:c>
      <x:c r="C43" s="20" t="str">
        <x:v>Packaging</x:v>
      </x:c>
      <x:c r="D43" s="20" t="str">
        <x:v>Package twin and single reels correctly</x:v>
      </x:c>
      <x:c r="E43" s="20" t="str">
        <x:v>Positive</x:v>
      </x:c>
      <x:c r="F43" s="20" t="str">
        <x:v>P1</x:v>
      </x:c>
      <x:c r="G43" s="20" t="str">
        <x:v>Production outputs are quality-complete for packaging.</x:v>
      </x:c>
      <x:c r="H43" s="20" t="str">
        <x:v>Twin and single reels; approved packaging specifications.</x:v>
      </x:c>
      <x:c r="I43" s="20" t="str">
        <x:v>1. Create packaging units.
2. Pack twin reels and single reel according to approved rules.
3. Verify quantities, packaging material, unit IDs, dimensions, and weights.
4. Close packaging.</x:v>
      </x:c>
      <x:c r="J43" s="20" t="str">
        <x:v>Packaging reflects the correct reel configuration and quantities with unique handling-unit/package identifiers and no mixing/miscount.</x:v>
      </x:c>
      <x:c r="K43" s="20" t="str"/>
      <x:c r="L43" s="20" t="str"/>
      <x:c r="M43" s="20" t="str">
        <x:v>Not Started</x:v>
      </x:c>
      <x:c r="N43" s="20" t="str"/>
      <x:c r="O43" s="20" t="str"/>
      <x:c r="P43" s="20" t="str"/>
      <x:c r="Q43" s="20" t="str"/>
    </x:row>
    <x:row r="44" ht="86" customHeight="1">
      <x:c r="A44" s="20" t="str">
        <x:v>TC-043</x:v>
      </x:c>
      <x:c r="B44" s="20" t="str">
        <x:v>REQ-02, REQ-13</x:v>
      </x:c>
      <x:c r="C44" s="20" t="str">
        <x:v>Packaging</x:v>
      </x:c>
      <x:c r="D44" s="20" t="str">
        <x:v>Validate FSC and product information on labels</x:v>
      </x:c>
      <x:c r="E44" s="20" t="str">
        <x:v>Document / Compliance</x:v>
      </x:c>
      <x:c r="F44" s="20" t="str">
        <x:v>P1</x:v>
      </x:c>
      <x:c r="G44" s="20" t="str">
        <x:v>Approved label template is available.</x:v>
      </x:c>
      <x:c r="H44" s="20" t="str">
        <x:v>FSC Credit Mix claim; grade; product reference; reel/lot; customer.</x:v>
      </x:c>
      <x:c r="I44" s="20" t="str">
        <x:v>1. Print labels for twin and single packages.
2. Compare mandatory fields with source records.
3. Scan barcode/identifier and trace back to order/reel.
4. Check that FSC claim appears only when certification is valid.</x:v>
      </x:c>
      <x:c r="J44" s="20" t="str">
        <x:v>Labels are accurate, scannable, traceable, and display the approved FSC claim without applying it to uncertified/blocked material.</x:v>
      </x:c>
      <x:c r="K44" s="20" t="str"/>
      <x:c r="L44" s="20" t="str"/>
      <x:c r="M44" s="20" t="str">
        <x:v>Not Started</x:v>
      </x:c>
      <x:c r="N44" s="20" t="str"/>
      <x:c r="O44" s="20" t="str"/>
      <x:c r="P44" s="20" t="str"/>
      <x:c r="Q44" s="20" t="str"/>
    </x:row>
    <x:row r="45" ht="86" customHeight="1">
      <x:c r="A45" s="20" t="str">
        <x:v>TC-044</x:v>
      </x:c>
      <x:c r="B45" s="20" t="str">
        <x:v>REQ-13</x:v>
      </x:c>
      <x:c r="C45" s="20" t="str">
        <x:v>Packaging</x:v>
      </x:c>
      <x:c r="D45" s="20" t="str">
        <x:v>Validate CoA and packing-list completeness</x:v>
      </x:c>
      <x:c r="E45" s="20" t="str">
        <x:v>Document / Positive</x:v>
      </x:c>
      <x:c r="F45" s="20" t="str">
        <x:v>P2</x:v>
      </x:c>
      <x:c r="G45" s="20" t="str">
        <x:v>Approved templates/field list are available.</x:v>
      </x:c>
      <x:c r="H45" s="20" t="str">
        <x:v>Order, reel, package, quality, FSC, and shipment data.</x:v>
      </x:c>
      <x:c r="I45" s="20" t="str">
        <x:v>1. Generate CoA and packing list.
2. Verify customer, order, grade, product, reel/package quantities, lot, quality status, and FSC data.
3. Compare totals to delivery.</x:v>
      </x:c>
      <x:c r="J45" s="20" t="str">
        <x:v>Documents contain all approved fields and reconcile exactly to packaged and delivered material.</x:v>
      </x:c>
      <x:c r="K45" s="20" t="str">
        <x:v>Field-level acceptance depends on OI-11.</x:v>
      </x:c>
      <x:c r="L45" s="20" t="str"/>
      <x:c r="M45" s="20" t="str">
        <x:v>Not Started</x:v>
      </x:c>
      <x:c r="N45" s="20" t="str"/>
      <x:c r="O45" s="20" t="str"/>
      <x:c r="P45" s="20" t="str"/>
      <x:c r="Q45" s="20" t="str"/>
    </x:row>
    <x:row r="46" ht="86" customHeight="1">
      <x:c r="A46" s="20" t="str">
        <x:v>TC-045</x:v>
      </x:c>
      <x:c r="B46" s="20" t="str">
        <x:v>REQ-07, REQ-08</x:v>
      </x:c>
      <x:c r="C46" s="20" t="str">
        <x:v>BIO-Burden Quality</x:v>
      </x:c>
      <x:c r="D46" s="20" t="str">
        <x:v>Handle invalid sample or approved retest workflow</x:v>
      </x:c>
      <x:c r="E46" s="20" t="str">
        <x:v>Exception / Quality</x:v>
      </x:c>
      <x:c r="F46" s="20" t="str">
        <x:v>P2</x:v>
      </x:c>
      <x:c r="G46" s="20" t="str">
        <x:v>Initial sample is invalid/contaminated/unusable; retest rules are defined.</x:v>
      </x:c>
      <x:c r="H46" s="20" t="str">
        <x:v>Invalid result code and replacement sample.</x:v>
      </x:c>
      <x:c r="I46" s="20" t="str">
        <x:v>1. Invalidate the initial sample with reason.
2. Verify stock remains blocked.
3. Create replacement sample and complete test/approval.
4. Verify no duplicate release from invalid sample.</x:v>
      </x:c>
      <x:c r="J46" s="20" t="str">
        <x:v>Invalid sample cannot release stock; retest is fully linked and only the final approved result can support one Quality Release.</x:v>
      </x:c>
      <x:c r="K46" s="20" t="str">
        <x:v>Depends on OI-06.</x:v>
      </x:c>
      <x:c r="L46" s="20" t="str"/>
      <x:c r="M46" s="20" t="str">
        <x:v>Not Started</x:v>
      </x:c>
      <x:c r="N46" s="20" t="str"/>
      <x:c r="O46" s="20" t="str"/>
      <x:c r="P46" s="20" t="str"/>
      <x:c r="Q46" s="20" t="str"/>
    </x:row>
    <x:row r="47" ht="86" customHeight="1">
      <x:c r="A47" s="20" t="str">
        <x:v>TC-046</x:v>
      </x:c>
      <x:c r="B47" s="20" t="str">
        <x:v>REQ-09</x:v>
      </x:c>
      <x:c r="C47" s="20" t="str">
        <x:v>External Warehouse</x:v>
      </x:c>
      <x:c r="D47" s="20" t="str">
        <x:v>Shuttle finished goods to external warehouse preserving attributes</x:v>
      </x:c>
      <x:c r="E47" s="20" t="str">
        <x:v>Positive / Integration</x:v>
      </x:c>
      <x:c r="F47" s="20" t="str">
        <x:v>P1</x:v>
      </x:c>
      <x:c r="G47" s="20" t="str">
        <x:v>Packaged goods exist; shuttle process is configured.</x:v>
      </x:c>
      <x:c r="H47" s="20" t="str">
        <x:v>All reel/package IDs, batch, quality status, FSC status, quantities.</x:v>
      </x:c>
      <x:c r="I47" s="20" t="str">
        <x:v>1. Create shuttle transfer.
2. Issue/load goods from production site.
3. Receive/unload at external warehouse.
4. Compare attributes before and after transfer.</x:v>
      </x:c>
      <x:c r="J47" s="20" t="str">
        <x:v>External warehouse receives exact goods once; reel/package IDs, quantity, batch, quality hold/release, and FSC attributes remain unchanged and traceable.</x:v>
      </x:c>
      <x:c r="K47" s="20" t="str"/>
      <x:c r="L47" s="20" t="str"/>
      <x:c r="M47" s="20" t="str">
        <x:v>Not Started</x:v>
      </x:c>
      <x:c r="N47" s="20" t="str"/>
      <x:c r="O47" s="20" t="str"/>
      <x:c r="P47" s="20" t="str"/>
      <x:c r="Q47" s="20" t="str"/>
    </x:row>
    <x:row r="48" ht="86" customHeight="1">
      <x:c r="A48" s="20" t="str">
        <x:v>TC-047</x:v>
      </x:c>
      <x:c r="B48" s="20" t="str">
        <x:v>REQ-09</x:v>
      </x:c>
      <x:c r="C48" s="20" t="str">
        <x:v>External Warehouse</x:v>
      </x:c>
      <x:c r="D48" s="20" t="str">
        <x:v>Handle shuttle receipt discrepancy</x:v>
      </x:c>
      <x:c r="E48" s="20" t="str">
        <x:v>Negative / Reconciliation</x:v>
      </x:c>
      <x:c r="F48" s="20" t="str">
        <x:v>P2</x:v>
      </x:c>
      <x:c r="G48" s="20" t="str">
        <x:v>Shuttle transfer is in transit.</x:v>
      </x:c>
      <x:c r="H48" s="20" t="str">
        <x:v>Missing package, extra package, damaged package, or quantity mismatch.</x:v>
      </x:c>
      <x:c r="I48" s="20" t="str">
        <x:v>1. Record discrepant external-warehouse receipt.
2. Review stock/in-transit status and exception.
3. Perform approved correction/reconciliation.</x:v>
      </x:c>
      <x:c r="J48" s="20" t="str">
        <x:v>Discrepancy is visible and cannot silently create unrestricted stock; source, in-transit, and received totals reconcile after approved correction.</x:v>
      </x:c>
      <x:c r="K48" s="20" t="str"/>
      <x:c r="L48" s="20" t="str"/>
      <x:c r="M48" s="20" t="str">
        <x:v>Not Started</x:v>
      </x:c>
      <x:c r="N48" s="20" t="str"/>
      <x:c r="O48" s="20" t="str"/>
      <x:c r="P48" s="20" t="str"/>
      <x:c r="Q48" s="20" t="str"/>
    </x:row>
    <x:row r="49" ht="86" customHeight="1">
      <x:c r="A49" s="20" t="str">
        <x:v>TC-048</x:v>
      </x:c>
      <x:c r="B49" s="20" t="str">
        <x:v>REQ-08, REQ-09</x:v>
      </x:c>
      <x:c r="C49" s="20" t="str">
        <x:v>External Warehouse</x:v>
      </x:c>
      <x:c r="D49" s="20" t="str">
        <x:v>Exclude unreleased material from picking and shipment</x:v>
      </x:c>
      <x:c r="E49" s="20" t="str">
        <x:v>Negative / Control</x:v>
      </x:c>
      <x:c r="F49" s="20" t="str">
        <x:v>P1</x:v>
      </x:c>
      <x:c r="G49" s="20" t="str">
        <x:v>Goods are at external warehouse with pending/failed quality status.</x:v>
      </x:c>
      <x:c r="H49" s="20" t="str">
        <x:v>Unreleased package/reel IDs.</x:v>
      </x:c>
      <x:c r="I49" s="20" t="str">
        <x:v>1. Create delivery/outbound request.
2. Run availability/allocation.
3. Attempt pick, load, and dispatch.</x:v>
      </x:c>
      <x:c r="J49" s="20" t="str">
        <x:v>Unreleased stock is excluded or hard-blocked at every execution step; no warehouse override produces dispatch.</x:v>
      </x:c>
      <x:c r="K49" s="20" t="str"/>
      <x:c r="L49" s="20" t="str"/>
      <x:c r="M49" s="20" t="str">
        <x:v>Not Started</x:v>
      </x:c>
      <x:c r="N49" s="20" t="str"/>
      <x:c r="O49" s="20" t="str"/>
      <x:c r="P49" s="20" t="str"/>
      <x:c r="Q49" s="20" t="str"/>
    </x:row>
    <x:row r="50" ht="86" customHeight="1">
      <x:c r="A50" s="20" t="str">
        <x:v>TC-049</x:v>
      </x:c>
      <x:c r="B50" s="20" t="str">
        <x:v>REQ-08, REQ-10</x:v>
      </x:c>
      <x:c r="C50" s="20" t="str">
        <x:v>Outbound Logistics</x:v>
      </x:c>
      <x:c r="D50" s="20" t="str">
        <x:v>Plan logistics before release but block physical execution</x:v>
      </x:c>
      <x:c r="E50" s="20" t="str">
        <x:v>Process / Control</x:v>
      </x:c>
      <x:c r="F50" s="20" t="str">
        <x:v>P2</x:v>
      </x:c>
      <x:c r="G50" s="20" t="str">
        <x:v>Order has requested delivery date; quality result pending.</x:v>
      </x:c>
      <x:c r="H50" s="20" t="str">
        <x:v>Carrier/route and delivery data.</x:v>
      </x:c>
      <x:c r="I50" s="20" t="str">
        <x:v>1. Create outbound logistics plan/transport booking if allowed.
2. Attempt warehouse release/picking/loading/dispatch.
3. Review plan and execution statuses.</x:v>
      </x:c>
      <x:c r="J50" s="20" t="str">
        <x:v>Planning may be prepared according to design, but physical execution/PGI remains blocked until all mandatory releases are valid.</x:v>
      </x:c>
      <x:c r="K50" s="20" t="str"/>
      <x:c r="L50" s="20" t="str"/>
      <x:c r="M50" s="20" t="str">
        <x:v>Not Started</x:v>
      </x:c>
      <x:c r="N50" s="20" t="str"/>
      <x:c r="O50" s="20" t="str"/>
      <x:c r="P50" s="20" t="str"/>
      <x:c r="Q50" s="20" t="str"/>
    </x:row>
    <x:row r="51" ht="86" customHeight="1">
      <x:c r="A51" s="20" t="str">
        <x:v>TC-050</x:v>
      </x:c>
      <x:c r="B51" s="20" t="str">
        <x:v>REQ-10</x:v>
      </x:c>
      <x:c r="C51" s="20" t="str">
        <x:v>Outbound Logistics</x:v>
      </x:c>
      <x:c r="D51" s="20" t="str">
        <x:v>Block dispatch when SUO order release is missing</x:v>
      </x:c>
      <x:c r="E51" s="20" t="str">
        <x:v>Negative / Control</x:v>
      </x:c>
      <x:c r="F51" s="20" t="str">
        <x:v>P1</x:v>
      </x:c>
      <x:c r="G51" s="20" t="str">
        <x:v>Quality Release is valid; SUO order release is absent.</x:v>
      </x:c>
      <x:c r="H51" s="20" t="str">
        <x:v>Released-quality delivery.</x:v>
      </x:c>
      <x:c r="I51" s="20" t="str">
        <x:v>1. Create/prepare delivery.
2. Attempt pick/load/dispatch or PGI.
3. Review blocking status.</x:v>
      </x:c>
      <x:c r="J51" s="20" t="str">
        <x:v>Dispatch is blocked specifically for missing SUO order release; Quality Release remains intact.</x:v>
      </x:c>
      <x:c r="K51" s="20" t="str"/>
      <x:c r="L51" s="20" t="str"/>
      <x:c r="M51" s="20" t="str">
        <x:v>Not Started</x:v>
      </x:c>
      <x:c r="N51" s="20" t="str"/>
      <x:c r="O51" s="20" t="str"/>
      <x:c r="P51" s="20" t="str"/>
      <x:c r="Q51" s="20" t="str"/>
    </x:row>
    <x:row r="52" ht="86" customHeight="1">
      <x:c r="A52" s="20" t="str">
        <x:v>TC-051</x:v>
      </x:c>
      <x:c r="B52" s="20" t="str">
        <x:v>REQ-08, REQ-10</x:v>
      </x:c>
      <x:c r="C52" s="20" t="str">
        <x:v>Outbound Logistics</x:v>
      </x:c>
      <x:c r="D52" s="20" t="str">
        <x:v>Block dispatch when Quality Release is missing but SUO release exists</x:v>
      </x:c>
      <x:c r="E52" s="20" t="str">
        <x:v>Negative / Control</x:v>
      </x:c>
      <x:c r="F52" s="20" t="str">
        <x:v>P1</x:v>
      </x:c>
      <x:c r="G52" s="20" t="str">
        <x:v>SUO release exists; BIO result pending/failed or formal release absent.</x:v>
      </x:c>
      <x:c r="H52" s="20" t="str">
        <x:v>Delivery with SUO release only.</x:v>
      </x:c>
      <x:c r="I52" s="20" t="str">
        <x:v>1. Prepare delivery.
2. Attempt pick/load/dispatch or PGI.
3. Review error and stock status.</x:v>
      </x:c>
      <x:c r="J52" s="20" t="str">
        <x:v>Dispatch is blocked for missing Quality Release; SUO release cannot override quality control.</x:v>
      </x:c>
      <x:c r="K52" s="20" t="str"/>
      <x:c r="L52" s="20" t="str"/>
      <x:c r="M52" s="20" t="str">
        <x:v>Not Started</x:v>
      </x:c>
      <x:c r="N52" s="20" t="str"/>
      <x:c r="O52" s="20" t="str"/>
      <x:c r="P52" s="20" t="str"/>
      <x:c r="Q52" s="20" t="str"/>
    </x:row>
    <x:row r="53" ht="86" customHeight="1">
      <x:c r="A53" s="20" t="str">
        <x:v>TC-052</x:v>
      </x:c>
      <x:c r="B53" s="20" t="str">
        <x:v>REQ-08, REQ-10</x:v>
      </x:c>
      <x:c r="C53" s="20" t="str">
        <x:v>Outbound Logistics</x:v>
      </x:c>
      <x:c r="D53" s="20" t="str">
        <x:v>Permit dispatch only when both Quality and SUO releases exist</x:v>
      </x:c>
      <x:c r="E53" s="20" t="str">
        <x:v>Positive / Control</x:v>
      </x:c>
      <x:c r="F53" s="20" t="str">
        <x:v>P1</x:v>
      </x:c>
      <x:c r="G53" s="20" t="str">
        <x:v>All goods at external warehouse; passing BIO result; formal Quality Release; SUO release.</x:v>
      </x:c>
      <x:c r="H53" s="20" t="str">
        <x:v>Complete twin + single delivery.</x:v>
      </x:c>
      <x:c r="I53" s="20" t="str">
        <x:v>1. Create delivery and allocate stock.
2. Pick exact reels/packages.
3. Load and confirm transport.
4. Post goods issue/dispatch.</x:v>
      </x:c>
      <x:c r="J53" s="20" t="str">
        <x:v>Delivery executes successfully only after both releases; system records selected reels/packages, date/time, user, vehicle/order, and stock reduction.</x:v>
      </x:c>
      <x:c r="K53" s="20" t="str"/>
      <x:c r="L53" s="20" t="str"/>
      <x:c r="M53" s="20" t="str">
        <x:v>Not Started</x:v>
      </x:c>
      <x:c r="N53" s="20" t="str"/>
      <x:c r="O53" s="20" t="str"/>
      <x:c r="P53" s="20" t="str"/>
      <x:c r="Q53" s="20" t="str"/>
    </x:row>
    <x:row r="54" ht="86" customHeight="1">
      <x:c r="A54" s="20" t="str">
        <x:v>TC-053</x:v>
      </x:c>
      <x:c r="B54" s="20" t="str">
        <x:v>REQ-03, REQ-10</x:v>
      </x:c>
      <x:c r="C54" s="20" t="str">
        <x:v>Outbound Logistics</x:v>
      </x:c>
      <x:c r="D54" s="20" t="str">
        <x:v>Pick complete and correct twin/single quantities</x:v>
      </x:c>
      <x:c r="E54" s="20" t="str">
        <x:v>Positive / Reconciliation</x:v>
      </x:c>
      <x:c r="F54" s="20" t="str">
        <x:v>P1</x:v>
      </x:c>
      <x:c r="G54" s="20" t="str">
        <x:v>Valid releasable stock includes multiple orders/lots.</x:v>
      </x:c>
      <x:c r="H54" s="20" t="str">
        <x:v>Target order’s twin and single reel/package IDs.</x:v>
      </x:c>
      <x:c r="I54" s="20" t="str">
        <x:v>1. Run picking proposal.
2. Verify selected grade, customer products, order, lot, and quantities.
3. Complete picking and compare to order.</x:v>
      </x:c>
      <x:c r="J54" s="20" t="str">
        <x:v>Only the target order’s correct twin and single quantities are picked; no substitution, omission, or cross-order allocation occurs.</x:v>
      </x:c>
      <x:c r="K54" s="20" t="str"/>
      <x:c r="L54" s="20" t="str"/>
      <x:c r="M54" s="20" t="str">
        <x:v>Not Started</x:v>
      </x:c>
      <x:c r="N54" s="20" t="str"/>
      <x:c r="O54" s="20" t="str"/>
      <x:c r="P54" s="20" t="str"/>
      <x:c r="Q54" s="20" t="str"/>
    </x:row>
    <x:row r="55" ht="86" customHeight="1">
      <x:c r="A55" s="20" t="str">
        <x:v>TC-054</x:v>
      </x:c>
      <x:c r="B55" s="20" t="str">
        <x:v>REQ-08, REQ-10</x:v>
      </x:c>
      <x:c r="C55" s="20" t="str">
        <x:v>Outbound Logistics</x:v>
      </x:c>
      <x:c r="D55" s="20" t="str">
        <x:v>Prevent manual warehouse override of release blocks</x:v>
      </x:c>
      <x:c r="E55" s="20" t="str">
        <x:v>Authorization / Negative</x:v>
      </x:c>
      <x:c r="F55" s="20" t="str">
        <x:v>P1</x:v>
      </x:c>
      <x:c r="G55" s="20" t="str">
        <x:v>Stock is unreleased and an operational warehouse user is available.</x:v>
      </x:c>
      <x:c r="H55" s="20" t="str">
        <x:v>Unreleased package/reel.</x:v>
      </x:c>
      <x:c r="I55" s="20" t="str">
        <x:v>1. Attempt manual status change, forced pick, forced load, or direct goods issue.
2. Attempt via alternate transaction/interface if available.
3. Review security and audit logs.</x:v>
      </x:c>
      <x:c r="J55" s="20" t="str">
        <x:v>All unauthorized bypass paths are denied or require controlled approval; no physical dispatch record is created.</x:v>
      </x:c>
      <x:c r="K55" s="20" t="str"/>
      <x:c r="L55" s="20" t="str"/>
      <x:c r="M55" s="20" t="str">
        <x:v>Not Started</x:v>
      </x:c>
      <x:c r="N55" s="20" t="str"/>
      <x:c r="O55" s="20" t="str"/>
      <x:c r="P55" s="20" t="str"/>
      <x:c r="Q55" s="20" t="str"/>
    </x:row>
    <x:row r="56" ht="86" customHeight="1">
      <x:c r="A56" s="20" t="str">
        <x:v>TC-055</x:v>
      </x:c>
      <x:c r="B56" s="20" t="str">
        <x:v>REQ-13</x:v>
      </x:c>
      <x:c r="C56" s="20" t="str">
        <x:v>Outbound Logistics</x:v>
      </x:c>
      <x:c r="D56" s="20" t="str">
        <x:v>Generate accurate shipment documents</x:v>
      </x:c>
      <x:c r="E56" s="20" t="str">
        <x:v>Document / Positive</x:v>
      </x:c>
      <x:c r="F56" s="20" t="str">
        <x:v>P2</x:v>
      </x:c>
      <x:c r="G56" s="20" t="str">
        <x:v>Delivery is ready for dispatch.</x:v>
      </x:c>
      <x:c r="H56" s="20" t="str">
        <x:v>Packing list, transport document, CoA, labels, order/delivery data.</x:v>
      </x:c>
      <x:c r="I56" s="20" t="str">
        <x:v>1. Generate shipment documents.
2. Verify customer/address, carrier, packages, reel IDs, weights, quantities, FSC claim, and quality references.
3. Compare document totals to delivery and physical load.</x:v>
      </x:c>
      <x:c r="J56" s="20" t="str">
        <x:v>Documents are complete, consistent, and traceable to the loaded goods; no unreleased or wrong material appears.</x:v>
      </x:c>
      <x:c r="K56" s="20" t="str"/>
      <x:c r="L56" s="20" t="str"/>
      <x:c r="M56" s="20" t="str">
        <x:v>Not Started</x:v>
      </x:c>
      <x:c r="N56" s="20" t="str"/>
      <x:c r="O56" s="20" t="str"/>
      <x:c r="P56" s="20" t="str"/>
      <x:c r="Q56" s="20" t="str"/>
    </x:row>
    <x:row r="57" ht="86" customHeight="1">
      <x:c r="A57" s="20" t="str">
        <x:v>TC-056</x:v>
      </x:c>
      <x:c r="B57" s="20" t="str">
        <x:v>REQ-07, REQ-08</x:v>
      </x:c>
      <x:c r="C57" s="20" t="str">
        <x:v>Outbound Logistics</x:v>
      </x:c>
      <x:c r="D57" s="20" t="str">
        <x:v>Do not auto-release after maximum expected BIO test duration</x:v>
      </x:c>
      <x:c r="E57" s="20" t="str">
        <x:v>Boundary / Negative</x:v>
      </x:c>
      <x:c r="F57" s="20" t="str">
        <x:v>P1</x:v>
      </x:c>
      <x:c r="G57" s="20" t="str">
        <x:v>BIO result remains pending beyond day 10.</x:v>
      </x:c>
      <x:c r="H57" s="20" t="str">
        <x:v>Pending sample older than 10 days.</x:v>
      </x:c>
      <x:c r="I57" s="20" t="str">
        <x:v>1. Advance/check business date beyond 10 days.
2. Review stock and delivery status.
3. Attempt dispatch.</x:v>
      </x:c>
      <x:c r="J57" s="20" t="str">
        <x:v>Material remains blocked; 7–10 days is an expected duration, not an automatic release threshold; overdue exception is visible.</x:v>
      </x:c>
      <x:c r="K57" s="20" t="str"/>
      <x:c r="L57" s="20" t="str"/>
      <x:c r="M57" s="20" t="str">
        <x:v>Not Started</x:v>
      </x:c>
      <x:c r="N57" s="20" t="str"/>
      <x:c r="O57" s="20" t="str"/>
      <x:c r="P57" s="20" t="str"/>
      <x:c r="Q57" s="20" t="str"/>
    </x:row>
    <x:row r="58" ht="86" customHeight="1">
      <x:c r="A58" s="20" t="str">
        <x:v>TC-057</x:v>
      </x:c>
      <x:c r="B58" s="20" t="str">
        <x:v>REQ-11</x:v>
      </x:c>
      <x:c r="C58" s="20" t="str">
        <x:v>Billing</x:v>
      </x:c>
      <x:c r="D58" s="20" t="str">
        <x:v>Create invoice after successful dispatch</x:v>
      </x:c>
      <x:c r="E58" s="20" t="str">
        <x:v>Positive</x:v>
      </x:c>
      <x:c r="F58" s="20" t="str">
        <x:v>P1</x:v>
      </x:c>
      <x:c r="G58" s="20" t="str">
        <x:v>PGI/dispatch is complete for the full order.</x:v>
      </x:c>
      <x:c r="H58" s="20" t="str">
        <x:v>Delivery and pricing data.</x:v>
      </x:c>
      <x:c r="I58" s="20" t="str">
        <x:v>1. Create billing document from delivery/order.
2. Review invoice header and both item lines.
3. Post invoice and capture accounting/FSC references.</x:v>
      </x:c>
      <x:c r="J58" s="20" t="str">
        <x:v>One valid customer invoice is created for shipped quantities with correct references, status, and downstream postings.</x:v>
      </x:c>
      <x:c r="K58" s="20" t="str"/>
      <x:c r="L58" s="20" t="str"/>
      <x:c r="M58" s="20" t="str">
        <x:v>Not Started</x:v>
      </x:c>
      <x:c r="N58" s="20" t="str"/>
      <x:c r="O58" s="20" t="str"/>
      <x:c r="P58" s="20" t="str"/>
      <x:c r="Q58" s="20" t="str"/>
    </x:row>
    <x:row r="59" ht="86" customHeight="1">
      <x:c r="A59" s="20" t="str">
        <x:v>TC-058</x:v>
      </x:c>
      <x:c r="B59" s="20" t="str">
        <x:v>REQ-08, REQ-11</x:v>
      </x:c>
      <x:c r="C59" s="20" t="str">
        <x:v>Billing</x:v>
      </x:c>
      <x:c r="D59" s="20" t="str">
        <x:v>Block invoice before shipment/PGI</x:v>
      </x:c>
      <x:c r="E59" s="20" t="str">
        <x:v>Negative / Control</x:v>
      </x:c>
      <x:c r="F59" s="20" t="str">
        <x:v>P1</x:v>
      </x:c>
      <x:c r="G59" s="20" t="str">
        <x:v>Delivery is planned or picked but not dispatched.</x:v>
      </x:c>
      <x:c r="H59" s="20" t="str">
        <x:v>Unposted delivery.</x:v>
      </x:c>
      <x:c r="I59" s="20" t="str">
        <x:v>1. Attempt to create invoice.
2. Review billing due list/status and messages.</x:v>
      </x:c>
      <x:c r="J59" s="20" t="str">
        <x:v>Invoice creation is blocked or excluded until required shipment event is complete; no receivable or FSC sale is posted early.</x:v>
      </x:c>
      <x:c r="K59" s="20" t="str"/>
      <x:c r="L59" s="20" t="str"/>
      <x:c r="M59" s="20" t="str">
        <x:v>Not Started</x:v>
      </x:c>
      <x:c r="N59" s="20" t="str"/>
      <x:c r="O59" s="20" t="str"/>
      <x:c r="P59" s="20" t="str"/>
      <x:c r="Q59" s="20" t="str"/>
    </x:row>
    <x:row r="60" ht="86" customHeight="1">
      <x:c r="A60" s="20" t="str">
        <x:v>TC-059</x:v>
      </x:c>
      <x:c r="B60" s="20" t="str">
        <x:v>REQ-11</x:v>
      </x:c>
      <x:c r="C60" s="20" t="str">
        <x:v>Billing</x:v>
      </x:c>
      <x:c r="D60" s="20" t="str">
        <x:v>Validate invoice quantities, prices, taxes, and references</x:v>
      </x:c>
      <x:c r="E60" s="20" t="str">
        <x:v>Reconciliation</x:v>
      </x:c>
      <x:c r="F60" s="20" t="str">
        <x:v>P1</x:v>
      </x:c>
      <x:c r="G60" s="20" t="str">
        <x:v>Invoice exists.</x:v>
      </x:c>
      <x:c r="H60" s="20" t="str">
        <x:v>Order, delivery, pricing, tax, currency, and invoice data.</x:v>
      </x:c>
      <x:c r="I60" s="20" t="str">
        <x:v>1. Compare invoice quantities to PGI and order.
2. Compare prices, discounts, tax, currency, and totals to approved expectations.
3. Verify customer-product and FSC claim references.</x:v>
      </x:c>
      <x:c r="J60" s="20" t="str">
        <x:v>Invoice exactly reflects dispatched goods and approved commercial conditions; totals and references reconcile with no duplicate line.</x:v>
      </x:c>
      <x:c r="K60" s="20" t="str"/>
      <x:c r="L60" s="20" t="str"/>
      <x:c r="M60" s="20" t="str">
        <x:v>Not Started</x:v>
      </x:c>
      <x:c r="N60" s="20" t="str"/>
      <x:c r="O60" s="20" t="str"/>
      <x:c r="P60" s="20" t="str"/>
      <x:c r="Q60" s="20" t="str"/>
    </x:row>
    <x:row r="61" ht="86" customHeight="1">
      <x:c r="A61" s="20" t="str">
        <x:v>TC-060</x:v>
      </x:c>
      <x:c r="B61" s="20" t="str">
        <x:v>REQ-02, REQ-11</x:v>
      </x:c>
      <x:c r="C61" s="20" t="str">
        <x:v>FSC Accounting</x:v>
      </x:c>
      <x:c r="D61" s="20" t="str">
        <x:v>Update FSC Credit Mix balance through invoicing</x:v>
      </x:c>
      <x:c r="E61" s="20" t="str">
        <x:v>Control / Reconciliation</x:v>
      </x:c>
      <x:c r="F61" s="20" t="str">
        <x:v>P1</x:v>
      </x:c>
      <x:c r="G61" s="20" t="str">
        <x:v>Successful invoice exists and opening/reserved balances are known.</x:v>
      </x:c>
      <x:c r="H61" s="20" t="str">
        <x:v>Certified quantity/UoM and invoice quantity.</x:v>
      </x:c>
      <x:c r="I61" s="20" t="str">
        <x:v>1. Record FSC ledger before billing.
2. Post invoice.
3. Review reservation-to-consumption transition and remaining balance.
4. Compare to order and shipment quantities.</x:v>
      </x:c>
      <x:c r="J61" s="20" t="str">
        <x:v>FSC balance is reduced/consumed exactly once according to approved chain-of-custody logic and remains non-negative and auditable.</x:v>
      </x:c>
      <x:c r="K61" s="20" t="str"/>
      <x:c r="L61" s="20" t="str"/>
      <x:c r="M61" s="20" t="str">
        <x:v>Not Started</x:v>
      </x:c>
      <x:c r="N61" s="20" t="str"/>
      <x:c r="O61" s="20" t="str"/>
      <x:c r="P61" s="20" t="str"/>
      <x:c r="Q61" s="20" t="str"/>
    </x:row>
    <x:row r="62" ht="86" customHeight="1">
      <x:c r="A62" s="20" t="str">
        <x:v>TC-061</x:v>
      </x:c>
      <x:c r="B62" s="20" t="str">
        <x:v>REQ-11</x:v>
      </x:c>
      <x:c r="C62" s="20" t="str">
        <x:v>R2R</x:v>
      </x:c>
      <x:c r="D62" s="20" t="str">
        <x:v>Validate revenue and receivable accounting entries</x:v>
      </x:c>
      <x:c r="E62" s="20" t="str">
        <x:v>Finance / Reconciliation</x:v>
      </x:c>
      <x:c r="F62" s="20" t="str">
        <x:v>P1</x:v>
      </x:c>
      <x:c r="G62" s="20" t="str">
        <x:v>Invoice is posted.</x:v>
      </x:c>
      <x:c r="H62" s="20" t="str">
        <x:v>Expected G/L accounts, values, tax, customer account, profit center/site.</x:v>
      </x:c>
      <x:c r="I62" s="20" t="str">
        <x:v>1. Display accounting document.
2. Verify debit/credit entries, currency, tax, account assignments, and document references.
3. Reconcile to invoice total.</x:v>
      </x:c>
      <x:c r="J62" s="20" t="str">
        <x:v>Balanced accounting document posts to approved accounts and dimensions; invoice and ledger totals match.</x:v>
      </x:c>
      <x:c r="K62" s="20" t="str"/>
      <x:c r="L62" s="20" t="str"/>
      <x:c r="M62" s="20" t="str">
        <x:v>Not Started</x:v>
      </x:c>
      <x:c r="N62" s="20" t="str"/>
      <x:c r="O62" s="20" t="str"/>
      <x:c r="P62" s="20" t="str"/>
      <x:c r="Q62" s="20" t="str"/>
    </x:row>
    <x:row r="63" ht="86" customHeight="1">
      <x:c r="A63" s="20" t="str">
        <x:v>TC-062</x:v>
      </x:c>
      <x:c r="B63" s="20" t="str">
        <x:v>REQ-11</x:v>
      </x:c>
      <x:c r="C63" s="20" t="str">
        <x:v>BC Checks</x:v>
      </x:c>
      <x:c r="D63" s="20" t="str">
        <x:v>Execute and evidence BC checks</x:v>
      </x:c>
      <x:c r="E63" s="20" t="str">
        <x:v>Control / UAT</x:v>
      </x:c>
      <x:c r="F63" s="20" t="str">
        <x:v>P2</x:v>
      </x:c>
      <x:c r="G63" s="20" t="str">
        <x:v>Business defines BC control checklist.</x:v>
      </x:c>
      <x:c r="H63" s="20" t="str">
        <x:v>Invoice, delivery, FSC, quality, and accounting evidence.</x:v>
      </x:c>
      <x:c r="I63" s="20" t="str">
        <x:v>1. Execute each approved BC check.
2. Record pass/fail, reviewer, date, and evidence.
3. Resolve any exception and rerun.</x:v>
      </x:c>
      <x:c r="J63" s="20" t="str">
        <x:v>All defined BC checks pass with retained evidence before scenario sign-off.</x:v>
      </x:c>
      <x:c r="K63" s="20" t="str">
        <x:v>BC meaning/checklist is not supplied in the requirement and must be confirmed.</x:v>
      </x:c>
      <x:c r="L63" s="20" t="str"/>
      <x:c r="M63" s="20" t="str">
        <x:v>Not Started</x:v>
      </x:c>
      <x:c r="N63" s="20" t="str"/>
      <x:c r="O63" s="20" t="str"/>
      <x:c r="P63" s="20" t="str"/>
      <x:c r="Q63" s="20" t="str"/>
    </x:row>
    <x:row r="64" ht="86" customHeight="1">
      <x:c r="A64" s="20" t="str">
        <x:v>TC-063</x:v>
      </x:c>
      <x:c r="B64" s="20" t="str">
        <x:v>REQ-02, REQ-11</x:v>
      </x:c>
      <x:c r="C64" s="20" t="str">
        <x:v>Reconciliation</x:v>
      </x:c>
      <x:c r="D64" s="20" t="str">
        <x:v>Reconcile order, production, stock, shipment, invoice, finance, and FSC</x:v>
      </x:c>
      <x:c r="E64" s="20" t="str">
        <x:v>E2E Reconciliation</x:v>
      </x:c>
      <x:c r="F64" s="20" t="str">
        <x:v>P1</x:v>
      </x:c>
      <x:c r="G64" s="20" t="str">
        <x:v>Happy-path scenario is complete.</x:v>
      </x:c>
      <x:c r="H64" s="20" t="str">
        <x:v>All document IDs and quantities/values.</x:v>
      </x:c>
      <x:c r="I64" s="20" t="str">
        <x:v>1. Reconcile ordered vs planned vs produced vs packaged vs shipped vs invoiced quantities.
2. Reconcile stock movements and accounting values.
3. Reconcile FSC opening, reservation, consumption, and remaining balance.
4. Investigate any variance.</x:v>
      </x:c>
      <x:c r="J64" s="20" t="str">
        <x:v>All physical, financial, quality, and certification records balance with zero unexplained variance.</x:v>
      </x:c>
      <x:c r="K64" s="20" t="str"/>
      <x:c r="L64" s="20" t="str"/>
      <x:c r="M64" s="20" t="str">
        <x:v>Not Started</x:v>
      </x:c>
      <x:c r="N64" s="20" t="str"/>
      <x:c r="O64" s="20" t="str"/>
      <x:c r="P64" s="20" t="str"/>
      <x:c r="Q64" s="20" t="str"/>
    </x:row>
    <x:row r="65" ht="86" customHeight="1">
      <x:c r="A65" s="20" t="str">
        <x:v>TC-064</x:v>
      </x:c>
      <x:c r="B65" s="20" t="str">
        <x:v>REQ-11, REQ-13</x:v>
      </x:c>
      <x:c r="C65" s="20" t="str">
        <x:v>Billing</x:v>
      </x:c>
      <x:c r="D65" s="20" t="str">
        <x:v>Validate invoice output and audit trail</x:v>
      </x:c>
      <x:c r="E65" s="20" t="str">
        <x:v>Document / Audit</x:v>
      </x:c>
      <x:c r="F65" s="20" t="str">
        <x:v>P2</x:v>
      </x:c>
      <x:c r="G65" s="20" t="str">
        <x:v>Posted invoice exists.</x:v>
      </x:c>
      <x:c r="H65" s="20" t="str">
        <x:v>Approved invoice template and document history.</x:v>
      </x:c>
      <x:c r="I65" s="20" t="str">
        <x:v>1. Generate/display invoice output.
2. Verify mandatory customer, item, quantity, value, tax, delivery, FSC, and legal fields.
3. Review creation/change/output logs.</x:v>
      </x:c>
      <x:c r="J65" s="20" t="str">
        <x:v>Invoice output is complete and the lifecycle is auditable from creation through transmission.</x:v>
      </x:c>
      <x:c r="K65" s="20" t="str">
        <x:v>Mandatory field list depends on OI-11.</x:v>
      </x:c>
      <x:c r="L65" s="20" t="str"/>
      <x:c r="M65" s="20" t="str">
        <x:v>Not Started</x:v>
      </x:c>
      <x:c r="N65" s="20" t="str"/>
      <x:c r="O65" s="20" t="str"/>
      <x:c r="P65" s="20" t="str"/>
      <x:c r="Q65" s="20" t="str"/>
    </x:row>
    <x:row r="66" ht="86" customHeight="1">
      <x:c r="A66" s="20" t="str">
        <x:v>TC-065</x:v>
      </x:c>
      <x:c r="B66" s="20" t="str">
        <x:v>REQ-12</x:v>
      </x:c>
      <x:c r="C66" s="20" t="str">
        <x:v>Customer Return</x:v>
      </x:c>
      <x:c r="D66" s="20" t="str">
        <x:v>Create quality exception after dispatch and invoicing</x:v>
      </x:c>
      <x:c r="E66" s="20" t="str">
        <x:v>Exception / E2E</x:v>
      </x:c>
      <x:c r="F66" s="20" t="str">
        <x:v>P1</x:v>
      </x:c>
      <x:c r="G66" s="20" t="str">
        <x:v>Full order has been dispatched and invoiced.</x:v>
      </x:c>
      <x:c r="H66" s="20" t="str">
        <x:v>Quality issue linked to order/delivery/invoice and affected reels.</x:v>
      </x:c>
      <x:c r="I66" s="20" t="str">
        <x:v>1. Record the quality mistake/complaint.
2. Link affected order, truck/delivery, invoice, and all material.
3. Set recall/return status and notify responsible roles.</x:v>
      </x:c>
      <x:c r="J66" s="20" t="str">
        <x:v>One controlled quality exception is created with complete document/reel linkage and blocks further use/settlement as designed.</x:v>
      </x:c>
      <x:c r="K66" s="20" t="str"/>
      <x:c r="L66" s="20" t="str"/>
      <x:c r="M66" s="20" t="str">
        <x:v>Not Started</x:v>
      </x:c>
      <x:c r="N66" s="20" t="str"/>
      <x:c r="O66" s="20" t="str"/>
      <x:c r="P66" s="20" t="str"/>
      <x:c r="Q66" s="20" t="str"/>
    </x:row>
    <x:row r="67" ht="86" customHeight="1">
      <x:c r="A67" s="20" t="str">
        <x:v>TC-066</x:v>
      </x:c>
      <x:c r="B67" s="20" t="str">
        <x:v>REQ-12</x:v>
      </x:c>
      <x:c r="C67" s="20" t="str">
        <x:v>Customer Return</x:v>
      </x:c>
      <x:c r="D67" s="20" t="str">
        <x:v>Recall the full truck/order</x:v>
      </x:c>
      <x:c r="E67" s="20" t="str">
        <x:v>Positive / Control</x:v>
      </x:c>
      <x:c r="F67" s="20" t="str">
        <x:v>P1</x:v>
      </x:c>
      <x:c r="G67" s="20" t="str">
        <x:v>Quality exception exists and transport/order can be recalled.</x:v>
      </x:c>
      <x:c r="H67" s="20" t="str">
        <x:v>Full delivery/truck identifiers.</x:v>
      </x:c>
      <x:c r="I67" s="20" t="str">
        <x:v>1. Initiate recall for the complete truck/order.
2. Verify all delivery items/packages are selected.
3. Confirm recall instruction/status and transport acknowledgement.</x:v>
      </x:c>
      <x:c r="J67" s="20" t="str">
        <x:v>Recall applies to 100% of the dispatched order; every package/reel is identified and no item remains outside the recall scope.</x:v>
      </x:c>
      <x:c r="K67" s="20" t="str"/>
      <x:c r="L67" s="20" t="str"/>
      <x:c r="M67" s="20" t="str">
        <x:v>Not Started</x:v>
      </x:c>
      <x:c r="N67" s="20" t="str"/>
      <x:c r="O67" s="20" t="str"/>
      <x:c r="P67" s="20" t="str"/>
      <x:c r="Q67" s="20" t="str"/>
    </x:row>
    <x:row r="68" ht="86" customHeight="1">
      <x:c r="A68" s="20" t="str">
        <x:v>TC-067</x:v>
      </x:c>
      <x:c r="B68" s="20" t="str">
        <x:v>REQ-12</x:v>
      </x:c>
      <x:c r="C68" s="20" t="str">
        <x:v>Customer Return</x:v>
      </x:c>
      <x:c r="D68" s="20" t="str">
        <x:v>Reject or flag partial return for this full-return scenario</x:v>
      </x:c>
      <x:c r="E68" s="20" t="str">
        <x:v>Negative / Control</x:v>
      </x:c>
      <x:c r="F68" s="20" t="str">
        <x:v>P1</x:v>
      </x:c>
      <x:c r="G68" s="20" t="str">
        <x:v>Full-return quality exception is active.</x:v>
      </x:c>
      <x:c r="H68" s="20" t="str">
        <x:v>Return request for fewer than all shipped packages/quantities.</x:v>
      </x:c>
      <x:c r="I68" s="20" t="str">
        <x:v>1. Create partial return request.
2. Attempt approval/receipt/closure.
3. Review exception message and remaining quantity.</x:v>
      </x:c>
      <x:c r="J68" s="20" t="str">
        <x:v>System/control prevents closure as a compliant scenario or clearly flags incomplete recall until full shipped quantity is returned.</x:v>
      </x:c>
      <x:c r="K68" s="20" t="str"/>
      <x:c r="L68" s="20" t="str"/>
      <x:c r="M68" s="20" t="str">
        <x:v>Not Started</x:v>
      </x:c>
      <x:c r="N68" s="20" t="str"/>
      <x:c r="O68" s="20" t="str"/>
      <x:c r="P68" s="20" t="str"/>
      <x:c r="Q68" s="20" t="str"/>
    </x:row>
    <x:row r="69" ht="86" customHeight="1">
      <x:c r="A69" s="20" t="str">
        <x:v>TC-068</x:v>
      </x:c>
      <x:c r="B69" s="20" t="str">
        <x:v>REQ-12</x:v>
      </x:c>
      <x:c r="C69" s="20" t="str">
        <x:v>Customer Return</x:v>
      </x:c>
      <x:c r="D69" s="20" t="str">
        <x:v>Receive returned truck and all material</x:v>
      </x:c>
      <x:c r="E69" s="20" t="str">
        <x:v>Positive / Reconciliation</x:v>
      </x:c>
      <x:c r="F69" s="20" t="str">
        <x:v>P1</x:v>
      </x:c>
      <x:c r="G69" s="20" t="str">
        <x:v>Recall has been issued; returned truck arrives.</x:v>
      </x:c>
      <x:c r="H69" s="20" t="str">
        <x:v>All original package/reel IDs and quantities.</x:v>
      </x:c>
      <x:c r="I69" s="20" t="str">
        <x:v>1. Create return delivery/receipt.
2. Scan/receive every original package/reel.
3. Record discrepancies/damage.
4. Post return goods receipt.</x:v>
      </x:c>
      <x:c r="J69" s="20" t="str">
        <x:v>All original material is received exactly once, linked to original shipment, and returned quantity equals dispatched quantity.</x:v>
      </x:c>
      <x:c r="K69" s="20" t="str"/>
      <x:c r="L69" s="20" t="str"/>
      <x:c r="M69" s="20" t="str">
        <x:v>Not Started</x:v>
      </x:c>
      <x:c r="N69" s="20" t="str"/>
      <x:c r="O69" s="20" t="str"/>
      <x:c r="P69" s="20" t="str"/>
      <x:c r="Q69" s="20" t="str"/>
    </x:row>
    <x:row r="70" ht="86" customHeight="1">
      <x:c r="A70" s="20" t="str">
        <x:v>TC-069</x:v>
      </x:c>
      <x:c r="B70" s="20" t="str">
        <x:v>REQ-12</x:v>
      </x:c>
      <x:c r="C70" s="20" t="str">
        <x:v>Customer Return</x:v>
      </x:c>
      <x:c r="D70" s="20" t="str">
        <x:v>Apply approved returned-stock status</x:v>
      </x:c>
      <x:c r="E70" s="20" t="str">
        <x:v>Quality / Control</x:v>
      </x:c>
      <x:c r="F70" s="20" t="str">
        <x:v>P1</x:v>
      </x:c>
      <x:c r="G70" s="20" t="str">
        <x:v>Return goods receipt is posted.</x:v>
      </x:c>
      <x:c r="H70" s="20" t="str">
        <x:v>Business-approved return stock status and storage location.</x:v>
      </x:c>
      <x:c r="I70" s="20" t="str">
        <x:v>1. Review stock after receipt.
2. Verify movement type, storage location, batch/reel identity, and stock category.
3. Attempt reuse/reship if status should block it.</x:v>
      </x:c>
      <x:c r="J70" s="20" t="str">
        <x:v>Returned material is placed in the approved stock category and cannot be reused contrary to the quality disposition.</x:v>
      </x:c>
      <x:c r="K70" s="20" t="str">
        <x:v>Requirement only says “back in stock”; exact status depends on OI-08.</x:v>
      </x:c>
      <x:c r="L70" s="20" t="str"/>
      <x:c r="M70" s="20" t="str">
        <x:v>Not Started</x:v>
      </x:c>
      <x:c r="N70" s="20" t="str"/>
      <x:c r="O70" s="20" t="str"/>
      <x:c r="P70" s="20" t="str"/>
      <x:c r="Q70" s="20" t="str"/>
    </x:row>
    <x:row r="71" ht="86" customHeight="1">
      <x:c r="A71" s="20" t="str">
        <x:v>TC-070</x:v>
      </x:c>
      <x:c r="B71" s="20" t="str">
        <x:v>REQ-12</x:v>
      </x:c>
      <x:c r="C71" s="20" t="str">
        <x:v>Customer Return</x:v>
      </x:c>
      <x:c r="D71" s="20" t="str">
        <x:v>Cancel/delete invoice using approved accounting process</x:v>
      </x:c>
      <x:c r="E71" s="20" t="str">
        <x:v>Finance / Exception</x:v>
      </x:c>
      <x:c r="F71" s="20" t="str">
        <x:v>P1</x:v>
      </x:c>
      <x:c r="G71" s="20" t="str">
        <x:v>Full return is confirmed and invoice is posted.</x:v>
      </x:c>
      <x:c r="H71" s="20" t="str">
        <x:v>Original invoice and approved cancellation/reversal reason.</x:v>
      </x:c>
      <x:c r="I71" s="20" t="str">
        <x:v>1. Initiate invoice cancellation/deletion process.
2. Verify reference to original invoice and full quantity/value.
3. Post cancellation/reversal and review customer balance.</x:v>
      </x:c>
      <x:c r="J71" s="20" t="str">
        <x:v>Original invoice is legally reversed/cancelled exactly once; customer receivable and invoice status are corrected with full audit trail.</x:v>
      </x:c>
      <x:c r="K71" s="20" t="str">
        <x:v>Physical deletion vs cancellation/credit process depends on OI-09.</x:v>
      </x:c>
      <x:c r="L71" s="20" t="str"/>
      <x:c r="M71" s="20" t="str">
        <x:v>Not Started</x:v>
      </x:c>
      <x:c r="N71" s="20" t="str"/>
      <x:c r="O71" s="20" t="str"/>
      <x:c r="P71" s="20" t="str"/>
      <x:c r="Q71" s="20" t="str"/>
    </x:row>
    <x:row r="72" ht="86" customHeight="1">
      <x:c r="A72" s="20" t="str">
        <x:v>TC-071</x:v>
      </x:c>
      <x:c r="B72" s="20" t="str">
        <x:v>REQ-11, REQ-12</x:v>
      </x:c>
      <x:c r="C72" s="20" t="str">
        <x:v>R2R</x:v>
      </x:c>
      <x:c r="D72" s="20" t="str">
        <x:v>Validate R2R reversal for returned and cancelled order</x:v>
      </x:c>
      <x:c r="E72" s="20" t="str">
        <x:v>Finance / Reconciliation</x:v>
      </x:c>
      <x:c r="F72" s="20" t="str">
        <x:v>P1</x:v>
      </x:c>
      <x:c r="G72" s="20" t="str">
        <x:v>Return and invoice cancellation are posted.</x:v>
      </x:c>
      <x:c r="H72" s="20" t="str">
        <x:v>Original and reversal accounting documents.</x:v>
      </x:c>
      <x:c r="I72" s="20" t="str">
        <x:v>1. Compare original and reversal postings.
2. Verify revenue, tax, receivable, inventory/COGS, and relevant dimensions.
3. Reconcile net balance.</x:v>
      </x:c>
      <x:c r="J72" s="20" t="str">
        <x:v>Approved reversal documents offset the original financial impact without duplicate or residual unexplained balance.</x:v>
      </x:c>
      <x:c r="K72" s="20" t="str"/>
      <x:c r="L72" s="20" t="str"/>
      <x:c r="M72" s="20" t="str">
        <x:v>Not Started</x:v>
      </x:c>
      <x:c r="N72" s="20" t="str"/>
      <x:c r="O72" s="20" t="str"/>
      <x:c r="P72" s="20" t="str"/>
      <x:c r="Q72" s="20" t="str"/>
    </x:row>
    <x:row r="73" ht="86" customHeight="1">
      <x:c r="A73" s="20" t="str">
        <x:v>TC-072</x:v>
      </x:c>
      <x:c r="B73" s="20" t="str">
        <x:v>REQ-02, REQ-12</x:v>
      </x:c>
      <x:c r="C73" s="20" t="str">
        <x:v>FSC Accounting</x:v>
      </x:c>
      <x:c r="D73" s="20" t="str">
        <x:v>Adjust FSC Credit Mix after full return and invoice reversal</x:v>
      </x:c>
      <x:c r="E73" s="20" t="str">
        <x:v>Control / Reconciliation</x:v>
      </x:c>
      <x:c r="F73" s="20" t="str">
        <x:v>P1</x:v>
      </x:c>
      <x:c r="G73" s="20" t="str">
        <x:v>FSC consumption exists for the original invoice; full return and cancellation are posted.</x:v>
      </x:c>
      <x:c r="H73" s="20" t="str">
        <x:v>Original FSC ledger entries and approved return treatment.</x:v>
      </x:c>
      <x:c r="I73" s="20" t="str">
        <x:v>1. Record FSC ledger before reversal.
2. Post/trigger approved FSC adjustment.
3. Verify quantity, UoM, validity, and references.
4. Reconcile final balance.</x:v>
      </x:c>
      <x:c r="J73" s="20" t="str">
        <x:v>FSC accounting is adjusted exactly according to approved chain-of-custody rules, with no double credit or stranded consumption.</x:v>
      </x:c>
      <x:c r="K73" s="20" t="str">
        <x:v>Expected direction/timing depends on OI-10.</x:v>
      </x:c>
      <x:c r="L73" s="20" t="str"/>
      <x:c r="M73" s="20" t="str">
        <x:v>Not Started</x:v>
      </x:c>
      <x:c r="N73" s="20" t="str"/>
      <x:c r="O73" s="20" t="str"/>
      <x:c r="P73" s="20" t="str"/>
      <x:c r="Q73" s="20" t="str"/>
    </x:row>
    <x:row r="74" ht="86" customHeight="1">
      <x:c r="A74" s="20" t="str">
        <x:v>TC-073</x:v>
      </x:c>
      <x:c r="B74" s="20" t="str">
        <x:v>REQ-12</x:v>
      </x:c>
      <x:c r="C74" s="20" t="str">
        <x:v>Customer Return</x:v>
      </x:c>
      <x:c r="D74" s="20" t="str">
        <x:v>Prevent return-case closure before full completion</x:v>
      </x:c>
      <x:c r="E74" s="20" t="str">
        <x:v>Negative / Workflow</x:v>
      </x:c>
      <x:c r="F74" s="20" t="str">
        <x:v>P1</x:v>
      </x:c>
      <x:c r="G74" s="20" t="str">
        <x:v>Return case has one incomplete component.</x:v>
      </x:c>
      <x:c r="H74" s="20" t="str">
        <x:v>Examples: one package missing, invoice not cancelled, stock not posted, finance check failed.</x:v>
      </x:c>
      <x:c r="I74" s="20" t="str">
        <x:v>1. Attempt to close the quality/return case.
2. Review completion checklist/status.</x:v>
      </x:c>
      <x:c r="J74" s="20" t="str">
        <x:v>Closure is blocked or explicitly remains incomplete until full material return, invoice reversal, and required reconciliations/checks are complete.</x:v>
      </x:c>
      <x:c r="K74" s="20" t="str"/>
      <x:c r="L74" s="20" t="str"/>
      <x:c r="M74" s="20" t="str">
        <x:v>Not Started</x:v>
      </x:c>
      <x:c r="N74" s="20" t="str"/>
      <x:c r="O74" s="20" t="str"/>
      <x:c r="P74" s="20" t="str"/>
      <x:c r="Q74" s="20" t="str"/>
    </x:row>
    <x:row r="75" ht="86" customHeight="1">
      <x:c r="A75" s="20" t="str">
        <x:v>TC-074</x:v>
      </x:c>
      <x:c r="B75" s="20" t="str">
        <x:v>REQ-12</x:v>
      </x:c>
      <x:c r="C75" s="20" t="str">
        <x:v>Customer Return</x:v>
      </x:c>
      <x:c r="D75" s="20" t="str">
        <x:v>Complete end-to-end return reconciliation</x:v>
      </x:c>
      <x:c r="E75" s="20" t="str">
        <x:v>E2E Reconciliation</x:v>
      </x:c>
      <x:c r="F75" s="20" t="str">
        <x:v>P1</x:v>
      </x:c>
      <x:c r="G75" s="20" t="str">
        <x:v>All return steps have been executed.</x:v>
      </x:c>
      <x:c r="H75" s="20" t="str">
        <x:v>Original and return document chain.</x:v>
      </x:c>
      <x:c r="I75" s="20" t="str">
        <x:v>1. Reconcile original shipped and returned package/reel quantities.
2. Verify stock, invoice, customer balance, R2R, FSC, and quality-case statuses.
3. Confirm no open delivery/billing/transport items remain.</x:v>
      </x:c>
      <x:c r="J75" s="20" t="str">
        <x:v>The entire exception flow closes with full quantity return, corrected stock and finance/FSC records, and complete audit evidence.</x:v>
      </x:c>
      <x:c r="K75" s="20" t="str"/>
      <x:c r="L75" s="20" t="str"/>
      <x:c r="M75" s="20" t="str">
        <x:v>Not Started</x:v>
      </x:c>
      <x:c r="N75" s="20" t="str"/>
      <x:c r="O75" s="20" t="str"/>
      <x:c r="P75" s="20" t="str"/>
      <x:c r="Q75" s="20" t="str"/>
    </x:row>
    <x:row r="76" ht="86" customHeight="1">
      <x:c r="A76" s="20" t="str">
        <x:v>TC-075</x:v>
      </x:c>
      <x:c r="B76" s="20" t="str">
        <x:v>REQ-05</x:v>
      </x:c>
      <x:c r="C76" s="20" t="str">
        <x:v>Integration Recovery</x:v>
      </x:c>
      <x:c r="D76" s="20" t="str">
        <x:v>Recover from ERP/MRP to TIPS interface failure</x:v>
      </x:c>
      <x:c r="E76" s="20" t="str">
        <x:v>Integration / Recovery</x:v>
      </x:c>
      <x:c r="F76" s="20" t="str">
        <x:v>P1</x:v>
      </x:c>
      <x:c r="G76" s="20" t="str">
        <x:v>Valid order exists; interface can be stopped or message rejected.</x:v>
      </x:c>
      <x:c r="H76" s="20" t="str">
        <x:v>One order message with unique source ID.</x:v>
      </x:c>
      <x:c r="I76" s="20" t="str">
        <x:v>1. Simulate transmission failure.
2. Verify source error/queue/alert.
3. Correct issue and retry.
4. Check TIPS for duplicates and field completeness.</x:v>
      </x:c>
      <x:c r="J76" s="20" t="str">
        <x:v>Failure is visible and recoverable; retry creates one complete TIPS order only, preserving original source identity.</x:v>
      </x:c>
      <x:c r="K76" s="20" t="str"/>
      <x:c r="L76" s="20" t="str"/>
      <x:c r="M76" s="20" t="str">
        <x:v>Not Started</x:v>
      </x:c>
      <x:c r="N76" s="20" t="str"/>
      <x:c r="O76" s="20" t="str"/>
      <x:c r="P76" s="20" t="str"/>
      <x:c r="Q76" s="20" t="str"/>
    </x:row>
    <x:row r="77" ht="86" customHeight="1">
      <x:c r="A77" s="20" t="str">
        <x:v>TC-076</x:v>
      </x:c>
      <x:c r="B77" s="20" t="str">
        <x:v>REQ-07, REQ-08</x:v>
      </x:c>
      <x:c r="C77" s="20" t="str">
        <x:v>Integration Recovery</x:v>
      </x:c>
      <x:c r="D77" s="20" t="str">
        <x:v>Handle duplicate or out-of-sequence BIO result messages</x:v>
      </x:c>
      <x:c r="E77" s="20" t="str">
        <x:v>Integration / Idempotence</x:v>
      </x:c>
      <x:c r="F77" s="20" t="str">
        <x:v>P1</x:v>
      </x:c>
      <x:c r="G77" s="20" t="str">
        <x:v>QMS/LIMS interface is available.</x:v>
      </x:c>
      <x:c r="H77" s="20" t="str">
        <x:v>Duplicate pass result; fail then late pass; result before sample acknowledgement.</x:v>
      </x:c>
      <x:c r="I77" s="20" t="str">
        <x:v>1. Send each abnormal message sequence.
2. Review result valuation, release status, and interface logs.
3. Correct/reprocess according to design.</x:v>
      </x:c>
      <x:c r="J77" s="20" t="str">
        <x:v>System rejects or safely handles duplicates/out-of-sequence messages; no unauthorized or multiple Quality Release is produced.</x:v>
      </x:c>
      <x:c r="K77" s="20" t="str"/>
      <x:c r="L77" s="20" t="str"/>
      <x:c r="M77" s="20" t="str">
        <x:v>Not Started</x:v>
      </x:c>
      <x:c r="N77" s="20" t="str"/>
      <x:c r="O77" s="20" t="str"/>
      <x:c r="P77" s="20" t="str"/>
      <x:c r="Q77" s="20" t="str"/>
    </x:row>
    <x:row r="78" ht="86" customHeight="1">
      <x:c r="A78" s="20" t="str">
        <x:v>TC-077</x:v>
      </x:c>
      <x:c r="B78" s="20" t="str">
        <x:v>REQ-09, REQ-10</x:v>
      </x:c>
      <x:c r="C78" s="20" t="str">
        <x:v>Integration Recovery</x:v>
      </x:c>
      <x:c r="D78" s="20" t="str">
        <x:v>Recover from external-WMS transfer or dispatch message failure</x:v>
      </x:c>
      <x:c r="E78" s="20" t="str">
        <x:v>Integration / Idempotence</x:v>
      </x:c>
      <x:c r="F78" s="20" t="str">
        <x:v>P1</x:v>
      </x:c>
      <x:c r="G78" s="20" t="str">
        <x:v>External warehouse interface is active.</x:v>
      </x:c>
      <x:c r="H78" s="20" t="str">
        <x:v>Transfer receipt or dispatch confirmation message.</x:v>
      </x:c>
      <x:c r="I78" s="20" t="str">
        <x:v>1. Simulate timeout after sender posts but before acknowledgement.
2. Retry/reprocess message.
3. Reconcile ERP and WMS stock/delivery statuses.</x:v>
      </x:c>
      <x:c r="J78" s="20" t="str">
        <x:v>Both systems converge to one physical movement; retry does not duplicate stock receipt, pick, or goods issue.</x:v>
      </x:c>
      <x:c r="K78" s="20" t="str"/>
      <x:c r="L78" s="20" t="str"/>
      <x:c r="M78" s="20" t="str">
        <x:v>Not Started</x:v>
      </x:c>
      <x:c r="N78" s="20" t="str"/>
      <x:c r="O78" s="20" t="str"/>
      <x:c r="P78" s="20" t="str"/>
      <x:c r="Q78" s="20" t="str"/>
    </x:row>
    <x:row r="79" ht="86" customHeight="1">
      <x:c r="A79" s="20" t="str">
        <x:v>TC-078</x:v>
      </x:c>
      <x:c r="B79" s="20" t="str">
        <x:v>REQ-11</x:v>
      </x:c>
      <x:c r="C79" s="20" t="str">
        <x:v>Integration Recovery</x:v>
      </x:c>
      <x:c r="D79" s="20" t="str">
        <x:v>Recover from billing/accounting interface failure</x:v>
      </x:c>
      <x:c r="E79" s="20" t="str">
        <x:v>Integration / Idempotence</x:v>
      </x:c>
      <x:c r="F79" s="20" t="str">
        <x:v>P1</x:v>
      </x:c>
      <x:c r="G79" s="20" t="str">
        <x:v>Delivery is dispatched; billing/accounting interface can fail.</x:v>
      </x:c>
      <x:c r="H79" s="20" t="str">
        <x:v>One invoice/accounting posting.</x:v>
      </x:c>
      <x:c r="I79" s="20" t="str">
        <x:v>1. Simulate posting failure or timeout.
2. Review invoice/accounting status.
3. Retry/reprocess.
4. Search for duplicate invoice and accounting documents.</x:v>
      </x:c>
      <x:c r="J79" s="20" t="str">
        <x:v>Failure remains visible and recoverable; exactly one invoice and one balanced accounting document are created.</x:v>
      </x:c>
      <x:c r="K79" s="20" t="str"/>
      <x:c r="L79" s="20" t="str"/>
      <x:c r="M79" s="20" t="str">
        <x:v>Not Started</x:v>
      </x:c>
      <x:c r="N79" s="20" t="str"/>
      <x:c r="O79" s="20" t="str"/>
      <x:c r="P79" s="20" t="str"/>
      <x:c r="Q79" s="20" t="str"/>
    </x:row>
    <x:row r="80" ht="86" customHeight="1">
      <x:c r="A80" s="20" t="str">
        <x:v>TC-079</x:v>
      </x:c>
      <x:c r="B80" s="20" t="str">
        <x:v>REQ-01, REQ-03, REQ-05</x:v>
      </x:c>
      <x:c r="C80" s="20" t="str">
        <x:v>Change Control</x:v>
      </x:c>
      <x:c r="D80" s="20" t="str">
        <x:v>Handle master-data change during an active order</x:v>
      </x:c>
      <x:c r="E80" s="20" t="str">
        <x:v>Change / Regression</x:v>
      </x:c>
      <x:c r="F80" s="20" t="str">
        <x:v>P2</x:v>
      </x:c>
      <x:c r="G80" s="20" t="str">
        <x:v>Order is active between planning and shipment.</x:v>
      </x:c>
      <x:c r="H80" s="20" t="str">
        <x:v>Change to product status, UoM, routing, warehouse, or FSC validity.</x:v>
      </x:c>
      <x:c r="I80" s="20" t="str">
        <x:v>1. Apply approved master-data change in test.
2. Reprocess/replan active order.
3. Review warnings, existing documents, and future steps.</x:v>
      </x:c>
      <x:c r="J80" s="20" t="str">
        <x:v>Active transaction remains internally consistent; changes are versioned/effective-dated and do not silently corrupt quantities, routing, or certification.</x:v>
      </x:c>
      <x:c r="K80" s="20" t="str"/>
      <x:c r="L80" s="20" t="str"/>
      <x:c r="M80" s="20" t="str">
        <x:v>Not Started</x:v>
      </x:c>
      <x:c r="N80" s="20" t="str"/>
      <x:c r="O80" s="20" t="str"/>
      <x:c r="P80" s="20" t="str"/>
      <x:c r="Q80" s="20" t="str"/>
    </x:row>
    <x:row r="81" ht="86" customHeight="1">
      <x:c r="A81" s="20" t="str">
        <x:v>TC-080</x:v>
      </x:c>
      <x:c r="B81" s="20" t="str">
        <x:v>REQ-07, REQ-08</x:v>
      </x:c>
      <x:c r="C81" s="20" t="str">
        <x:v>Time and Calendar</x:v>
      </x:c>
      <x:c r="D81" s="20" t="str">
        <x:v>Validate BIO dates across weekends, holidays, and time zones</x:v>
      </x:c>
      <x:c r="E81" s="20" t="str">
        <x:v>Boundary / Integration</x:v>
      </x:c>
      <x:c r="F81" s="20" t="str">
        <x:v>P2</x:v>
      </x:c>
      <x:c r="G81" s="20" t="str">
        <x:v>System calendars and sites are configured.</x:v>
      </x:c>
      <x:c r="H81" s="20" t="str">
        <x:v>Samples/results spanning weekend, holiday, daylight-saving change, or interface time zone.</x:v>
      </x:c>
      <x:c r="I81" s="20" t="str">
        <x:v>1. Create sample near each boundary.
2. Record/import result and approval timestamps.
3. Verify elapsed-day display, overdue alert, and release sequence.</x:v>
      </x:c>
      <x:c r="J81" s="20" t="str">
        <x:v>Timestamps remain chronological and auditable; calendar/time-zone handling never causes premature release or incorrect overdue status.</x:v>
      </x:c>
      <x:c r="K81" s="20" t="str"/>
      <x:c r="L81" s="20" t="str"/>
      <x:c r="M81" s="20" t="str">
        <x:v>Not Started</x:v>
      </x:c>
      <x:c r="N81" s="20" t="str"/>
      <x:c r="O81" s="20" t="str"/>
      <x:c r="P81" s="20" t="str"/>
      <x:c r="Q81" s="20" t="str"/>
    </x:row>
    <x:row r="82" ht="86" customHeight="1">
      <x:c r="A82" s="20" t="str">
        <x:v>TC-081</x:v>
      </x:c>
      <x:c r="B82" s="20" t="str">
        <x:v>REQ-02, REQ-06, REQ-08, REQ-10, REQ-11, REQ-12</x:v>
      </x:c>
      <x:c r="C82" s="20" t="str">
        <x:v>Audit and Compliance</x:v>
      </x:c>
      <x:c r="D82" s="20" t="str">
        <x:v>Validate end-to-end audit trail for critical controls</x:v>
      </x:c>
      <x:c r="E82" s="20" t="str">
        <x:v>Audit / Compliance</x:v>
      </x:c>
      <x:c r="F82" s="20" t="str">
        <x:v>P1</x:v>
      </x:c>
      <x:c r="G82" s="20" t="str">
        <x:v>Happy path and return path have been executed.</x:v>
      </x:c>
      <x:c r="H82" s="20" t="str">
        <x:v>FSC checks; plan changes; inspections; BIO result; quality release; SUO release; dispatch; invoice; return; reversal.</x:v>
      </x:c>
      <x:c r="I82" s="20" t="str">
        <x:v>1. Extract change/history logs for each critical event.
2. Verify user, role, timestamp, old/new value, document link, and reason where applicable.
3. Confirm logs are retained and non-editable by operational users.</x:v>
      </x:c>
      <x:c r="J82" s="20" t="str">
        <x:v>A continuous, reliable audit trail supports certification, quality, logistics, and financial review with no unexplained gaps.</x:v>
      </x:c>
      <x:c r="K82" s="20" t="str"/>
      <x:c r="L82" s="20" t="str"/>
      <x:c r="M82" s="20" t="str">
        <x:v>Not Started</x:v>
      </x:c>
      <x:c r="N82" s="20" t="str"/>
      <x:c r="O82" s="20" t="str"/>
      <x:c r="P82" s="20" t="str"/>
      <x:c r="Q82" s="20" t="str"/>
    </x:row>
    <x:row r="83" ht="86" customHeight="1">
      <x:c r="A83" s="20" t="str">
        <x:v>TC-082</x:v>
      </x:c>
      <x:c r="B83" s="20" t="str">
        <x:v>Derived regression</x:v>
      </x:c>
      <x:c r="C83" s="20" t="str">
        <x:v>Regression</x:v>
      </x:c>
      <x:c r="D83" s="20" t="str">
        <x:v>Verify standard non-FSC or standard-reel flows are not adversely affected</x:v>
      </x:c>
      <x:c r="E83" s="20" t="str">
        <x:v>Regression</x:v>
      </x:c>
      <x:c r="F83" s="20" t="str">
        <x:v>P2</x:v>
      </x:c>
      <x:c r="G83" s="20" t="str">
        <x:v>Baseline standard scenarios and expected results are available.</x:v>
      </x:c>
      <x:c r="H83" s="20" t="str">
        <x:v>Representative standard order without this FSC/twin/BIO combination.</x:v>
      </x:c>
      <x:c r="I83" s="20" t="str">
        <x:v>1. Execute selected standard-order regression cases.
2. Compare order creation, MRP, production, quality, warehouse, billing, and finance outcomes to baseline.</x:v>
      </x:c>
      <x:c r="J83" s="20" t="str">
        <x:v>Controls introduced for this scenario do not incorrectly block or alter unrelated standard processes.</x:v>
      </x:c>
      <x:c r="K83" s="20" t="str">
        <x:v>Derived regression coverage; business selects exact baseline scenarios.</x:v>
      </x:c>
      <x:c r="L83" s="20" t="str"/>
      <x:c r="M83" s="20" t="str">
        <x:v>Not Started</x:v>
      </x:c>
      <x:c r="N83" s="20" t="str"/>
      <x:c r="O83" s="20" t="str"/>
      <x:c r="P83" s="20" t="str"/>
      <x:c r="Q83" s="20" t="str"/>
    </x:row>
  </x:sheetData>
  <x:conditionalFormatting sqref="M2:M83">
    <x:cfRule type="expression" dxfId="0" priority="1">
      <x:formula>M2="Passed"</x:formula>
    </x:cfRule>
    <x:cfRule type="expression" dxfId="1" priority="2">
      <x:formula>M2="Failed"</x:formula>
    </x:cfRule>
    <x:cfRule type="expression" dxfId="2" priority="3">
      <x:formula>M2="Blocked"</x:formula>
    </x:cfRule>
  </x:conditionalFormatting>
  <x:conditionalFormatting sqref="F2:F83">
    <x:cfRule type="expression" dxfId="3" priority="4">
      <x:formula>F2="P1"</x:formula>
    </x:cfRule>
  </x:conditionalFormatting>
  <x:dataValidations count="2">
    <x:dataValidation type="list" sqref="M2:M83">
      <x:formula1>"Not Started,In Progress,Passed,Failed,Blocked,Not Applicable"</x:formula1>
    </x:dataValidation>
    <x:dataValidation type="list" sqref="F2:F83">
      <x:formula1>"P1,P2,P3"</x:formula1>
    </x:dataValidation>
  </x:dataValidations>
  <x:pageMargins left="0.7" right="0.7" top="0.75" bottom="0.75" header="0.3" footer="0.3"/>
  <x:tableParts count="1">
    <x:tablePart xmlns:r="http://schemas.openxmlformats.org/officeDocument/2006/relationships" r:id="R08537d2963ae432a"/>
  </x:tableParts>
</x:worksheet>
</file>

<file path=xl/worksheets/sheet3.xml><?xml version="1.0" encoding="utf-8"?>
<x:worksheet xmlns:x="http://schemas.openxmlformats.org/spreadsheetml/2006/main">
  <x:sheetFormatPr defaultRowHeight="15"/>
  <x:cols>
    <x:col min="1" max="1" width="12" hidden="0" customWidth="1"/>
    <x:col min="2" max="2" width="64" hidden="0" customWidth="1"/>
    <x:col min="3" max="3" width="34" hidden="0" customWidth="1"/>
    <x:col min="4" max="4" width="58" hidden="0" customWidth="1"/>
    <x:col min="5" max="5" width="12" hidden="0" customWidth="1"/>
    <x:col min="6" max="6" width="16" hidden="0" customWidth="1"/>
    <x:col min="7" max="7" width="36" hidden="0" customWidth="1"/>
  </x:cols>
  <x:sheetData>
    <x:row r="1">
      <x:c r="A1" s="33" t="str">
        <x:v>Requirement ID</x:v>
      </x:c>
      <x:c r="B1" s="33" t="str">
        <x:v>Requirement Description</x:v>
      </x:c>
      <x:c r="C1" s="33" t="str">
        <x:v>Source Section</x:v>
      </x:c>
      <x:c r="D1" s="33" t="str">
        <x:v>Mapped Test Cases</x:v>
      </x:c>
      <x:c r="E1" s="33" t="str">
        <x:v>Case Count</x:v>
      </x:c>
      <x:c r="F1" s="33" t="str">
        <x:v>Coverage Status</x:v>
      </x:c>
      <x:c r="G1" s="33" t="str">
        <x:v>Business Notes</x:v>
      </x:c>
    </x:row>
    <x:row r="2" ht="72" customHeight="1">
      <x:c r="A2" s="20" t="str">
        <x:v>REQ-01</x:v>
      </x:c>
      <x:c r="B2" s="20" t="str">
        <x:v>Create a direct sales order containing both the single-reel and twin-reel customer products.</x:v>
      </x:c>
      <x:c r="C2" s="20" t="str">
        <x:v>Sales order steps; product references</x:v>
      </x:c>
      <x:c r="D2" s="20" t="str">
        <x:v>TC-002, TC-009, TC-010, TC-011, TC-032, TC-079</x:v>
      </x:c>
      <x:c r="E2" s="20" t="n">
        <x:v>6</x:v>
      </x:c>
      <x:c r="F2" s="20" t="str">
        <x:v>Covered</x:v>
      </x:c>
      <x:c r="G2" s="20" t="str"/>
    </x:row>
    <x:row r="3" ht="72" customHeight="1">
      <x:c r="A3" s="20" t="str">
        <x:v>REQ-02</x:v>
      </x:c>
      <x:c r="B3" s="20" t="str">
        <x:v>Verify sufficient FSC Credit Mix balance before order creation and maintain certification balance through invoicing.</x:v>
      </x:c>
      <x:c r="C3" s="20" t="str">
        <x:v>Main constraint: FSC Credit Mix</x:v>
      </x:c>
      <x:c r="D3" s="20" t="str">
        <x:v>TC-003, TC-009, TC-013, TC-014, TC-015, TC-016, TC-017, TC-018, TC-029, TC-043, TC-060, TC-063, TC-072, TC-081</x:v>
      </x:c>
      <x:c r="E3" s="20" t="n">
        <x:v>14</x:v>
      </x:c>
      <x:c r="F3" s="20" t="str">
        <x:v>Covered</x:v>
      </x:c>
      <x:c r="G3" s="20" t="str"/>
    </x:row>
    <x:row r="4" ht="72" customHeight="1">
      <x:c r="A4" s="20" t="str">
        <x:v>REQ-03</x:v>
      </x:c>
      <x:c r="B4" s="20" t="str">
        <x:v>Plan and produce the non-standard configuration of 16 twin/double-roll reels and 1 single reel.</x:v>
      </x:c>
      <x:c r="C4" s="20" t="str">
        <x:v>Production process</x:v>
      </x:c>
      <x:c r="D4" s="20" t="str">
        <x:v>TC-002, TC-004, TC-010, TC-011, TC-012, TC-019, TC-024, TC-025, TC-027, TC-030, TC-031, TC-032, TC-042, TC-053, TC-079</x:v>
      </x:c>
      <x:c r="E4" s="20" t="n">
        <x:v>15</x:v>
      </x:c>
      <x:c r="F4" s="20" t="str">
        <x:v>Covered</x:v>
      </x:c>
      <x:c r="G4" s="20" t="str"/>
    </x:row>
    <x:row r="5" ht="72" customHeight="1">
      <x:c r="A5" s="20" t="str">
        <x:v>REQ-04</x:v>
      </x:c>
      <x:c r="B5" s="20" t="str">
        <x:v>Move Södra Blue pulp and Lyocell 1.4×10mm from ÖMAG to the business-confirmed production destination.</x:v>
      </x:c>
      <x:c r="C5" s="20" t="str">
        <x:v>Production process / detailed narrative</x:v>
      </x:c>
      <x:c r="D5" s="20" t="str">
        <x:v>TC-004, TC-005, TC-020, TC-021, TC-022, TC-028, TC-029</x:v>
      </x:c>
      <x:c r="E5" s="20" t="n">
        <x:v>7</x:v>
      </x:c>
      <x:c r="F5" s="20" t="str">
        <x:v>Covered</x:v>
      </x:c>
      <x:c r="G5" s="20" t="str"/>
    </x:row>
    <x:row r="6" ht="72" customHeight="1">
      <x:c r="A6" s="20" t="str">
        <x:v>REQ-05</x:v>
      </x:c>
      <x:c r="B6" s="20" t="str">
        <x:v>Plan the order in TIPS and preserve correct reel quantities, sequencing, and assignments.</x:v>
      </x:c>
      <x:c r="C6" s="20" t="str">
        <x:v>Detailed narrative: Order Planning in TIPS</x:v>
      </x:c>
      <x:c r="D6" s="20" t="str">
        <x:v>TC-019, TC-023, TC-024, TC-027, TC-075, TC-079</x:v>
      </x:c>
      <x:c r="E6" s="20" t="n">
        <x:v>6</x:v>
      </x:c>
      <x:c r="F6" s="20" t="str">
        <x:v>Covered</x:v>
      </x:c>
      <x:c r="G6" s="20" t="str"/>
    </x:row>
    <x:row r="7" ht="72" customHeight="1">
      <x:c r="A7" s="20" t="str">
        <x:v>REQ-06</x:v>
      </x:c>
      <x:c r="B7" s="20" t="str">
        <x:v>Alternate the single reel between backside and frontside at every jumbo shift to inspect each twin-reel cut.</x:v>
      </x:c>
      <x:c r="C7" s="20" t="str">
        <x:v>Flow logic / main constraint</x:v>
      </x:c>
      <x:c r="D7" s="20" t="str">
        <x:v>TC-010, TC-025, TC-026, TC-031, TC-033, TC-034, TC-035, TC-081</x:v>
      </x:c>
      <x:c r="E7" s="20" t="n">
        <x:v>8</x:v>
      </x:c>
      <x:c r="F7" s="20" t="str">
        <x:v>Covered</x:v>
      </x:c>
      <x:c r="G7" s="20" t="str"/>
    </x:row>
    <x:row r="8" ht="72" customHeight="1">
      <x:c r="A8" s="20" t="str">
        <x:v>REQ-07</x:v>
      </x:c>
      <x:c r="B8" s="20" t="str">
        <x:v>Take a BIO-Burden sample, execute and approve the test, normally within 7–10 days.</x:v>
      </x:c>
      <x:c r="C8" s="20" t="str">
        <x:v>General / quality steps</x:v>
      </x:c>
      <x:c r="D8" s="20" t="str">
        <x:v>TC-006, TC-036, TC-037, TC-038, TC-039, TC-040, TC-045, TC-056, TC-076, TC-080</x:v>
      </x:c>
      <x:c r="E8" s="20" t="n">
        <x:v>10</x:v>
      </x:c>
      <x:c r="F8" s="20" t="str">
        <x:v>Covered</x:v>
      </x:c>
      <x:c r="G8" s="20" t="str"/>
    </x:row>
    <x:row r="9" ht="72" customHeight="1">
      <x:c r="A9" s="20" t="str">
        <x:v>REQ-08</x:v>
      </x:c>
      <x:c r="B9" s="20" t="str">
        <x:v>Prevent shipment until a formal Quality Release is valid.</x:v>
      </x:c>
      <x:c r="C9" s="20" t="str">
        <x:v>Main constraint: mandatory quality approval</x:v>
      </x:c>
      <x:c r="D9" s="20" t="str">
        <x:v>TC-006, TC-035, TC-037, TC-038, TC-039, TC-040, TC-041, TC-045, TC-048, TC-049, TC-051, TC-052, TC-054, TC-056, TC-058, TC-076, TC-080, TC-081</x:v>
      </x:c>
      <x:c r="E9" s="20" t="n">
        <x:v>18</x:v>
      </x:c>
      <x:c r="F9" s="20" t="str">
        <x:v>Covered</x:v>
      </x:c>
      <x:c r="G9" s="20" t="str"/>
    </x:row>
    <x:row r="10" ht="72" customHeight="1">
      <x:c r="A10" s="20" t="str">
        <x:v>REQ-09</x:v>
      </x:c>
      <x:c r="B10" s="20" t="str">
        <x:v>Shuttle finished goods to an external warehouse while preserving stock, quality, and certification status.</x:v>
      </x:c>
      <x:c r="C10" s="20" t="str">
        <x:v>Warehousing / criticality narrative</x:v>
      </x:c>
      <x:c r="D10" s="20" t="str">
        <x:v>TC-005, TC-046, TC-047, TC-048, TC-077</x:v>
      </x:c>
      <x:c r="E10" s="20" t="n">
        <x:v>5</x:v>
      </x:c>
      <x:c r="F10" s="20" t="str">
        <x:v>Covered</x:v>
      </x:c>
      <x:c r="G10" s="20" t="str"/>
    </x:row>
    <x:row r="11" ht="72" customHeight="1">
      <x:c r="A11" s="20" t="str">
        <x:v>REQ-10</x:v>
      </x:c>
      <x:c r="B11" s="20" t="str">
        <x:v>Plan and execute outbound logistics only after required Quality Release and SUO order release controls.</x:v>
      </x:c>
      <x:c r="C11" s="20" t="str">
        <x:v>Outbound steps</x:v>
      </x:c>
      <x:c r="D11" s="20" t="str">
        <x:v>TC-049, TC-050, TC-051, TC-052, TC-053, TC-054, TC-077, TC-081</x:v>
      </x:c>
      <x:c r="E11" s="20" t="n">
        <x:v>8</x:v>
      </x:c>
      <x:c r="F11" s="20" t="str">
        <x:v>Covered</x:v>
      </x:c>
      <x:c r="G11" s="20" t="str"/>
    </x:row>
    <x:row r="12" ht="72" customHeight="1">
      <x:c r="A12" s="20" t="str">
        <x:v>REQ-11</x:v>
      </x:c>
      <x:c r="B12" s="20" t="str">
        <x:v>Create the customer invoice and perform R2R and BC checks.</x:v>
      </x:c>
      <x:c r="C12" s="20" t="str">
        <x:v>Detailed narrative steps 8–10</x:v>
      </x:c>
      <x:c r="D12" s="20" t="str">
        <x:v>TC-007, TC-057, TC-058, TC-059, TC-060, TC-061, TC-062, TC-063, TC-064, TC-071, TC-078, TC-081</x:v>
      </x:c>
      <x:c r="E12" s="20" t="n">
        <x:v>12</x:v>
      </x:c>
      <x:c r="F12" s="20" t="str">
        <x:v>Covered</x:v>
      </x:c>
      <x:c r="G12" s="20" t="str"/>
    </x:row>
    <x:row r="13" ht="72" customHeight="1">
      <x:c r="A13" s="20" t="str">
        <x:v>REQ-12</x:v>
      </x:c>
      <x:c r="B13" s="20" t="str">
        <x:v>For a quality mistake found after dispatch and invoicing, recall/return the full truck/order, return all material to stock, and delete/cancel the invoice.</x:v>
      </x:c>
      <x:c r="C13" s="20" t="str">
        <x:v>Customer Return step</x:v>
      </x:c>
      <x:c r="D13" s="20" t="str">
        <x:v>TC-065, TC-066, TC-067, TC-068, TC-069, TC-070, TC-071, TC-072, TC-073, TC-074, TC-081</x:v>
      </x:c>
      <x:c r="E13" s="20" t="n">
        <x:v>11</x:v>
      </x:c>
      <x:c r="F13" s="20" t="str">
        <x:v>Covered</x:v>
      </x:c>
      <x:c r="G13" s="20" t="str"/>
    </x:row>
    <x:row r="14" ht="72" customHeight="1">
      <x:c r="A14" s="20" t="str">
        <x:v>REQ-13</x:v>
      </x:c>
      <x:c r="B14" s="20" t="str">
        <x:v>Produce and validate required business documents such as labels, invoice, CoA, and packing list.</x:v>
      </x:c>
      <x:c r="C14" s="20" t="str">
        <x:v>Supporting documentation</x:v>
      </x:c>
      <x:c r="D14" s="20" t="str">
        <x:v>TC-018, TC-042, TC-043, TC-044, TC-055, TC-064</x:v>
      </x:c>
      <x:c r="E14" s="20" t="n">
        <x:v>6</x:v>
      </x:c>
      <x:c r="F14" s="20" t="str">
        <x:v>Covered</x:v>
      </x:c>
      <x:c r="G14" s="20" t="str"/>
    </x:row>
    <x:row r="15" ht="72" customHeight="1">
      <x:c r="A15" s="20" t="str">
        <x:v>REQ-14</x:v>
      </x:c>
      <x:c r="B15" s="20" t="str">
        <x:v>Use business-approved test data and assigned test users/roles.</x:v>
      </x:c>
      <x:c r="C15" s="20" t="str">
        <x:v>Input test data</x:v>
      </x:c>
      <x:c r="D15" s="20" t="str">
        <x:v>TC-001, TC-008, TC-041</x:v>
      </x:c>
      <x:c r="E15" s="20" t="n">
        <x:v>3</x:v>
      </x:c>
      <x:c r="F15" s="20" t="str">
        <x:v>Covered</x:v>
      </x:c>
      <x:c r="G15" s="20" t="str"/>
    </x:row>
  </x:sheetData>
  <x:pageMargins left="0.7" right="0.7" top="0.75" bottom="0.75" header="0.3" footer="0.3"/>
  <x:tableParts count="1">
    <x:tablePart xmlns:r="http://schemas.openxmlformats.org/officeDocument/2006/relationships" r:id="R2583bc25c9714066"/>
  </x:tableParts>
</x:worksheet>
</file>

<file path=xl/worksheets/sheet4.xml><?xml version="1.0" encoding="utf-8"?>
<x:worksheet xmlns:x="http://schemas.openxmlformats.org/spreadsheetml/2006/main">
  <x:sheetFormatPr defaultRowHeight="15"/>
  <x:cols>
    <x:col min="1" max="1" width="10" hidden="0" customWidth="1"/>
    <x:col min="2" max="2" width="20" hidden="0" customWidth="1"/>
    <x:col min="3" max="3" width="42" hidden="0" customWidth="1"/>
    <x:col min="4" max="4" width="60" hidden="0" customWidth="1"/>
    <x:col min="5" max="5" width="18" hidden="0" customWidth="1"/>
  </x:cols>
  <x:sheetData>
    <x:row r="1">
      <x:c r="A1" s="33" t="str">
        <x:v>Data ID</x:v>
      </x:c>
      <x:c r="B1" s="33" t="str">
        <x:v>Data Domain</x:v>
      </x:c>
      <x:c r="C1" s="33" t="str">
        <x:v>Required Data</x:v>
      </x:c>
      <x:c r="D1" s="33" t="str">
        <x:v>Known / Proposed Value</x:v>
      </x:c>
      <x:c r="E1" s="33" t="str">
        <x:v>Readiness</x:v>
      </x:c>
    </x:row>
    <x:row r="2" ht="48" customHeight="1">
      <x:c r="A2" s="20" t="str">
        <x:v>TD-01</x:v>
      </x:c>
      <x:c r="B2" s="20" t="str">
        <x:v>Customer / Partners</x:v>
      </x:c>
      <x:c r="C2" s="20" t="str">
        <x:v>Sold-to, ship-to, bill-to, payer</x:v>
      </x:c>
      <x:c r="D2" s="20" t="str">
        <x:v>Confirm Suominen vs Albaad DE and approved partner functions</x:v>
      </x:c>
      <x:c r="E2" s="20" t="str">
        <x:v>Open</x:v>
      </x:c>
    </x:row>
    <x:row r="3" ht="48" customHeight="1">
      <x:c r="A3" s="20" t="str">
        <x:v>TD-02</x:v>
      </x:c>
      <x:c r="B3" s="20" t="str">
        <x:v>Products</x:v>
      </x:c>
      <x:c r="C3" s="20" t="str">
        <x:v>Grade and customer-product mapping</x:v>
      </x:c>
      <x:c r="D3" s="20" t="str">
        <x:v>SD0792060; Single 284532; Twin 329192</x:v>
      </x:c>
      <x:c r="E3" s="20" t="str">
        <x:v>Provided, validate</x:v>
      </x:c>
    </x:row>
    <x:row r="4" ht="48" customHeight="1">
      <x:c r="A4" s="20" t="str">
        <x:v>TD-03</x:v>
      </x:c>
      <x:c r="B4" s="20" t="str">
        <x:v>Order quantity</x:v>
      </x:c>
      <x:c r="C4" s="20" t="str">
        <x:v>Twin/single quantities and UoM</x:v>
      </x:c>
      <x:c r="D4" s="20" t="str">
        <x:v>16 twin/double-roll reels + 1 single reel; exact interpretation pending</x:v>
      </x:c>
      <x:c r="E4" s="20" t="str">
        <x:v>Open</x:v>
      </x:c>
    </x:row>
    <x:row r="5" ht="48" customHeight="1">
      <x:c r="A5" s="20" t="str">
        <x:v>TD-04</x:v>
      </x:c>
      <x:c r="B5" s="20" t="str">
        <x:v>Raw materials</x:v>
      </x:c>
      <x:c r="C5" s="20" t="str">
        <x:v>Material numbers, batches, FSC status, quantities</x:v>
      </x:c>
      <x:c r="D5" s="20" t="str">
        <x:v>Södra Blue pulp; Lyocell 1.4×10mm</x:v>
      </x:c>
      <x:c r="E5" s="20" t="str">
        <x:v>Partially provided</x:v>
      </x:c>
    </x:row>
    <x:row r="6" ht="48" customHeight="1">
      <x:c r="A6" s="20" t="str">
        <x:v>TD-05</x:v>
      </x:c>
      <x:c r="B6" s="20" t="str">
        <x:v>Locations</x:v>
      </x:c>
      <x:c r="C6" s="20" t="str">
        <x:v>Source, production destination, external warehouse</x:v>
      </x:c>
      <x:c r="D6" s="20" t="str">
        <x:v>ÖMAG; PSA vs mälderi unresolved; external warehouse ID</x:v>
      </x:c>
      <x:c r="E6" s="20" t="str">
        <x:v>Open</x:v>
      </x:c>
    </x:row>
    <x:row r="7" ht="48" customHeight="1">
      <x:c r="A7" s="20" t="str">
        <x:v>TD-06</x:v>
      </x:c>
      <x:c r="B7" s="20" t="str">
        <x:v>FSC</x:v>
      </x:c>
      <x:c r="C7" s="20" t="str">
        <x:v>Opening balance, validity, conversion, claim code</x:v>
      </x:c>
      <x:c r="D7" s="20" t="str">
        <x:v>Sufficient, exact-boundary, insufficient, concurrent-order datasets</x:v>
      </x:c>
      <x:c r="E7" s="20" t="str">
        <x:v>Open</x:v>
      </x:c>
    </x:row>
    <x:row r="8" ht="48" customHeight="1">
      <x:c r="A8" s="20" t="str">
        <x:v>TD-07</x:v>
      </x:c>
      <x:c r="B8" s="20" t="str">
        <x:v>Production</x:v>
      </x:c>
      <x:c r="C8" s="20" t="str">
        <x:v>BOM, routing, machine, jumbo shifts, starting orientation</x:v>
      </x:c>
      <x:c r="D8" s="20" t="str">
        <x:v>Business-approved 16+1 plan and B/F alternation</x:v>
      </x:c>
      <x:c r="E8" s="20" t="str">
        <x:v>Open</x:v>
      </x:c>
    </x:row>
    <x:row r="9" ht="48" customHeight="1">
      <x:c r="A9" s="20" t="str">
        <x:v>TD-08</x:v>
      </x:c>
      <x:c r="B9" s="20" t="str">
        <x:v>BIO-Burden</x:v>
      </x:c>
      <x:c r="C9" s="20" t="str">
        <x:v>Sample plan, limits, result codes, retest rules</x:v>
      </x:c>
      <x:c r="D9" s="20" t="str">
        <x:v>Pass, fail, pending, invalid, duplicate, late result</x:v>
      </x:c>
      <x:c r="E9" s="20" t="str">
        <x:v>Open</x:v>
      </x:c>
    </x:row>
    <x:row r="10" ht="48" customHeight="1">
      <x:c r="A10" s="20" t="str">
        <x:v>TD-09</x:v>
      </x:c>
      <x:c r="B10" s="20" t="str">
        <x:v>Quality</x:v>
      </x:c>
      <x:c r="C10" s="20" t="str">
        <x:v>Release/hold/reject statuses and approvers</x:v>
      </x:c>
      <x:c r="D10" s="20" t="str">
        <x:v>Authorized and unauthorized user datasets</x:v>
      </x:c>
      <x:c r="E10" s="20" t="str">
        <x:v>Open</x:v>
      </x:c>
    </x:row>
    <x:row r="11" ht="48" customHeight="1">
      <x:c r="A11" s="20" t="str">
        <x:v>TD-10</x:v>
      </x:c>
      <x:c r="B11" s="20" t="str">
        <x:v>Commercial</x:v>
      </x:c>
      <x:c r="C11" s="20" t="str">
        <x:v>Price, currency, tax, payment terms, incoterms</x:v>
      </x:c>
      <x:c r="D11" s="20" t="str">
        <x:v>Approved values for both products</x:v>
      </x:c>
      <x:c r="E11" s="20" t="str">
        <x:v>Open</x:v>
      </x:c>
    </x:row>
    <x:row r="12" ht="48" customHeight="1">
      <x:c r="A12" s="20" t="str">
        <x:v>TD-11</x:v>
      </x:c>
      <x:c r="B12" s="20" t="str">
        <x:v>Logistics</x:v>
      </x:c>
      <x:c r="C12" s="20" t="str">
        <x:v>Carrier, route, truck/order, packaging, weights</x:v>
      </x:c>
      <x:c r="D12" s="20" t="str">
        <x:v>Happy-path and full-recall transport data</x:v>
      </x:c>
      <x:c r="E12" s="20" t="str">
        <x:v>Open</x:v>
      </x:c>
    </x:row>
    <x:row r="13" ht="48" customHeight="1">
      <x:c r="A13" s="20" t="str">
        <x:v>TD-12</x:v>
      </x:c>
      <x:c r="B13" s="20" t="str">
        <x:v>Finance</x:v>
      </x:c>
      <x:c r="C13" s="20" t="str">
        <x:v>G/L, account assignments, expected postings, cancellation reason</x:v>
      </x:c>
      <x:c r="D13" s="20" t="str">
        <x:v>Original and reversal expectations</x:v>
      </x:c>
      <x:c r="E13" s="20" t="str">
        <x:v>Open</x:v>
      </x:c>
    </x:row>
    <x:row r="14" ht="48" customHeight="1">
      <x:c r="A14" s="20" t="str">
        <x:v>TD-13</x:v>
      </x:c>
      <x:c r="B14" s="20" t="str">
        <x:v>Documents</x:v>
      </x:c>
      <x:c r="C14" s="20" t="str">
        <x:v>Order form, labels, CoA, packing list, invoice</x:v>
      </x:c>
      <x:c r="D14" s="20" t="str">
        <x:v>Approved templates and mandatory fields</x:v>
      </x:c>
      <x:c r="E14" s="20" t="str">
        <x:v>Open</x:v>
      </x:c>
    </x:row>
    <x:row r="15" ht="48" customHeight="1">
      <x:c r="A15" s="20" t="str">
        <x:v>TD-14</x:v>
      </x:c>
      <x:c r="B15" s="20" t="str">
        <x:v>Users/Roles</x:v>
      </x:c>
      <x:c r="C15" s="20" t="str">
        <x:v>Named test users and role matrix</x:v>
      </x:c>
      <x:c r="D15" s="20" t="str">
        <x:v>Order, planning, production, quality, warehouse, shipping, billing, R2R/BC</x:v>
      </x:c>
      <x:c r="E15" s="20" t="str">
        <x:v>Open</x:v>
      </x:c>
    </x:row>
  </x:sheetData>
  <x:dataValidations count="1">
    <x:dataValidation type="list" sqref="E2:E15">
      <x:formula1>"Open,Partially provided,Provided, validate,Ready,Approved"</x:formula1>
    </x:dataValidation>
  </x:dataValidations>
  <x:pageMargins left="0.7" right="0.7" top="0.75" bottom="0.75" header="0.3" footer="0.3"/>
  <x:tableParts count="1">
    <x:tablePart xmlns:r="http://schemas.openxmlformats.org/officeDocument/2006/relationships" r:id="R6d1e935f747f42ea"/>
  </x:tableParts>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18" hidden="0" customWidth="1"/>
    <x:col min="4" max="4" width="10" hidden="0" customWidth="1"/>
    <x:col min="5" max="5" width="14" hidden="0" customWidth="1"/>
    <x:col min="6" max="6" width="20" hidden="0" customWidth="1"/>
    <x:col min="7" max="7" width="18" hidden="0" customWidth="1"/>
    <x:col min="8" max="8" width="16" hidden="0" customWidth="1"/>
    <x:col min="9" max="9" width="16" hidden="0" customWidth="1"/>
    <x:col min="10" max="10" width="42" hidden="0" customWidth="1"/>
    <x:col min="11" max="11" width="36" hidden="0" customWidth="1"/>
    <x:col min="12" max="12" width="36" hidden="0" customWidth="1"/>
    <x:col min="13" max="13" width="28" hidden="0" customWidth="1"/>
    <x:col min="14" max="14" width="28" hidden="0" customWidth="1"/>
    <x:col min="15" max="15" width="18" hidden="0" customWidth="1"/>
    <x:col min="16" max="16" width="24" hidden="0" customWidth="1"/>
  </x:cols>
  <x:sheetData>
    <x:row r="1">
      <x:c r="A1" s="33" t="str">
        <x:v>Defect ID</x:v>
      </x:c>
      <x:c r="B1" s="33" t="str">
        <x:v>Summary</x:v>
      </x:c>
      <x:c r="C1" s="33" t="str">
        <x:v>Severity</x:v>
      </x:c>
      <x:c r="D1" s="33" t="str">
        <x:v>Priority</x:v>
      </x:c>
      <x:c r="E1" s="33" t="str">
        <x:v>Test Case ID</x:v>
      </x:c>
      <x:c r="F1" s="33" t="str">
        <x:v>Process Area</x:v>
      </x:c>
      <x:c r="G1" s="33" t="str">
        <x:v>Detected Cycle</x:v>
      </x:c>
      <x:c r="H1" s="33" t="str">
        <x:v>Status</x:v>
      </x:c>
      <x:c r="I1" s="33" t="str">
        <x:v>Owner</x:v>
      </x:c>
      <x:c r="J1" s="33" t="str">
        <x:v>Description</x:v>
      </x:c>
      <x:c r="K1" s="33" t="str">
        <x:v>Expected Result</x:v>
      </x:c>
      <x:c r="L1" s="33" t="str">
        <x:v>Actual Result</x:v>
      </x:c>
      <x:c r="M1" s="33" t="str">
        <x:v>Root Cause</x:v>
      </x:c>
      <x:c r="N1" s="33" t="str">
        <x:v>Resolution</x:v>
      </x:c>
      <x:c r="O1" s="33" t="str">
        <x:v>Retest Result</x:v>
      </x:c>
      <x:c r="P1" s="33" t="str">
        <x:v>Evidence Link</x:v>
      </x:c>
    </x:row>
    <x:row r="2">
      <x:c r="A2" s="20"/>
      <x:c r="B2" s="20"/>
      <x:c r="C2" s="20"/>
      <x:c r="D2" s="20"/>
      <x:c r="E2" s="20"/>
      <x:c r="F2" s="20"/>
      <x:c r="G2" s="20"/>
      <x:c r="H2" s="20"/>
      <x:c r="I2" s="20"/>
      <x:c r="J2" s="20"/>
      <x:c r="K2" s="20"/>
      <x:c r="L2" s="20"/>
      <x:c r="M2" s="20"/>
      <x:c r="N2" s="20"/>
      <x:c r="O2" s="20"/>
      <x:c r="P2" s="20"/>
    </x:row>
    <x:row r="3">
      <x:c r="A3" s="20"/>
      <x:c r="B3" s="20"/>
      <x:c r="C3" s="20"/>
      <x:c r="D3" s="20"/>
      <x:c r="E3" s="20"/>
      <x:c r="F3" s="20"/>
      <x:c r="G3" s="20"/>
      <x:c r="H3" s="20"/>
      <x:c r="I3" s="20"/>
      <x:c r="J3" s="20"/>
      <x:c r="K3" s="20"/>
      <x:c r="L3" s="20"/>
      <x:c r="M3" s="20"/>
      <x:c r="N3" s="20"/>
      <x:c r="O3" s="20"/>
      <x:c r="P3" s="20"/>
    </x:row>
    <x:row r="4">
      <x:c r="A4" s="20"/>
      <x:c r="B4" s="20"/>
      <x:c r="C4" s="20"/>
      <x:c r="D4" s="20"/>
      <x:c r="E4" s="20"/>
      <x:c r="F4" s="20"/>
      <x:c r="G4" s="20"/>
      <x:c r="H4" s="20"/>
      <x:c r="I4" s="20"/>
      <x:c r="J4" s="20"/>
      <x:c r="K4" s="20"/>
      <x:c r="L4" s="20"/>
      <x:c r="M4" s="20"/>
      <x:c r="N4" s="20"/>
      <x:c r="O4" s="20"/>
      <x:c r="P4" s="20"/>
    </x:row>
    <x:row r="5">
      <x:c r="A5" s="20"/>
      <x:c r="B5" s="20"/>
      <x:c r="C5" s="20"/>
      <x:c r="D5" s="20"/>
      <x:c r="E5" s="20"/>
      <x:c r="F5" s="20"/>
      <x:c r="G5" s="20"/>
      <x:c r="H5" s="20"/>
      <x:c r="I5" s="20"/>
      <x:c r="J5" s="20"/>
      <x:c r="K5" s="20"/>
      <x:c r="L5" s="20"/>
      <x:c r="M5" s="20"/>
      <x:c r="N5" s="20"/>
      <x:c r="O5" s="20"/>
      <x:c r="P5" s="20"/>
    </x:row>
    <x:row r="6">
      <x:c r="A6" s="20"/>
      <x:c r="B6" s="20"/>
      <x:c r="C6" s="20"/>
      <x:c r="D6" s="20"/>
      <x:c r="E6" s="20"/>
      <x:c r="F6" s="20"/>
      <x:c r="G6" s="20"/>
      <x:c r="H6" s="20"/>
      <x:c r="I6" s="20"/>
      <x:c r="J6" s="20"/>
      <x:c r="K6" s="20"/>
      <x:c r="L6" s="20"/>
      <x:c r="M6" s="20"/>
      <x:c r="N6" s="20"/>
      <x:c r="O6" s="20"/>
      <x:c r="P6" s="20"/>
    </x:row>
    <x:row r="7">
      <x:c r="A7" s="20"/>
      <x:c r="B7" s="20"/>
      <x:c r="C7" s="20"/>
      <x:c r="D7" s="20"/>
      <x:c r="E7" s="20"/>
      <x:c r="F7" s="20"/>
      <x:c r="G7" s="20"/>
      <x:c r="H7" s="20"/>
      <x:c r="I7" s="20"/>
      <x:c r="J7" s="20"/>
      <x:c r="K7" s="20"/>
      <x:c r="L7" s="20"/>
      <x:c r="M7" s="20"/>
      <x:c r="N7" s="20"/>
      <x:c r="O7" s="20"/>
      <x:c r="P7" s="20"/>
    </x:row>
    <x:row r="8">
      <x:c r="A8" s="20"/>
      <x:c r="B8" s="20"/>
      <x:c r="C8" s="20"/>
      <x:c r="D8" s="20"/>
      <x:c r="E8" s="20"/>
      <x:c r="F8" s="20"/>
      <x:c r="G8" s="20"/>
      <x:c r="H8" s="20"/>
      <x:c r="I8" s="20"/>
      <x:c r="J8" s="20"/>
      <x:c r="K8" s="20"/>
      <x:c r="L8" s="20"/>
      <x:c r="M8" s="20"/>
      <x:c r="N8" s="20"/>
      <x:c r="O8" s="20"/>
      <x:c r="P8" s="20"/>
    </x:row>
    <x:row r="9">
      <x:c r="A9" s="20"/>
      <x:c r="B9" s="20"/>
      <x:c r="C9" s="20"/>
      <x:c r="D9" s="20"/>
      <x:c r="E9" s="20"/>
      <x:c r="F9" s="20"/>
      <x:c r="G9" s="20"/>
      <x:c r="H9" s="20"/>
      <x:c r="I9" s="20"/>
      <x:c r="J9" s="20"/>
      <x:c r="K9" s="20"/>
      <x:c r="L9" s="20"/>
      <x:c r="M9" s="20"/>
      <x:c r="N9" s="20"/>
      <x:c r="O9" s="20"/>
      <x:c r="P9" s="20"/>
    </x:row>
    <x:row r="10">
      <x:c r="A10" s="20"/>
      <x:c r="B10" s="20"/>
      <x:c r="C10" s="20"/>
      <x:c r="D10" s="20"/>
      <x:c r="E10" s="20"/>
      <x:c r="F10" s="20"/>
      <x:c r="G10" s="20"/>
      <x:c r="H10" s="20"/>
      <x:c r="I10" s="20"/>
      <x:c r="J10" s="20"/>
      <x:c r="K10" s="20"/>
      <x:c r="L10" s="20"/>
      <x:c r="M10" s="20"/>
      <x:c r="N10" s="20"/>
      <x:c r="O10" s="20"/>
      <x:c r="P10" s="20"/>
    </x:row>
    <x:row r="11">
      <x:c r="A11" s="20"/>
      <x:c r="B11" s="20"/>
      <x:c r="C11" s="20"/>
      <x:c r="D11" s="20"/>
      <x:c r="E11" s="20"/>
      <x:c r="F11" s="20"/>
      <x:c r="G11" s="20"/>
      <x:c r="H11" s="20"/>
      <x:c r="I11" s="20"/>
      <x:c r="J11" s="20"/>
      <x:c r="K11" s="20"/>
      <x:c r="L11" s="20"/>
      <x:c r="M11" s="20"/>
      <x:c r="N11" s="20"/>
      <x:c r="O11" s="20"/>
      <x:c r="P11" s="20"/>
    </x:row>
    <x:row r="12">
      <x:c r="A12" s="20"/>
      <x:c r="B12" s="20"/>
      <x:c r="C12" s="20"/>
      <x:c r="D12" s="20"/>
      <x:c r="E12" s="20"/>
      <x:c r="F12" s="20"/>
      <x:c r="G12" s="20"/>
      <x:c r="H12" s="20"/>
      <x:c r="I12" s="20"/>
      <x:c r="J12" s="20"/>
      <x:c r="K12" s="20"/>
      <x:c r="L12" s="20"/>
      <x:c r="M12" s="20"/>
      <x:c r="N12" s="20"/>
      <x:c r="O12" s="20"/>
      <x:c r="P12" s="20"/>
    </x:row>
    <x:row r="13">
      <x:c r="A13" s="20"/>
      <x:c r="B13" s="20"/>
      <x:c r="C13" s="20"/>
      <x:c r="D13" s="20"/>
      <x:c r="E13" s="20"/>
      <x:c r="F13" s="20"/>
      <x:c r="G13" s="20"/>
      <x:c r="H13" s="20"/>
      <x:c r="I13" s="20"/>
      <x:c r="J13" s="20"/>
      <x:c r="K13" s="20"/>
      <x:c r="L13" s="20"/>
      <x:c r="M13" s="20"/>
      <x:c r="N13" s="20"/>
      <x:c r="O13" s="20"/>
      <x:c r="P13" s="20"/>
    </x:row>
    <x:row r="14">
      <x:c r="A14" s="20"/>
      <x:c r="B14" s="20"/>
      <x:c r="C14" s="20"/>
      <x:c r="D14" s="20"/>
      <x:c r="E14" s="20"/>
      <x:c r="F14" s="20"/>
      <x:c r="G14" s="20"/>
      <x:c r="H14" s="20"/>
      <x:c r="I14" s="20"/>
      <x:c r="J14" s="20"/>
      <x:c r="K14" s="20"/>
      <x:c r="L14" s="20"/>
      <x:c r="M14" s="20"/>
      <x:c r="N14" s="20"/>
      <x:c r="O14" s="20"/>
      <x:c r="P14" s="20"/>
    </x:row>
    <x:row r="15">
      <x:c r="A15" s="20"/>
      <x:c r="B15" s="20"/>
      <x:c r="C15" s="20"/>
      <x:c r="D15" s="20"/>
      <x:c r="E15" s="20"/>
      <x:c r="F15" s="20"/>
      <x:c r="G15" s="20"/>
      <x:c r="H15" s="20"/>
      <x:c r="I15" s="20"/>
      <x:c r="J15" s="20"/>
      <x:c r="K15" s="20"/>
      <x:c r="L15" s="20"/>
      <x:c r="M15" s="20"/>
      <x:c r="N15" s="20"/>
      <x:c r="O15" s="20"/>
      <x:c r="P15" s="20"/>
    </x:row>
    <x:row r="16">
      <x:c r="A16" s="20"/>
      <x:c r="B16" s="20"/>
      <x:c r="C16" s="20"/>
      <x:c r="D16" s="20"/>
      <x:c r="E16" s="20"/>
      <x:c r="F16" s="20"/>
      <x:c r="G16" s="20"/>
      <x:c r="H16" s="20"/>
      <x:c r="I16" s="20"/>
      <x:c r="J16" s="20"/>
      <x:c r="K16" s="20"/>
      <x:c r="L16" s="20"/>
      <x:c r="M16" s="20"/>
      <x:c r="N16" s="20"/>
      <x:c r="O16" s="20"/>
      <x:c r="P16" s="20"/>
    </x:row>
    <x:row r="17">
      <x:c r="A17" s="20"/>
      <x:c r="B17" s="20"/>
      <x:c r="C17" s="20"/>
      <x:c r="D17" s="20"/>
      <x:c r="E17" s="20"/>
      <x:c r="F17" s="20"/>
      <x:c r="G17" s="20"/>
      <x:c r="H17" s="20"/>
      <x:c r="I17" s="20"/>
      <x:c r="J17" s="20"/>
      <x:c r="K17" s="20"/>
      <x:c r="L17" s="20"/>
      <x:c r="M17" s="20"/>
      <x:c r="N17" s="20"/>
      <x:c r="O17" s="20"/>
      <x:c r="P17" s="20"/>
    </x:row>
    <x:row r="18">
      <x:c r="A18" s="20"/>
      <x:c r="B18" s="20"/>
      <x:c r="C18" s="20"/>
      <x:c r="D18" s="20"/>
      <x:c r="E18" s="20"/>
      <x:c r="F18" s="20"/>
      <x:c r="G18" s="20"/>
      <x:c r="H18" s="20"/>
      <x:c r="I18" s="20"/>
      <x:c r="J18" s="20"/>
      <x:c r="K18" s="20"/>
      <x:c r="L18" s="20"/>
      <x:c r="M18" s="20"/>
      <x:c r="N18" s="20"/>
      <x:c r="O18" s="20"/>
      <x:c r="P18" s="20"/>
    </x:row>
    <x:row r="19">
      <x:c r="A19" s="20"/>
      <x:c r="B19" s="20"/>
      <x:c r="C19" s="20"/>
      <x:c r="D19" s="20"/>
      <x:c r="E19" s="20"/>
      <x:c r="F19" s="20"/>
      <x:c r="G19" s="20"/>
      <x:c r="H19" s="20"/>
      <x:c r="I19" s="20"/>
      <x:c r="J19" s="20"/>
      <x:c r="K19" s="20"/>
      <x:c r="L19" s="20"/>
      <x:c r="M19" s="20"/>
      <x:c r="N19" s="20"/>
      <x:c r="O19" s="20"/>
      <x:c r="P19" s="20"/>
    </x:row>
    <x:row r="20">
      <x:c r="A20" s="20"/>
      <x:c r="B20" s="20"/>
      <x:c r="C20" s="20"/>
      <x:c r="D20" s="20"/>
      <x:c r="E20" s="20"/>
      <x:c r="F20" s="20"/>
      <x:c r="G20" s="20"/>
      <x:c r="H20" s="20"/>
      <x:c r="I20" s="20"/>
      <x:c r="J20" s="20"/>
      <x:c r="K20" s="20"/>
      <x:c r="L20" s="20"/>
      <x:c r="M20" s="20"/>
      <x:c r="N20" s="20"/>
      <x:c r="O20" s="20"/>
      <x:c r="P20" s="20"/>
    </x:row>
    <x:row r="21">
      <x:c r="A21" s="20"/>
      <x:c r="B21" s="20"/>
      <x:c r="C21" s="20"/>
      <x:c r="D21" s="20"/>
      <x:c r="E21" s="20"/>
      <x:c r="F21" s="20"/>
      <x:c r="G21" s="20"/>
      <x:c r="H21" s="20"/>
      <x:c r="I21" s="20"/>
      <x:c r="J21" s="20"/>
      <x:c r="K21" s="20"/>
      <x:c r="L21" s="20"/>
      <x:c r="M21" s="20"/>
      <x:c r="N21" s="20"/>
      <x:c r="O21" s="20"/>
      <x:c r="P21" s="20"/>
    </x:row>
    <x:row r="22">
      <x:c r="A22" s="20"/>
      <x:c r="B22" s="20"/>
      <x:c r="C22" s="20"/>
      <x:c r="D22" s="20"/>
      <x:c r="E22" s="20"/>
      <x:c r="F22" s="20"/>
      <x:c r="G22" s="20"/>
      <x:c r="H22" s="20"/>
      <x:c r="I22" s="20"/>
      <x:c r="J22" s="20"/>
      <x:c r="K22" s="20"/>
      <x:c r="L22" s="20"/>
      <x:c r="M22" s="20"/>
      <x:c r="N22" s="20"/>
      <x:c r="O22" s="20"/>
      <x:c r="P22" s="20"/>
    </x:row>
    <x:row r="23">
      <x:c r="A23" s="20"/>
      <x:c r="B23" s="20"/>
      <x:c r="C23" s="20"/>
      <x:c r="D23" s="20"/>
      <x:c r="E23" s="20"/>
      <x:c r="F23" s="20"/>
      <x:c r="G23" s="20"/>
      <x:c r="H23" s="20"/>
      <x:c r="I23" s="20"/>
      <x:c r="J23" s="20"/>
      <x:c r="K23" s="20"/>
      <x:c r="L23" s="20"/>
      <x:c r="M23" s="20"/>
      <x:c r="N23" s="20"/>
      <x:c r="O23" s="20"/>
      <x:c r="P23" s="20"/>
    </x:row>
    <x:row r="24">
      <x:c r="A24" s="20"/>
      <x:c r="B24" s="20"/>
      <x:c r="C24" s="20"/>
      <x:c r="D24" s="20"/>
      <x:c r="E24" s="20"/>
      <x:c r="F24" s="20"/>
      <x:c r="G24" s="20"/>
      <x:c r="H24" s="20"/>
      <x:c r="I24" s="20"/>
      <x:c r="J24" s="20"/>
      <x:c r="K24" s="20"/>
      <x:c r="L24" s="20"/>
      <x:c r="M24" s="20"/>
      <x:c r="N24" s="20"/>
      <x:c r="O24" s="20"/>
      <x:c r="P24" s="20"/>
    </x:row>
    <x:row r="25">
      <x:c r="A25" s="20"/>
      <x:c r="B25" s="20"/>
      <x:c r="C25" s="20"/>
      <x:c r="D25" s="20"/>
      <x:c r="E25" s="20"/>
      <x:c r="F25" s="20"/>
      <x:c r="G25" s="20"/>
      <x:c r="H25" s="20"/>
      <x:c r="I25" s="20"/>
      <x:c r="J25" s="20"/>
      <x:c r="K25" s="20"/>
      <x:c r="L25" s="20"/>
      <x:c r="M25" s="20"/>
      <x:c r="N25" s="20"/>
      <x:c r="O25" s="20"/>
      <x:c r="P25" s="20"/>
    </x:row>
    <x:row r="26">
      <x:c r="A26" s="20"/>
      <x:c r="B26" s="20"/>
      <x:c r="C26" s="20"/>
      <x:c r="D26" s="20"/>
      <x:c r="E26" s="20"/>
      <x:c r="F26" s="20"/>
      <x:c r="G26" s="20"/>
      <x:c r="H26" s="20"/>
      <x:c r="I26" s="20"/>
      <x:c r="J26" s="20"/>
      <x:c r="K26" s="20"/>
      <x:c r="L26" s="20"/>
      <x:c r="M26" s="20"/>
      <x:c r="N26" s="20"/>
      <x:c r="O26" s="20"/>
      <x:c r="P26" s="20"/>
    </x:row>
    <x:row r="27">
      <x:c r="A27" s="20"/>
      <x:c r="B27" s="20"/>
      <x:c r="C27" s="20"/>
      <x:c r="D27" s="20"/>
      <x:c r="E27" s="20"/>
      <x:c r="F27" s="20"/>
      <x:c r="G27" s="20"/>
      <x:c r="H27" s="20"/>
      <x:c r="I27" s="20"/>
      <x:c r="J27" s="20"/>
      <x:c r="K27" s="20"/>
      <x:c r="L27" s="20"/>
      <x:c r="M27" s="20"/>
      <x:c r="N27" s="20"/>
      <x:c r="O27" s="20"/>
      <x:c r="P27" s="20"/>
    </x:row>
    <x:row r="28">
      <x:c r="A28" s="20"/>
      <x:c r="B28" s="20"/>
      <x:c r="C28" s="20"/>
      <x:c r="D28" s="20"/>
      <x:c r="E28" s="20"/>
      <x:c r="F28" s="20"/>
      <x:c r="G28" s="20"/>
      <x:c r="H28" s="20"/>
      <x:c r="I28" s="20"/>
      <x:c r="J28" s="20"/>
      <x:c r="K28" s="20"/>
      <x:c r="L28" s="20"/>
      <x:c r="M28" s="20"/>
      <x:c r="N28" s="20"/>
      <x:c r="O28" s="20"/>
      <x:c r="P28" s="20"/>
    </x:row>
    <x:row r="29">
      <x:c r="A29" s="20"/>
      <x:c r="B29" s="20"/>
      <x:c r="C29" s="20"/>
      <x:c r="D29" s="20"/>
      <x:c r="E29" s="20"/>
      <x:c r="F29" s="20"/>
      <x:c r="G29" s="20"/>
      <x:c r="H29" s="20"/>
      <x:c r="I29" s="20"/>
      <x:c r="J29" s="20"/>
      <x:c r="K29" s="20"/>
      <x:c r="L29" s="20"/>
      <x:c r="M29" s="20"/>
      <x:c r="N29" s="20"/>
      <x:c r="O29" s="20"/>
      <x:c r="P29" s="20"/>
    </x:row>
    <x:row r="30">
      <x:c r="A30" s="20"/>
      <x:c r="B30" s="20"/>
      <x:c r="C30" s="20"/>
      <x:c r="D30" s="20"/>
      <x:c r="E30" s="20"/>
      <x:c r="F30" s="20"/>
      <x:c r="G30" s="20"/>
      <x:c r="H30" s="20"/>
      <x:c r="I30" s="20"/>
      <x:c r="J30" s="20"/>
      <x:c r="K30" s="20"/>
      <x:c r="L30" s="20"/>
      <x:c r="M30" s="20"/>
      <x:c r="N30" s="20"/>
      <x:c r="O30" s="20"/>
      <x:c r="P30" s="20"/>
    </x:row>
    <x:row r="31">
      <x:c r="A31" s="20"/>
      <x:c r="B31" s="20"/>
      <x:c r="C31" s="20"/>
      <x:c r="D31" s="20"/>
      <x:c r="E31" s="20"/>
      <x:c r="F31" s="20"/>
      <x:c r="G31" s="20"/>
      <x:c r="H31" s="20"/>
      <x:c r="I31" s="20"/>
      <x:c r="J31" s="20"/>
      <x:c r="K31" s="20"/>
      <x:c r="L31" s="20"/>
      <x:c r="M31" s="20"/>
      <x:c r="N31" s="20"/>
      <x:c r="O31" s="20"/>
      <x:c r="P31" s="20"/>
    </x:row>
  </x:sheetData>
  <x:dataValidations count="2">
    <x:dataValidation type="list" sqref="C2:C31">
      <x:formula1>"Severity 1 – Critical,Severity 2 – High,Severity 3 – Medium,Severity 4 – Low"</x:formula1>
    </x:dataValidation>
    <x:dataValidation type="list" sqref="H2:H31">
      <x:formula1>"New,Assigned,In Progress,Fixed,Ready for Retest,Closed,Deferred,Rejected"</x:formula1>
    </x:dataValidation>
  </x:dataValidations>
  <x:pageMargins left="0.7" right="0.7" top="0.75" bottom="0.75" header="0.3" footer="0.3"/>
  <x:tableParts count="1">
    <x:tablePart xmlns:r="http://schemas.openxmlformats.org/officeDocument/2006/relationships" r:id="Rc08e05f69ad94ae5"/>
  </x:tableParts>
</x:worksheet>
</file>

<file path=xl/worksheets/sheet6.xml><?xml version="1.0" encoding="utf-8"?>
<x:worksheet xmlns:x="http://schemas.openxmlformats.org/spreadsheetml/2006/main">
  <x:sheetFormatPr defaultRowHeight="15"/>
  <x:cols>
    <x:col min="1" max="1" width="24" hidden="0" customWidth="1"/>
    <x:col min="2" max="2" width="90" hidden="0" customWidth="1"/>
  </x:cols>
  <x:sheetData>
    <x:row r="1">
      <x:c r="A1" s="33" t="str">
        <x:v>Severity</x:v>
      </x:c>
      <x:c r="B1" s="33" t="str">
        <x:v>Definition</x:v>
      </x:c>
    </x:row>
    <x:row r="2">
      <x:c r="A2" s="20" t="str">
        <x:v>Severity 1 – Critical</x:v>
      </x:c>
      <x:c r="B2" s="20" t="str">
        <x:v>Unauthorized shipment, negative/incorrect FSC certification, major financial corruption, or E2E process unavailable with no workaround.</x:v>
      </x:c>
    </x:row>
    <x:row r="3">
      <x:c r="A3" s="20" t="str">
        <x:v>Severity 2 – High</x:v>
      </x:c>
      <x:c r="B3" s="20" t="str">
        <x:v>Critical control or business step fails; material workaround has compliance/operational risk.</x:v>
      </x:c>
    </x:row>
    <x:row r="4">
      <x:c r="A4" s="20" t="str">
        <x:v>Severity 3 – Medium</x:v>
      </x:c>
      <x:c r="B4" s="20" t="str">
        <x:v>Function works with controlled workaround; no unauthorized shipment/certification/financial misstatement.</x:v>
      </x:c>
    </x:row>
    <x:row r="5">
      <x:c r="A5" s="20" t="str">
        <x:v>Severity 4 – Low</x:v>
      </x:c>
      <x:c r="B5" s="20" t="str">
        <x:v>Cosmetic, usability, wording, or minor document-format issue with no control impact.</x:v>
      </x:c>
    </x:row>
  </x:sheetData>
  <x:pageMargins left="0.7" right="0.7" top="0.75" bottom="0.75" header="0.3" footer="0.3"/>
</x:worksheet>
</file>